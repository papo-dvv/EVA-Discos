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CBBC9B0-A686-4A0A-ABBC-BF4E9F2DB474}" xr6:coauthVersionLast="47" xr6:coauthVersionMax="47" xr10:uidLastSave="{00000000-0000-0000-0000-000000000000}"/>
  <bookViews>
    <workbookView xWindow="-120" yWindow="-120" windowWidth="29040" windowHeight="15720" tabRatio="818" firstSheet="1" activeTab="1" xr2:uid="{08BFB6A6-9FBD-485B-A00D-EE0321FC05BF}"/>
  </bookViews>
  <sheets>
    <sheet name="MEDICIÓN" sheetId="17" state="hidden" r:id="rId1"/>
    <sheet name="T01" sheetId="42" r:id="rId2"/>
    <sheet name="T02" sheetId="31" r:id="rId3"/>
    <sheet name="T03" sheetId="30" r:id="rId4"/>
    <sheet name="T04" sheetId="46" r:id="rId5"/>
    <sheet name="T05" sheetId="32" r:id="rId6"/>
    <sheet name="UDT RESERVA" sheetId="50" r:id="rId7"/>
    <sheet name="Hoja1" sheetId="51" state="hidden" r:id="rId8"/>
  </sheets>
  <definedNames>
    <definedName name="_xlnm._FilterDatabase" localSheetId="0" hidden="1">MEDICIÓN!$B$2:$G$2</definedName>
    <definedName name="_xlnm._FilterDatabase" localSheetId="1" hidden="1">'T01'!$L$2:$O$2</definedName>
    <definedName name="_xleta.XLOOKUP" hidden="1" xlm="1">#NAME?</definedName>
    <definedName name="_xlpm.desgasteMax" hidden="1" xlm="1">#NAME?</definedName>
    <definedName name="_xlpm.eje" hidden="1" xlm="1">#NAME?</definedName>
    <definedName name="_xlpm.H" hidden="1" xlm="1">#NAME?</definedName>
    <definedName name="_xlpm.VidaMin" hidden="1" xlm="1">#NAME?</definedName>
    <definedName name="EJE">#REF!</definedName>
    <definedName name="tabla1">#REF!</definedName>
    <definedName name="TREN_06">#REF!</definedName>
    <definedName name="UBICACIÓN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579" i="31" l="1"/>
  <c r="O580" i="31"/>
  <c r="N580" i="31"/>
  <c r="G580" i="31"/>
  <c r="N579" i="31"/>
  <c r="O674" i="30" l="1"/>
  <c r="O579" i="30"/>
  <c r="O580" i="30"/>
  <c r="O581" i="30"/>
  <c r="O582" i="30"/>
  <c r="O583" i="30"/>
  <c r="O584" i="30"/>
  <c r="O585" i="30"/>
  <c r="O586" i="30"/>
  <c r="O587" i="30"/>
  <c r="O588" i="30"/>
  <c r="O589" i="30"/>
  <c r="O590" i="30"/>
  <c r="O591" i="30"/>
  <c r="O592" i="30"/>
  <c r="O593" i="30"/>
  <c r="O594" i="30"/>
  <c r="O595" i="30"/>
  <c r="O596" i="30"/>
  <c r="O597" i="30"/>
  <c r="O598" i="30"/>
  <c r="O599" i="30"/>
  <c r="O600" i="30"/>
  <c r="O601" i="30"/>
  <c r="O602" i="30"/>
  <c r="O603" i="30"/>
  <c r="O604" i="30"/>
  <c r="O605" i="30"/>
  <c r="O606" i="30"/>
  <c r="O607" i="30"/>
  <c r="O608" i="30"/>
  <c r="O609" i="30"/>
  <c r="O610" i="30"/>
  <c r="O611" i="30"/>
  <c r="O612" i="30"/>
  <c r="O613" i="30"/>
  <c r="O614" i="30"/>
  <c r="O615" i="30"/>
  <c r="O616" i="30"/>
  <c r="O617" i="30"/>
  <c r="O618" i="30"/>
  <c r="O619" i="30"/>
  <c r="O620" i="30"/>
  <c r="O621" i="30"/>
  <c r="O622" i="30"/>
  <c r="O623" i="30"/>
  <c r="O624" i="30"/>
  <c r="O625" i="30"/>
  <c r="O626" i="30"/>
  <c r="O627" i="30"/>
  <c r="O628" i="30"/>
  <c r="O629" i="30"/>
  <c r="O630" i="30"/>
  <c r="O631" i="30"/>
  <c r="O632" i="30"/>
  <c r="O633" i="30"/>
  <c r="O634" i="30"/>
  <c r="O635" i="30"/>
  <c r="O636" i="30"/>
  <c r="O637" i="30"/>
  <c r="O638" i="30"/>
  <c r="O639" i="30"/>
  <c r="O640" i="30"/>
  <c r="O641" i="30"/>
  <c r="O642" i="30"/>
  <c r="O643" i="30"/>
  <c r="O644" i="30"/>
  <c r="O645" i="30"/>
  <c r="O646" i="30"/>
  <c r="O647" i="30"/>
  <c r="O648" i="30"/>
  <c r="O649" i="30"/>
  <c r="O650" i="30"/>
  <c r="O651" i="30"/>
  <c r="O652" i="30"/>
  <c r="O653" i="30"/>
  <c r="O654" i="30"/>
  <c r="O655" i="30"/>
  <c r="O656" i="30"/>
  <c r="O657" i="30"/>
  <c r="O658" i="30"/>
  <c r="O659" i="30"/>
  <c r="O660" i="30"/>
  <c r="O661" i="30"/>
  <c r="O662" i="30"/>
  <c r="O663" i="30"/>
  <c r="O664" i="30"/>
  <c r="O665" i="30"/>
  <c r="O666" i="30"/>
  <c r="O667" i="30"/>
  <c r="O668" i="30"/>
  <c r="O669" i="30"/>
  <c r="O670" i="30"/>
  <c r="O671" i="30"/>
  <c r="O672" i="30"/>
  <c r="O673" i="30"/>
  <c r="N674" i="30"/>
  <c r="N673" i="30"/>
  <c r="N672" i="30"/>
  <c r="I672" i="30"/>
  <c r="I673" i="30" s="1"/>
  <c r="I674" i="30" s="1"/>
  <c r="N671" i="30"/>
  <c r="N670" i="30"/>
  <c r="N669" i="30"/>
  <c r="I669" i="30"/>
  <c r="I670" i="30" s="1"/>
  <c r="H669" i="30"/>
  <c r="H670" i="30" s="1"/>
  <c r="H671" i="30" s="1"/>
  <c r="H672" i="30" s="1"/>
  <c r="H673" i="30" s="1"/>
  <c r="H674" i="30" s="1"/>
  <c r="N668" i="30"/>
  <c r="I668" i="30"/>
  <c r="H668" i="30"/>
  <c r="N667" i="30"/>
  <c r="N666" i="30"/>
  <c r="N665" i="30"/>
  <c r="N664" i="30"/>
  <c r="I664" i="30"/>
  <c r="I665" i="30" s="1"/>
  <c r="I666" i="30" s="1"/>
  <c r="N663" i="30"/>
  <c r="N662" i="30"/>
  <c r="N661" i="30"/>
  <c r="G661" i="30"/>
  <c r="G662" i="30" s="1"/>
  <c r="G663" i="30" s="1"/>
  <c r="G664" i="30" s="1"/>
  <c r="G665" i="30" s="1"/>
  <c r="G666" i="30" s="1"/>
  <c r="G667" i="30" s="1"/>
  <c r="G668" i="30" s="1"/>
  <c r="G669" i="30" s="1"/>
  <c r="G670" i="30" s="1"/>
  <c r="G671" i="30" s="1"/>
  <c r="G672" i="30" s="1"/>
  <c r="G673" i="30" s="1"/>
  <c r="G674" i="30" s="1"/>
  <c r="F661" i="30"/>
  <c r="F662" i="30" s="1"/>
  <c r="F663" i="30" s="1"/>
  <c r="F664" i="30" s="1"/>
  <c r="F665" i="30" s="1"/>
  <c r="F666" i="30" s="1"/>
  <c r="F667" i="30" s="1"/>
  <c r="F668" i="30" s="1"/>
  <c r="F669" i="30" s="1"/>
  <c r="F670" i="30" s="1"/>
  <c r="F671" i="30" s="1"/>
  <c r="F672" i="30" s="1"/>
  <c r="F673" i="30" s="1"/>
  <c r="F674" i="30" s="1"/>
  <c r="N660" i="30"/>
  <c r="I660" i="30"/>
  <c r="I661" i="30" s="1"/>
  <c r="I662" i="30" s="1"/>
  <c r="H660" i="30"/>
  <c r="H661" i="30" s="1"/>
  <c r="H662" i="30" s="1"/>
  <c r="H663" i="30" s="1"/>
  <c r="H664" i="30" s="1"/>
  <c r="H665" i="30" s="1"/>
  <c r="H666" i="30" s="1"/>
  <c r="G660" i="30"/>
  <c r="F660" i="30"/>
  <c r="N659" i="30"/>
  <c r="N658" i="30"/>
  <c r="N657" i="30"/>
  <c r="N656" i="30"/>
  <c r="I656" i="30"/>
  <c r="I657" i="30" s="1"/>
  <c r="I658" i="30" s="1"/>
  <c r="N655" i="30"/>
  <c r="N654" i="30"/>
  <c r="N653" i="30"/>
  <c r="I653" i="30"/>
  <c r="I654" i="30" s="1"/>
  <c r="H653" i="30"/>
  <c r="H654" i="30" s="1"/>
  <c r="H655" i="30" s="1"/>
  <c r="H656" i="30" s="1"/>
  <c r="H657" i="30" s="1"/>
  <c r="H658" i="30" s="1"/>
  <c r="N652" i="30"/>
  <c r="I652" i="30"/>
  <c r="H652" i="30"/>
  <c r="N651" i="30"/>
  <c r="N650" i="30"/>
  <c r="N649" i="30"/>
  <c r="N648" i="30"/>
  <c r="I648" i="30"/>
  <c r="I649" i="30" s="1"/>
  <c r="I650" i="30" s="1"/>
  <c r="N647" i="30"/>
  <c r="N646" i="30"/>
  <c r="N645" i="30"/>
  <c r="G645" i="30"/>
  <c r="G646" i="30" s="1"/>
  <c r="G647" i="30" s="1"/>
  <c r="G648" i="30" s="1"/>
  <c r="G649" i="30" s="1"/>
  <c r="G650" i="30" s="1"/>
  <c r="G651" i="30" s="1"/>
  <c r="G652" i="30" s="1"/>
  <c r="G653" i="30" s="1"/>
  <c r="G654" i="30" s="1"/>
  <c r="G655" i="30" s="1"/>
  <c r="G656" i="30" s="1"/>
  <c r="G657" i="30" s="1"/>
  <c r="G658" i="30" s="1"/>
  <c r="F645" i="30"/>
  <c r="F646" i="30" s="1"/>
  <c r="F647" i="30" s="1"/>
  <c r="F648" i="30" s="1"/>
  <c r="F649" i="30" s="1"/>
  <c r="F650" i="30" s="1"/>
  <c r="F651" i="30" s="1"/>
  <c r="F652" i="30" s="1"/>
  <c r="F653" i="30" s="1"/>
  <c r="F654" i="30" s="1"/>
  <c r="F655" i="30" s="1"/>
  <c r="F656" i="30" s="1"/>
  <c r="F657" i="30" s="1"/>
  <c r="F658" i="30" s="1"/>
  <c r="N644" i="30"/>
  <c r="I644" i="30"/>
  <c r="I645" i="30" s="1"/>
  <c r="I646" i="30" s="1"/>
  <c r="H644" i="30"/>
  <c r="H645" i="30" s="1"/>
  <c r="H646" i="30" s="1"/>
  <c r="H647" i="30" s="1"/>
  <c r="H648" i="30" s="1"/>
  <c r="H649" i="30" s="1"/>
  <c r="H650" i="30" s="1"/>
  <c r="G644" i="30"/>
  <c r="F644" i="30"/>
  <c r="N643" i="30"/>
  <c r="N642" i="30"/>
  <c r="N641" i="30"/>
  <c r="N640" i="30"/>
  <c r="I640" i="30"/>
  <c r="I641" i="30" s="1"/>
  <c r="I642" i="30" s="1"/>
  <c r="N639" i="30"/>
  <c r="N638" i="30"/>
  <c r="N637" i="30"/>
  <c r="I637" i="30"/>
  <c r="I638" i="30" s="1"/>
  <c r="H637" i="30"/>
  <c r="H638" i="30" s="1"/>
  <c r="H639" i="30" s="1"/>
  <c r="H640" i="30" s="1"/>
  <c r="H641" i="30" s="1"/>
  <c r="H642" i="30" s="1"/>
  <c r="N636" i="30"/>
  <c r="I636" i="30"/>
  <c r="H636" i="30"/>
  <c r="N635" i="30"/>
  <c r="N634" i="30"/>
  <c r="N633" i="30"/>
  <c r="N632" i="30"/>
  <c r="I632" i="30"/>
  <c r="I633" i="30" s="1"/>
  <c r="I634" i="30" s="1"/>
  <c r="N631" i="30"/>
  <c r="N630" i="30"/>
  <c r="N629" i="30"/>
  <c r="G629" i="30"/>
  <c r="G630" i="30" s="1"/>
  <c r="G631" i="30" s="1"/>
  <c r="G632" i="30" s="1"/>
  <c r="G633" i="30" s="1"/>
  <c r="G634" i="30" s="1"/>
  <c r="G635" i="30" s="1"/>
  <c r="G636" i="30" s="1"/>
  <c r="G637" i="30" s="1"/>
  <c r="G638" i="30" s="1"/>
  <c r="G639" i="30" s="1"/>
  <c r="G640" i="30" s="1"/>
  <c r="G641" i="30" s="1"/>
  <c r="G642" i="30" s="1"/>
  <c r="F629" i="30"/>
  <c r="F630" i="30" s="1"/>
  <c r="F631" i="30" s="1"/>
  <c r="F632" i="30" s="1"/>
  <c r="F633" i="30" s="1"/>
  <c r="F634" i="30" s="1"/>
  <c r="F635" i="30" s="1"/>
  <c r="F636" i="30" s="1"/>
  <c r="F637" i="30" s="1"/>
  <c r="F638" i="30" s="1"/>
  <c r="F639" i="30" s="1"/>
  <c r="F640" i="30" s="1"/>
  <c r="F641" i="30" s="1"/>
  <c r="F642" i="30" s="1"/>
  <c r="N628" i="30"/>
  <c r="I628" i="30"/>
  <c r="I629" i="30" s="1"/>
  <c r="I630" i="30" s="1"/>
  <c r="H628" i="30"/>
  <c r="H629" i="30" s="1"/>
  <c r="H630" i="30" s="1"/>
  <c r="H631" i="30" s="1"/>
  <c r="H632" i="30" s="1"/>
  <c r="H633" i="30" s="1"/>
  <c r="H634" i="30" s="1"/>
  <c r="G628" i="30"/>
  <c r="F628" i="30"/>
  <c r="N627" i="30"/>
  <c r="N626" i="30"/>
  <c r="N625" i="30"/>
  <c r="N624" i="30"/>
  <c r="I624" i="30"/>
  <c r="I625" i="30" s="1"/>
  <c r="I626" i="30" s="1"/>
  <c r="N623" i="30"/>
  <c r="N622" i="30"/>
  <c r="N621" i="30"/>
  <c r="I621" i="30"/>
  <c r="I622" i="30" s="1"/>
  <c r="N620" i="30"/>
  <c r="I620" i="30"/>
  <c r="H620" i="30"/>
  <c r="H621" i="30" s="1"/>
  <c r="H622" i="30" s="1"/>
  <c r="H623" i="30" s="1"/>
  <c r="H624" i="30" s="1"/>
  <c r="H625" i="30" s="1"/>
  <c r="H626" i="30" s="1"/>
  <c r="N619" i="30"/>
  <c r="N618" i="30"/>
  <c r="N617" i="30"/>
  <c r="N616" i="30"/>
  <c r="I616" i="30"/>
  <c r="I617" i="30" s="1"/>
  <c r="I618" i="30" s="1"/>
  <c r="N615" i="30"/>
  <c r="N614" i="30"/>
  <c r="N613" i="30"/>
  <c r="G613" i="30"/>
  <c r="G614" i="30" s="1"/>
  <c r="G615" i="30" s="1"/>
  <c r="G616" i="30" s="1"/>
  <c r="G617" i="30" s="1"/>
  <c r="G618" i="30" s="1"/>
  <c r="G619" i="30" s="1"/>
  <c r="G620" i="30" s="1"/>
  <c r="G621" i="30" s="1"/>
  <c r="G622" i="30" s="1"/>
  <c r="G623" i="30" s="1"/>
  <c r="G624" i="30" s="1"/>
  <c r="G625" i="30" s="1"/>
  <c r="G626" i="30" s="1"/>
  <c r="F613" i="30"/>
  <c r="F614" i="30" s="1"/>
  <c r="F615" i="30" s="1"/>
  <c r="F616" i="30" s="1"/>
  <c r="F617" i="30" s="1"/>
  <c r="F618" i="30" s="1"/>
  <c r="F619" i="30" s="1"/>
  <c r="F620" i="30" s="1"/>
  <c r="F621" i="30" s="1"/>
  <c r="F622" i="30" s="1"/>
  <c r="F623" i="30" s="1"/>
  <c r="F624" i="30" s="1"/>
  <c r="F625" i="30" s="1"/>
  <c r="F626" i="30" s="1"/>
  <c r="N612" i="30"/>
  <c r="I612" i="30"/>
  <c r="I613" i="30" s="1"/>
  <c r="I614" i="30" s="1"/>
  <c r="H612" i="30"/>
  <c r="H613" i="30" s="1"/>
  <c r="H614" i="30" s="1"/>
  <c r="H615" i="30" s="1"/>
  <c r="H616" i="30" s="1"/>
  <c r="H617" i="30" s="1"/>
  <c r="H618" i="30" s="1"/>
  <c r="G612" i="30"/>
  <c r="F612" i="30"/>
  <c r="N611" i="30"/>
  <c r="N610" i="30"/>
  <c r="I610" i="30"/>
  <c r="N609" i="30"/>
  <c r="I609" i="30"/>
  <c r="N608" i="30"/>
  <c r="I608" i="30"/>
  <c r="N607" i="30"/>
  <c r="N606" i="30"/>
  <c r="N605" i="30"/>
  <c r="I605" i="30"/>
  <c r="I606" i="30" s="1"/>
  <c r="N604" i="30"/>
  <c r="I604" i="30"/>
  <c r="H604" i="30"/>
  <c r="H605" i="30" s="1"/>
  <c r="H606" i="30" s="1"/>
  <c r="H607" i="30" s="1"/>
  <c r="H608" i="30" s="1"/>
  <c r="H609" i="30" s="1"/>
  <c r="H610" i="30" s="1"/>
  <c r="N603" i="30"/>
  <c r="N602" i="30"/>
  <c r="N601" i="30"/>
  <c r="N600" i="30"/>
  <c r="I600" i="30"/>
  <c r="I601" i="30" s="1"/>
  <c r="I602" i="30" s="1"/>
  <c r="N599" i="30"/>
  <c r="N598" i="30"/>
  <c r="N597" i="30"/>
  <c r="G597" i="30"/>
  <c r="G598" i="30" s="1"/>
  <c r="G599" i="30" s="1"/>
  <c r="G600" i="30" s="1"/>
  <c r="G601" i="30" s="1"/>
  <c r="G602" i="30" s="1"/>
  <c r="G603" i="30" s="1"/>
  <c r="G604" i="30" s="1"/>
  <c r="G605" i="30" s="1"/>
  <c r="G606" i="30" s="1"/>
  <c r="G607" i="30" s="1"/>
  <c r="G608" i="30" s="1"/>
  <c r="G609" i="30" s="1"/>
  <c r="G610" i="30" s="1"/>
  <c r="F597" i="30"/>
  <c r="F598" i="30" s="1"/>
  <c r="F599" i="30" s="1"/>
  <c r="F600" i="30" s="1"/>
  <c r="F601" i="30" s="1"/>
  <c r="F602" i="30" s="1"/>
  <c r="F603" i="30" s="1"/>
  <c r="F604" i="30" s="1"/>
  <c r="F605" i="30" s="1"/>
  <c r="F606" i="30" s="1"/>
  <c r="F607" i="30" s="1"/>
  <c r="F608" i="30" s="1"/>
  <c r="F609" i="30" s="1"/>
  <c r="F610" i="30" s="1"/>
  <c r="N596" i="30"/>
  <c r="I596" i="30"/>
  <c r="I597" i="30" s="1"/>
  <c r="I598" i="30" s="1"/>
  <c r="H596" i="30"/>
  <c r="H597" i="30" s="1"/>
  <c r="H598" i="30" s="1"/>
  <c r="H599" i="30" s="1"/>
  <c r="H600" i="30" s="1"/>
  <c r="H601" i="30" s="1"/>
  <c r="H602" i="30" s="1"/>
  <c r="G596" i="30"/>
  <c r="F596" i="30"/>
  <c r="N595" i="30"/>
  <c r="N594" i="30"/>
  <c r="I594" i="30"/>
  <c r="N593" i="30"/>
  <c r="I593" i="30"/>
  <c r="N592" i="30"/>
  <c r="I592" i="30"/>
  <c r="N591" i="30"/>
  <c r="N590" i="30"/>
  <c r="N589" i="30"/>
  <c r="I589" i="30"/>
  <c r="I590" i="30" s="1"/>
  <c r="N588" i="30"/>
  <c r="I588" i="30"/>
  <c r="H588" i="30"/>
  <c r="H589" i="30" s="1"/>
  <c r="H590" i="30" s="1"/>
  <c r="H591" i="30" s="1"/>
  <c r="H592" i="30" s="1"/>
  <c r="H593" i="30" s="1"/>
  <c r="H594" i="30" s="1"/>
  <c r="N587" i="30"/>
  <c r="N586" i="30"/>
  <c r="N585" i="30"/>
  <c r="N584" i="30"/>
  <c r="I584" i="30"/>
  <c r="I585" i="30" s="1"/>
  <c r="I586" i="30" s="1"/>
  <c r="N583" i="30"/>
  <c r="N582" i="30"/>
  <c r="N581" i="30"/>
  <c r="G581" i="30"/>
  <c r="G582" i="30" s="1"/>
  <c r="G583" i="30" s="1"/>
  <c r="G584" i="30" s="1"/>
  <c r="G585" i="30" s="1"/>
  <c r="G586" i="30" s="1"/>
  <c r="G587" i="30" s="1"/>
  <c r="G588" i="30" s="1"/>
  <c r="G589" i="30" s="1"/>
  <c r="G590" i="30" s="1"/>
  <c r="G591" i="30" s="1"/>
  <c r="G592" i="30" s="1"/>
  <c r="G593" i="30" s="1"/>
  <c r="G594" i="30" s="1"/>
  <c r="F581" i="30"/>
  <c r="F582" i="30" s="1"/>
  <c r="F583" i="30" s="1"/>
  <c r="F584" i="30" s="1"/>
  <c r="F585" i="30" s="1"/>
  <c r="F586" i="30" s="1"/>
  <c r="F587" i="30" s="1"/>
  <c r="F588" i="30" s="1"/>
  <c r="F589" i="30" s="1"/>
  <c r="F590" i="30" s="1"/>
  <c r="F591" i="30" s="1"/>
  <c r="F592" i="30" s="1"/>
  <c r="F593" i="30" s="1"/>
  <c r="F594" i="30" s="1"/>
  <c r="N580" i="30"/>
  <c r="I580" i="30"/>
  <c r="I581" i="30" s="1"/>
  <c r="I582" i="30" s="1"/>
  <c r="H580" i="30"/>
  <c r="H581" i="30" s="1"/>
  <c r="H582" i="30" s="1"/>
  <c r="H583" i="30" s="1"/>
  <c r="H584" i="30" s="1"/>
  <c r="H585" i="30" s="1"/>
  <c r="H586" i="30" s="1"/>
  <c r="G580" i="30"/>
  <c r="F580" i="30"/>
  <c r="N579" i="30"/>
  <c r="O4" i="46" l="1"/>
  <c r="O5" i="46"/>
  <c r="O6" i="46"/>
  <c r="O7" i="46"/>
  <c r="O8" i="46"/>
  <c r="O9" i="46"/>
  <c r="O10" i="46"/>
  <c r="O11" i="46"/>
  <c r="O12" i="46"/>
  <c r="O13" i="46"/>
  <c r="O14" i="46"/>
  <c r="O15" i="46"/>
  <c r="O16" i="46"/>
  <c r="O17" i="46"/>
  <c r="O18" i="46"/>
  <c r="O19" i="46"/>
  <c r="O20" i="46"/>
  <c r="O21" i="46"/>
  <c r="O22" i="46"/>
  <c r="O23" i="46"/>
  <c r="O24" i="46"/>
  <c r="O25" i="46"/>
  <c r="O26" i="46"/>
  <c r="O27" i="46"/>
  <c r="O28" i="46"/>
  <c r="O29" i="46"/>
  <c r="O30" i="46"/>
  <c r="O31" i="46"/>
  <c r="O32" i="46"/>
  <c r="O33" i="46"/>
  <c r="O34" i="46"/>
  <c r="O35" i="46"/>
  <c r="O36" i="46"/>
  <c r="O37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O64" i="46"/>
  <c r="O65" i="46"/>
  <c r="O66" i="46"/>
  <c r="O67" i="46"/>
  <c r="O68" i="46"/>
  <c r="O69" i="46"/>
  <c r="O70" i="46"/>
  <c r="O71" i="46"/>
  <c r="O72" i="46"/>
  <c r="O73" i="46"/>
  <c r="O74" i="46"/>
  <c r="O75" i="46"/>
  <c r="O76" i="46"/>
  <c r="O77" i="46"/>
  <c r="O78" i="46"/>
  <c r="O79" i="46"/>
  <c r="O80" i="46"/>
  <c r="O81" i="46"/>
  <c r="O82" i="46"/>
  <c r="O83" i="46"/>
  <c r="O84" i="46"/>
  <c r="O85" i="46"/>
  <c r="O86" i="46"/>
  <c r="O87" i="46"/>
  <c r="O88" i="46"/>
  <c r="O89" i="46"/>
  <c r="O90" i="46"/>
  <c r="O91" i="46"/>
  <c r="O92" i="46"/>
  <c r="O93" i="46"/>
  <c r="O94" i="46"/>
  <c r="O95" i="46"/>
  <c r="O96" i="46"/>
  <c r="O97" i="46"/>
  <c r="O98" i="46"/>
  <c r="O99" i="46"/>
  <c r="O100" i="46"/>
  <c r="O101" i="46"/>
  <c r="O102" i="46"/>
  <c r="O103" i="46"/>
  <c r="O104" i="46"/>
  <c r="O105" i="46"/>
  <c r="O106" i="46"/>
  <c r="O107" i="46"/>
  <c r="O108" i="46"/>
  <c r="O109" i="46"/>
  <c r="O110" i="46"/>
  <c r="O111" i="46"/>
  <c r="O112" i="46"/>
  <c r="O113" i="46"/>
  <c r="O114" i="46"/>
  <c r="O115" i="46"/>
  <c r="O116" i="46"/>
  <c r="O117" i="46"/>
  <c r="O118" i="46"/>
  <c r="O119" i="46"/>
  <c r="O120" i="46"/>
  <c r="O121" i="46"/>
  <c r="O122" i="46"/>
  <c r="O123" i="46"/>
  <c r="O124" i="46"/>
  <c r="O125" i="46"/>
  <c r="O126" i="46"/>
  <c r="O127" i="46"/>
  <c r="O128" i="46"/>
  <c r="O129" i="46"/>
  <c r="O130" i="46"/>
  <c r="O131" i="46"/>
  <c r="O132" i="46"/>
  <c r="O133" i="46"/>
  <c r="O134" i="46"/>
  <c r="O135" i="46"/>
  <c r="O136" i="46"/>
  <c r="O137" i="46"/>
  <c r="O138" i="46"/>
  <c r="O139" i="46"/>
  <c r="O140" i="46"/>
  <c r="O141" i="46"/>
  <c r="O142" i="46"/>
  <c r="O143" i="46"/>
  <c r="O144" i="46"/>
  <c r="O145" i="46"/>
  <c r="O146" i="46"/>
  <c r="O147" i="46"/>
  <c r="O148" i="46"/>
  <c r="O149" i="46"/>
  <c r="O150" i="46"/>
  <c r="O151" i="46"/>
  <c r="O152" i="46"/>
  <c r="O153" i="46"/>
  <c r="O154" i="46"/>
  <c r="O155" i="46"/>
  <c r="O156" i="46"/>
  <c r="O157" i="46"/>
  <c r="O158" i="46"/>
  <c r="O159" i="46"/>
  <c r="O160" i="46"/>
  <c r="O161" i="46"/>
  <c r="O162" i="46"/>
  <c r="O163" i="46"/>
  <c r="O164" i="46"/>
  <c r="O165" i="46"/>
  <c r="O166" i="46"/>
  <c r="O167" i="46"/>
  <c r="O168" i="46"/>
  <c r="O169" i="46"/>
  <c r="O170" i="46"/>
  <c r="O171" i="46"/>
  <c r="O172" i="46"/>
  <c r="O173" i="46"/>
  <c r="O174" i="46"/>
  <c r="O175" i="46"/>
  <c r="O176" i="46"/>
  <c r="O177" i="46"/>
  <c r="O178" i="46"/>
  <c r="O179" i="46"/>
  <c r="O180" i="46"/>
  <c r="O181" i="46"/>
  <c r="O182" i="46"/>
  <c r="O183" i="46"/>
  <c r="O184" i="46"/>
  <c r="O185" i="46"/>
  <c r="O186" i="46"/>
  <c r="O187" i="46"/>
  <c r="O188" i="46"/>
  <c r="O189" i="46"/>
  <c r="O190" i="46"/>
  <c r="O191" i="46"/>
  <c r="O192" i="46"/>
  <c r="O193" i="46"/>
  <c r="O194" i="46"/>
  <c r="O195" i="46"/>
  <c r="O196" i="46"/>
  <c r="O197" i="46"/>
  <c r="O198" i="46"/>
  <c r="O199" i="46"/>
  <c r="O200" i="46"/>
  <c r="O201" i="46"/>
  <c r="O202" i="46"/>
  <c r="O203" i="46"/>
  <c r="O204" i="46"/>
  <c r="O205" i="46"/>
  <c r="O206" i="46"/>
  <c r="O207" i="46"/>
  <c r="O208" i="46"/>
  <c r="O209" i="46"/>
  <c r="O210" i="46"/>
  <c r="O211" i="46"/>
  <c r="O212" i="46"/>
  <c r="O213" i="46"/>
  <c r="O214" i="46"/>
  <c r="O215" i="46"/>
  <c r="O216" i="46"/>
  <c r="O217" i="46"/>
  <c r="O218" i="46"/>
  <c r="O219" i="46"/>
  <c r="O220" i="46"/>
  <c r="O221" i="46"/>
  <c r="O222" i="46"/>
  <c r="O223" i="46"/>
  <c r="O224" i="46"/>
  <c r="O225" i="46"/>
  <c r="O226" i="46"/>
  <c r="O227" i="46"/>
  <c r="O228" i="46"/>
  <c r="O229" i="46"/>
  <c r="O230" i="46"/>
  <c r="O231" i="46"/>
  <c r="O232" i="46"/>
  <c r="O233" i="46"/>
  <c r="O234" i="46"/>
  <c r="O235" i="46"/>
  <c r="O236" i="46"/>
  <c r="O237" i="46"/>
  <c r="O238" i="46"/>
  <c r="O239" i="46"/>
  <c r="O240" i="46"/>
  <c r="O241" i="46"/>
  <c r="O242" i="46"/>
  <c r="O243" i="46"/>
  <c r="O244" i="46"/>
  <c r="O245" i="46"/>
  <c r="O246" i="46"/>
  <c r="O247" i="46"/>
  <c r="O248" i="46"/>
  <c r="O249" i="46"/>
  <c r="O250" i="46"/>
  <c r="O251" i="46"/>
  <c r="O252" i="46"/>
  <c r="O253" i="46"/>
  <c r="O254" i="46"/>
  <c r="O255" i="46"/>
  <c r="O256" i="46"/>
  <c r="O257" i="46"/>
  <c r="O258" i="46"/>
  <c r="O259" i="46"/>
  <c r="O260" i="46"/>
  <c r="O261" i="46"/>
  <c r="O262" i="46"/>
  <c r="O263" i="46"/>
  <c r="O264" i="46"/>
  <c r="O265" i="46"/>
  <c r="O266" i="46"/>
  <c r="O267" i="46"/>
  <c r="O268" i="46"/>
  <c r="O269" i="46"/>
  <c r="O270" i="46"/>
  <c r="O271" i="46"/>
  <c r="O272" i="46"/>
  <c r="O273" i="46"/>
  <c r="O274" i="46"/>
  <c r="O275" i="46"/>
  <c r="O276" i="46"/>
  <c r="O277" i="46"/>
  <c r="O278" i="46"/>
  <c r="O279" i="46"/>
  <c r="O280" i="46"/>
  <c r="O281" i="46"/>
  <c r="O282" i="46"/>
  <c r="O283" i="46"/>
  <c r="O284" i="46"/>
  <c r="O285" i="46"/>
  <c r="O286" i="46"/>
  <c r="O287" i="46"/>
  <c r="O288" i="46"/>
  <c r="O289" i="46"/>
  <c r="O290" i="46"/>
  <c r="O3" i="46"/>
  <c r="N579" i="32"/>
  <c r="O579" i="32" s="1"/>
  <c r="O486" i="32"/>
  <c r="O488" i="32"/>
  <c r="O490" i="32"/>
  <c r="O494" i="32"/>
  <c r="O496" i="32"/>
  <c r="O502" i="32"/>
  <c r="O504" i="32"/>
  <c r="O510" i="32"/>
  <c r="O512" i="32"/>
  <c r="O514" i="32"/>
  <c r="O518" i="32"/>
  <c r="O528" i="32"/>
  <c r="O530" i="32"/>
  <c r="O534" i="32"/>
  <c r="O536" i="32"/>
  <c r="O539" i="32"/>
  <c r="O542" i="32"/>
  <c r="O544" i="32"/>
  <c r="O546" i="32"/>
  <c r="O550" i="32"/>
  <c r="O552" i="32"/>
  <c r="O554" i="32"/>
  <c r="O558" i="32"/>
  <c r="O560" i="32"/>
  <c r="O562" i="32"/>
  <c r="O566" i="32"/>
  <c r="O567" i="32"/>
  <c r="O568" i="32"/>
  <c r="O571" i="32"/>
  <c r="O573" i="32"/>
  <c r="O576" i="32"/>
  <c r="O578" i="32"/>
  <c r="N578" i="32"/>
  <c r="N577" i="32"/>
  <c r="O577" i="32" s="1"/>
  <c r="N576" i="32"/>
  <c r="I576" i="32"/>
  <c r="I577" i="32" s="1"/>
  <c r="I578" i="32" s="1"/>
  <c r="N575" i="32"/>
  <c r="O575" i="32" s="1"/>
  <c r="N574" i="32"/>
  <c r="O574" i="32" s="1"/>
  <c r="N573" i="32"/>
  <c r="I573" i="32"/>
  <c r="I574" i="32" s="1"/>
  <c r="N572" i="32"/>
  <c r="O572" i="32" s="1"/>
  <c r="I572" i="32"/>
  <c r="H572" i="32"/>
  <c r="H573" i="32" s="1"/>
  <c r="H574" i="32" s="1"/>
  <c r="H575" i="32" s="1"/>
  <c r="H576" i="32" s="1"/>
  <c r="H577" i="32" s="1"/>
  <c r="H578" i="32" s="1"/>
  <c r="N571" i="32"/>
  <c r="N570" i="32"/>
  <c r="O570" i="32" s="1"/>
  <c r="N569" i="32"/>
  <c r="O569" i="32" s="1"/>
  <c r="N568" i="32"/>
  <c r="I568" i="32"/>
  <c r="I569" i="32" s="1"/>
  <c r="I570" i="32" s="1"/>
  <c r="N567" i="32"/>
  <c r="N566" i="32"/>
  <c r="N565" i="32"/>
  <c r="O565" i="32" s="1"/>
  <c r="F565" i="32"/>
  <c r="F566" i="32" s="1"/>
  <c r="F567" i="32" s="1"/>
  <c r="F568" i="32" s="1"/>
  <c r="F569" i="32" s="1"/>
  <c r="F570" i="32" s="1"/>
  <c r="F571" i="32" s="1"/>
  <c r="F572" i="32" s="1"/>
  <c r="F573" i="32" s="1"/>
  <c r="F574" i="32" s="1"/>
  <c r="F575" i="32" s="1"/>
  <c r="F576" i="32" s="1"/>
  <c r="F577" i="32" s="1"/>
  <c r="F578" i="32" s="1"/>
  <c r="N564" i="32"/>
  <c r="O564" i="32" s="1"/>
  <c r="I564" i="32"/>
  <c r="I565" i="32" s="1"/>
  <c r="I566" i="32" s="1"/>
  <c r="H564" i="32"/>
  <c r="H565" i="32" s="1"/>
  <c r="H566" i="32" s="1"/>
  <c r="H567" i="32" s="1"/>
  <c r="H568" i="32" s="1"/>
  <c r="H569" i="32" s="1"/>
  <c r="H570" i="32" s="1"/>
  <c r="G564" i="32"/>
  <c r="G565" i="32" s="1"/>
  <c r="G566" i="32" s="1"/>
  <c r="G567" i="32" s="1"/>
  <c r="G568" i="32" s="1"/>
  <c r="G569" i="32" s="1"/>
  <c r="G570" i="32" s="1"/>
  <c r="G571" i="32" s="1"/>
  <c r="G572" i="32" s="1"/>
  <c r="G573" i="32" s="1"/>
  <c r="G574" i="32" s="1"/>
  <c r="G575" i="32" s="1"/>
  <c r="G576" i="32" s="1"/>
  <c r="G577" i="32" s="1"/>
  <c r="G578" i="32" s="1"/>
  <c r="F564" i="32"/>
  <c r="N563" i="32"/>
  <c r="O563" i="32" s="1"/>
  <c r="N562" i="32"/>
  <c r="N561" i="32"/>
  <c r="O561" i="32" s="1"/>
  <c r="N560" i="32"/>
  <c r="I560" i="32"/>
  <c r="I561" i="32" s="1"/>
  <c r="I562" i="32" s="1"/>
  <c r="N559" i="32"/>
  <c r="O559" i="32" s="1"/>
  <c r="N558" i="32"/>
  <c r="N557" i="32"/>
  <c r="O557" i="32" s="1"/>
  <c r="I557" i="32"/>
  <c r="I558" i="32" s="1"/>
  <c r="N556" i="32"/>
  <c r="O556" i="32" s="1"/>
  <c r="I556" i="32"/>
  <c r="H556" i="32"/>
  <c r="H557" i="32" s="1"/>
  <c r="H558" i="32" s="1"/>
  <c r="H559" i="32" s="1"/>
  <c r="H560" i="32" s="1"/>
  <c r="H561" i="32" s="1"/>
  <c r="H562" i="32" s="1"/>
  <c r="N555" i="32"/>
  <c r="O555" i="32" s="1"/>
  <c r="N554" i="32"/>
  <c r="N553" i="32"/>
  <c r="O553" i="32" s="1"/>
  <c r="N552" i="32"/>
  <c r="I552" i="32"/>
  <c r="I553" i="32" s="1"/>
  <c r="I554" i="32" s="1"/>
  <c r="N551" i="32"/>
  <c r="O551" i="32" s="1"/>
  <c r="N550" i="32"/>
  <c r="N549" i="32"/>
  <c r="O549" i="32" s="1"/>
  <c r="N548" i="32"/>
  <c r="O548" i="32" s="1"/>
  <c r="I548" i="32"/>
  <c r="I549" i="32" s="1"/>
  <c r="I550" i="32" s="1"/>
  <c r="H548" i="32"/>
  <c r="H549" i="32" s="1"/>
  <c r="H550" i="32" s="1"/>
  <c r="H551" i="32" s="1"/>
  <c r="H552" i="32" s="1"/>
  <c r="H553" i="32" s="1"/>
  <c r="H554" i="32" s="1"/>
  <c r="G548" i="32"/>
  <c r="G549" i="32" s="1"/>
  <c r="G550" i="32" s="1"/>
  <c r="G551" i="32" s="1"/>
  <c r="G552" i="32" s="1"/>
  <c r="G553" i="32" s="1"/>
  <c r="G554" i="32" s="1"/>
  <c r="G555" i="32" s="1"/>
  <c r="G556" i="32" s="1"/>
  <c r="G557" i="32" s="1"/>
  <c r="G558" i="32" s="1"/>
  <c r="G559" i="32" s="1"/>
  <c r="G560" i="32" s="1"/>
  <c r="G561" i="32" s="1"/>
  <c r="G562" i="32" s="1"/>
  <c r="F548" i="32"/>
  <c r="F549" i="32" s="1"/>
  <c r="F550" i="32" s="1"/>
  <c r="F551" i="32" s="1"/>
  <c r="F552" i="32" s="1"/>
  <c r="F553" i="32" s="1"/>
  <c r="F554" i="32" s="1"/>
  <c r="F555" i="32" s="1"/>
  <c r="F556" i="32" s="1"/>
  <c r="F557" i="32" s="1"/>
  <c r="F558" i="32" s="1"/>
  <c r="F559" i="32" s="1"/>
  <c r="F560" i="32" s="1"/>
  <c r="F561" i="32" s="1"/>
  <c r="F562" i="32" s="1"/>
  <c r="N547" i="32"/>
  <c r="O547" i="32" s="1"/>
  <c r="N546" i="32"/>
  <c r="N545" i="32"/>
  <c r="O545" i="32" s="1"/>
  <c r="N544" i="32"/>
  <c r="I544" i="32"/>
  <c r="I545" i="32" s="1"/>
  <c r="I546" i="32" s="1"/>
  <c r="N543" i="32"/>
  <c r="O543" i="32" s="1"/>
  <c r="N542" i="32"/>
  <c r="N541" i="32"/>
  <c r="O541" i="32" s="1"/>
  <c r="N540" i="32"/>
  <c r="O540" i="32" s="1"/>
  <c r="I540" i="32"/>
  <c r="I541" i="32" s="1"/>
  <c r="I542" i="32" s="1"/>
  <c r="H540" i="32"/>
  <c r="H541" i="32" s="1"/>
  <c r="H542" i="32" s="1"/>
  <c r="H543" i="32" s="1"/>
  <c r="H544" i="32" s="1"/>
  <c r="H545" i="32" s="1"/>
  <c r="H546" i="32" s="1"/>
  <c r="N539" i="32"/>
  <c r="N538" i="32"/>
  <c r="O538" i="32" s="1"/>
  <c r="N537" i="32"/>
  <c r="O537" i="32" s="1"/>
  <c r="N536" i="32"/>
  <c r="I536" i="32"/>
  <c r="I537" i="32" s="1"/>
  <c r="I538" i="32" s="1"/>
  <c r="N535" i="32"/>
  <c r="O535" i="32" s="1"/>
  <c r="N534" i="32"/>
  <c r="N533" i="32"/>
  <c r="O533" i="32" s="1"/>
  <c r="F533" i="32"/>
  <c r="F534" i="32" s="1"/>
  <c r="F535" i="32" s="1"/>
  <c r="F536" i="32" s="1"/>
  <c r="F537" i="32" s="1"/>
  <c r="F538" i="32" s="1"/>
  <c r="F539" i="32" s="1"/>
  <c r="F540" i="32" s="1"/>
  <c r="F541" i="32" s="1"/>
  <c r="F542" i="32" s="1"/>
  <c r="F543" i="32" s="1"/>
  <c r="F544" i="32" s="1"/>
  <c r="F545" i="32" s="1"/>
  <c r="F546" i="32" s="1"/>
  <c r="N532" i="32"/>
  <c r="O532" i="32" s="1"/>
  <c r="I532" i="32"/>
  <c r="I533" i="32" s="1"/>
  <c r="I534" i="32" s="1"/>
  <c r="H532" i="32"/>
  <c r="H533" i="32" s="1"/>
  <c r="H534" i="32" s="1"/>
  <c r="H535" i="32" s="1"/>
  <c r="H536" i="32" s="1"/>
  <c r="H537" i="32" s="1"/>
  <c r="H538" i="32" s="1"/>
  <c r="G532" i="32"/>
  <c r="G533" i="32" s="1"/>
  <c r="G534" i="32" s="1"/>
  <c r="G535" i="32" s="1"/>
  <c r="G536" i="32" s="1"/>
  <c r="G537" i="32" s="1"/>
  <c r="G538" i="32" s="1"/>
  <c r="G539" i="32" s="1"/>
  <c r="G540" i="32" s="1"/>
  <c r="G541" i="32" s="1"/>
  <c r="G542" i="32" s="1"/>
  <c r="G543" i="32" s="1"/>
  <c r="G544" i="32" s="1"/>
  <c r="G545" i="32" s="1"/>
  <c r="G546" i="32" s="1"/>
  <c r="F532" i="32"/>
  <c r="N531" i="32"/>
  <c r="O531" i="32" s="1"/>
  <c r="N530" i="32"/>
  <c r="N529" i="32"/>
  <c r="O529" i="32" s="1"/>
  <c r="N528" i="32"/>
  <c r="I528" i="32"/>
  <c r="I529" i="32" s="1"/>
  <c r="I530" i="32" s="1"/>
  <c r="N527" i="32"/>
  <c r="O527" i="32" s="1"/>
  <c r="N526" i="32"/>
  <c r="O526" i="32" s="1"/>
  <c r="N525" i="32"/>
  <c r="O525" i="32" s="1"/>
  <c r="I525" i="32"/>
  <c r="I526" i="32" s="1"/>
  <c r="N524" i="32"/>
  <c r="O524" i="32" s="1"/>
  <c r="I524" i="32"/>
  <c r="H524" i="32"/>
  <c r="H525" i="32" s="1"/>
  <c r="H526" i="32" s="1"/>
  <c r="H527" i="32" s="1"/>
  <c r="H528" i="32" s="1"/>
  <c r="H529" i="32" s="1"/>
  <c r="H530" i="32" s="1"/>
  <c r="N523" i="32"/>
  <c r="O523" i="32" s="1"/>
  <c r="N522" i="32"/>
  <c r="O522" i="32" s="1"/>
  <c r="N521" i="32"/>
  <c r="O521" i="32" s="1"/>
  <c r="N520" i="32"/>
  <c r="O520" i="32" s="1"/>
  <c r="I520" i="32"/>
  <c r="I521" i="32" s="1"/>
  <c r="I522" i="32" s="1"/>
  <c r="N519" i="32"/>
  <c r="O519" i="32" s="1"/>
  <c r="N518" i="32"/>
  <c r="N517" i="32"/>
  <c r="O517" i="32" s="1"/>
  <c r="F517" i="32"/>
  <c r="F518" i="32" s="1"/>
  <c r="F519" i="32" s="1"/>
  <c r="F520" i="32" s="1"/>
  <c r="F521" i="32" s="1"/>
  <c r="F522" i="32" s="1"/>
  <c r="F523" i="32" s="1"/>
  <c r="F524" i="32" s="1"/>
  <c r="F525" i="32" s="1"/>
  <c r="F526" i="32" s="1"/>
  <c r="F527" i="32" s="1"/>
  <c r="F528" i="32" s="1"/>
  <c r="F529" i="32" s="1"/>
  <c r="F530" i="32" s="1"/>
  <c r="N516" i="32"/>
  <c r="O516" i="32" s="1"/>
  <c r="I516" i="32"/>
  <c r="I517" i="32" s="1"/>
  <c r="I518" i="32" s="1"/>
  <c r="H516" i="32"/>
  <c r="H517" i="32" s="1"/>
  <c r="H518" i="32" s="1"/>
  <c r="H519" i="32" s="1"/>
  <c r="H520" i="32" s="1"/>
  <c r="H521" i="32" s="1"/>
  <c r="H522" i="32" s="1"/>
  <c r="G516" i="32"/>
  <c r="G517" i="32" s="1"/>
  <c r="G518" i="32" s="1"/>
  <c r="G519" i="32" s="1"/>
  <c r="G520" i="32" s="1"/>
  <c r="G521" i="32" s="1"/>
  <c r="G522" i="32" s="1"/>
  <c r="G523" i="32" s="1"/>
  <c r="G524" i="32" s="1"/>
  <c r="G525" i="32" s="1"/>
  <c r="G526" i="32" s="1"/>
  <c r="G527" i="32" s="1"/>
  <c r="G528" i="32" s="1"/>
  <c r="G529" i="32" s="1"/>
  <c r="G530" i="32" s="1"/>
  <c r="F516" i="32"/>
  <c r="N515" i="32"/>
  <c r="O515" i="32" s="1"/>
  <c r="N514" i="32"/>
  <c r="N513" i="32"/>
  <c r="O513" i="32" s="1"/>
  <c r="N512" i="32"/>
  <c r="I512" i="32"/>
  <c r="I513" i="32" s="1"/>
  <c r="I514" i="32" s="1"/>
  <c r="N511" i="32"/>
  <c r="O511" i="32" s="1"/>
  <c r="N510" i="32"/>
  <c r="N509" i="32"/>
  <c r="O509" i="32" s="1"/>
  <c r="N508" i="32"/>
  <c r="O508" i="32" s="1"/>
  <c r="I508" i="32"/>
  <c r="I509" i="32" s="1"/>
  <c r="I510" i="32" s="1"/>
  <c r="H508" i="32"/>
  <c r="H509" i="32" s="1"/>
  <c r="H510" i="32" s="1"/>
  <c r="H511" i="32" s="1"/>
  <c r="H512" i="32" s="1"/>
  <c r="H513" i="32" s="1"/>
  <c r="H514" i="32" s="1"/>
  <c r="N507" i="32"/>
  <c r="O507" i="32" s="1"/>
  <c r="N506" i="32"/>
  <c r="O506" i="32" s="1"/>
  <c r="N505" i="32"/>
  <c r="O505" i="32" s="1"/>
  <c r="N504" i="32"/>
  <c r="I504" i="32"/>
  <c r="I505" i="32" s="1"/>
  <c r="I506" i="32" s="1"/>
  <c r="N503" i="32"/>
  <c r="O503" i="32" s="1"/>
  <c r="N502" i="32"/>
  <c r="N501" i="32"/>
  <c r="O501" i="32" s="1"/>
  <c r="N500" i="32"/>
  <c r="O500" i="32" s="1"/>
  <c r="I500" i="32"/>
  <c r="I501" i="32" s="1"/>
  <c r="I502" i="32" s="1"/>
  <c r="H500" i="32"/>
  <c r="H501" i="32" s="1"/>
  <c r="H502" i="32" s="1"/>
  <c r="H503" i="32" s="1"/>
  <c r="H504" i="32" s="1"/>
  <c r="H505" i="32" s="1"/>
  <c r="H506" i="32" s="1"/>
  <c r="G500" i="32"/>
  <c r="G501" i="32" s="1"/>
  <c r="G502" i="32" s="1"/>
  <c r="G503" i="32" s="1"/>
  <c r="G504" i="32" s="1"/>
  <c r="G505" i="32" s="1"/>
  <c r="G506" i="32" s="1"/>
  <c r="G507" i="32" s="1"/>
  <c r="G508" i="32" s="1"/>
  <c r="G509" i="32" s="1"/>
  <c r="G510" i="32" s="1"/>
  <c r="G511" i="32" s="1"/>
  <c r="G512" i="32" s="1"/>
  <c r="G513" i="32" s="1"/>
  <c r="G514" i="32" s="1"/>
  <c r="F500" i="32"/>
  <c r="F501" i="32" s="1"/>
  <c r="F502" i="32" s="1"/>
  <c r="F503" i="32" s="1"/>
  <c r="F504" i="32" s="1"/>
  <c r="F505" i="32" s="1"/>
  <c r="F506" i="32" s="1"/>
  <c r="F507" i="32" s="1"/>
  <c r="F508" i="32" s="1"/>
  <c r="F509" i="32" s="1"/>
  <c r="F510" i="32" s="1"/>
  <c r="F511" i="32" s="1"/>
  <c r="F512" i="32" s="1"/>
  <c r="F513" i="32" s="1"/>
  <c r="F514" i="32" s="1"/>
  <c r="N499" i="32"/>
  <c r="O499" i="32" s="1"/>
  <c r="N498" i="32"/>
  <c r="O498" i="32" s="1"/>
  <c r="N497" i="32"/>
  <c r="O497" i="32" s="1"/>
  <c r="N496" i="32"/>
  <c r="I496" i="32"/>
  <c r="I497" i="32" s="1"/>
  <c r="I498" i="32" s="1"/>
  <c r="N495" i="32"/>
  <c r="O495" i="32" s="1"/>
  <c r="N494" i="32"/>
  <c r="N493" i="32"/>
  <c r="O493" i="32" s="1"/>
  <c r="H493" i="32"/>
  <c r="H494" i="32" s="1"/>
  <c r="H495" i="32" s="1"/>
  <c r="H496" i="32" s="1"/>
  <c r="H497" i="32" s="1"/>
  <c r="H498" i="32" s="1"/>
  <c r="N492" i="32"/>
  <c r="O492" i="32" s="1"/>
  <c r="I492" i="32"/>
  <c r="I493" i="32" s="1"/>
  <c r="I494" i="32" s="1"/>
  <c r="H492" i="32"/>
  <c r="N491" i="32"/>
  <c r="O491" i="32" s="1"/>
  <c r="N490" i="32"/>
  <c r="N489" i="32"/>
  <c r="O489" i="32" s="1"/>
  <c r="N488" i="32"/>
  <c r="I488" i="32"/>
  <c r="I489" i="32" s="1"/>
  <c r="I490" i="32" s="1"/>
  <c r="N487" i="32"/>
  <c r="O487" i="32" s="1"/>
  <c r="N486" i="32"/>
  <c r="N485" i="32"/>
  <c r="O485" i="32" s="1"/>
  <c r="F485" i="32"/>
  <c r="F486" i="32" s="1"/>
  <c r="F487" i="32" s="1"/>
  <c r="F488" i="32" s="1"/>
  <c r="F489" i="32" s="1"/>
  <c r="F490" i="32" s="1"/>
  <c r="F491" i="32" s="1"/>
  <c r="F492" i="32" s="1"/>
  <c r="F493" i="32" s="1"/>
  <c r="F494" i="32" s="1"/>
  <c r="F495" i="32" s="1"/>
  <c r="F496" i="32" s="1"/>
  <c r="F497" i="32" s="1"/>
  <c r="F498" i="32" s="1"/>
  <c r="N484" i="32"/>
  <c r="O484" i="32" s="1"/>
  <c r="I484" i="32"/>
  <c r="I485" i="32" s="1"/>
  <c r="I486" i="32" s="1"/>
  <c r="H484" i="32"/>
  <c r="H485" i="32" s="1"/>
  <c r="H486" i="32" s="1"/>
  <c r="H487" i="32" s="1"/>
  <c r="H488" i="32" s="1"/>
  <c r="H489" i="32" s="1"/>
  <c r="H490" i="32" s="1"/>
  <c r="G484" i="32"/>
  <c r="G485" i="32" s="1"/>
  <c r="G486" i="32" s="1"/>
  <c r="G487" i="32" s="1"/>
  <c r="G488" i="32" s="1"/>
  <c r="G489" i="32" s="1"/>
  <c r="G490" i="32" s="1"/>
  <c r="G491" i="32" s="1"/>
  <c r="G492" i="32" s="1"/>
  <c r="G493" i="32" s="1"/>
  <c r="G494" i="32" s="1"/>
  <c r="G495" i="32" s="1"/>
  <c r="G496" i="32" s="1"/>
  <c r="G497" i="32" s="1"/>
  <c r="G498" i="32" s="1"/>
  <c r="F484" i="32"/>
  <c r="N483" i="32"/>
  <c r="O483" i="32" s="1"/>
  <c r="O4" i="30"/>
  <c r="O5" i="30"/>
  <c r="O6" i="30"/>
  <c r="O7" i="30"/>
  <c r="O8" i="30"/>
  <c r="O9" i="30"/>
  <c r="O10" i="30"/>
  <c r="O11" i="30"/>
  <c r="O12" i="30"/>
  <c r="O13" i="30"/>
  <c r="O14" i="30"/>
  <c r="O15" i="30"/>
  <c r="O16" i="30"/>
  <c r="O17" i="30"/>
  <c r="O18" i="30"/>
  <c r="O19" i="30"/>
  <c r="O20" i="30"/>
  <c r="O21" i="30"/>
  <c r="O22" i="30"/>
  <c r="O23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O41" i="30"/>
  <c r="O42" i="30"/>
  <c r="O43" i="30"/>
  <c r="O44" i="30"/>
  <c r="O45" i="30"/>
  <c r="O46" i="30"/>
  <c r="O47" i="30"/>
  <c r="O48" i="30"/>
  <c r="O49" i="30"/>
  <c r="O50" i="30"/>
  <c r="O51" i="30"/>
  <c r="O52" i="30"/>
  <c r="O53" i="30"/>
  <c r="O54" i="30"/>
  <c r="O55" i="30"/>
  <c r="O56" i="30"/>
  <c r="O57" i="30"/>
  <c r="O58" i="30"/>
  <c r="O59" i="30"/>
  <c r="O60" i="30"/>
  <c r="O61" i="30"/>
  <c r="O62" i="30"/>
  <c r="O63" i="30"/>
  <c r="O64" i="30"/>
  <c r="O65" i="30"/>
  <c r="O66" i="30"/>
  <c r="O67" i="30"/>
  <c r="O68" i="30"/>
  <c r="O69" i="30"/>
  <c r="O70" i="30"/>
  <c r="O71" i="30"/>
  <c r="O72" i="30"/>
  <c r="O73" i="30"/>
  <c r="O74" i="30"/>
  <c r="O75" i="30"/>
  <c r="O76" i="30"/>
  <c r="O77" i="30"/>
  <c r="O78" i="30"/>
  <c r="O79" i="30"/>
  <c r="O80" i="30"/>
  <c r="O81" i="30"/>
  <c r="O82" i="30"/>
  <c r="O83" i="30"/>
  <c r="O84" i="30"/>
  <c r="O85" i="30"/>
  <c r="O86" i="30"/>
  <c r="O87" i="30"/>
  <c r="O88" i="30"/>
  <c r="O89" i="30"/>
  <c r="O90" i="30"/>
  <c r="O91" i="30"/>
  <c r="O92" i="30"/>
  <c r="O93" i="30"/>
  <c r="O94" i="30"/>
  <c r="O95" i="30"/>
  <c r="O96" i="30"/>
  <c r="O97" i="30"/>
  <c r="O98" i="30"/>
  <c r="O99" i="30"/>
  <c r="O100" i="30"/>
  <c r="O101" i="30"/>
  <c r="O102" i="30"/>
  <c r="O103" i="30"/>
  <c r="O104" i="30"/>
  <c r="O105" i="30"/>
  <c r="O106" i="30"/>
  <c r="O107" i="30"/>
  <c r="O108" i="30"/>
  <c r="O109" i="30"/>
  <c r="O110" i="30"/>
  <c r="O111" i="30"/>
  <c r="O112" i="30"/>
  <c r="O113" i="30"/>
  <c r="O114" i="30"/>
  <c r="O115" i="30"/>
  <c r="O116" i="30"/>
  <c r="O117" i="30"/>
  <c r="O118" i="30"/>
  <c r="O119" i="30"/>
  <c r="O120" i="30"/>
  <c r="O121" i="30"/>
  <c r="O122" i="30"/>
  <c r="O123" i="30"/>
  <c r="O124" i="30"/>
  <c r="O125" i="30"/>
  <c r="O126" i="30"/>
  <c r="O127" i="30"/>
  <c r="O128" i="30"/>
  <c r="O129" i="30"/>
  <c r="O130" i="30"/>
  <c r="O131" i="30"/>
  <c r="O132" i="30"/>
  <c r="O133" i="30"/>
  <c r="O134" i="30"/>
  <c r="O135" i="30"/>
  <c r="O136" i="30"/>
  <c r="O137" i="30"/>
  <c r="O138" i="30"/>
  <c r="O139" i="30"/>
  <c r="O140" i="30"/>
  <c r="O141" i="30"/>
  <c r="O142" i="30"/>
  <c r="O143" i="30"/>
  <c r="O144" i="30"/>
  <c r="O145" i="30"/>
  <c r="O146" i="30"/>
  <c r="O147" i="30"/>
  <c r="O148" i="30"/>
  <c r="O149" i="30"/>
  <c r="O150" i="30"/>
  <c r="O151" i="30"/>
  <c r="O152" i="30"/>
  <c r="O153" i="30"/>
  <c r="O154" i="30"/>
  <c r="O155" i="30"/>
  <c r="O156" i="30"/>
  <c r="O157" i="30"/>
  <c r="O158" i="30"/>
  <c r="O159" i="30"/>
  <c r="O160" i="30"/>
  <c r="O161" i="30"/>
  <c r="O162" i="30"/>
  <c r="O163" i="30"/>
  <c r="O164" i="30"/>
  <c r="O165" i="30"/>
  <c r="O166" i="30"/>
  <c r="O167" i="30"/>
  <c r="O168" i="30"/>
  <c r="O169" i="30"/>
  <c r="O170" i="30"/>
  <c r="O171" i="30"/>
  <c r="O172" i="30"/>
  <c r="O173" i="30"/>
  <c r="O174" i="30"/>
  <c r="O175" i="30"/>
  <c r="O176" i="30"/>
  <c r="O177" i="30"/>
  <c r="O178" i="30"/>
  <c r="O179" i="30"/>
  <c r="O180" i="30"/>
  <c r="O181" i="30"/>
  <c r="O182" i="30"/>
  <c r="O183" i="30"/>
  <c r="O184" i="30"/>
  <c r="O185" i="30"/>
  <c r="O186" i="30"/>
  <c r="O187" i="30"/>
  <c r="O188" i="30"/>
  <c r="O189" i="30"/>
  <c r="O190" i="30"/>
  <c r="O191" i="30"/>
  <c r="O192" i="30"/>
  <c r="O193" i="30"/>
  <c r="O194" i="30"/>
  <c r="O195" i="30"/>
  <c r="O196" i="30"/>
  <c r="O197" i="30"/>
  <c r="O198" i="30"/>
  <c r="O199" i="30"/>
  <c r="O200" i="30"/>
  <c r="O201" i="30"/>
  <c r="O202" i="30"/>
  <c r="O203" i="30"/>
  <c r="O204" i="30"/>
  <c r="O205" i="30"/>
  <c r="O206" i="30"/>
  <c r="O207" i="30"/>
  <c r="O208" i="30"/>
  <c r="O209" i="30"/>
  <c r="O210" i="30"/>
  <c r="O211" i="30"/>
  <c r="O212" i="30"/>
  <c r="O213" i="30"/>
  <c r="O214" i="30"/>
  <c r="O215" i="30"/>
  <c r="O216" i="30"/>
  <c r="O217" i="30"/>
  <c r="O218" i="30"/>
  <c r="O219" i="30"/>
  <c r="O220" i="30"/>
  <c r="O221" i="30"/>
  <c r="O222" i="30"/>
  <c r="O223" i="30"/>
  <c r="O224" i="30"/>
  <c r="O225" i="30"/>
  <c r="O226" i="30"/>
  <c r="O227" i="30"/>
  <c r="O228" i="30"/>
  <c r="O229" i="30"/>
  <c r="O230" i="30"/>
  <c r="O231" i="30"/>
  <c r="O232" i="30"/>
  <c r="O233" i="30"/>
  <c r="O234" i="30"/>
  <c r="O235" i="30"/>
  <c r="O236" i="30"/>
  <c r="O237" i="30"/>
  <c r="O238" i="30"/>
  <c r="O239" i="30"/>
  <c r="O240" i="30"/>
  <c r="O241" i="30"/>
  <c r="O242" i="30"/>
  <c r="O243" i="30"/>
  <c r="O244" i="30"/>
  <c r="O245" i="30"/>
  <c r="O246" i="30"/>
  <c r="O247" i="30"/>
  <c r="O248" i="30"/>
  <c r="O249" i="30"/>
  <c r="O250" i="30"/>
  <c r="O251" i="30"/>
  <c r="O252" i="30"/>
  <c r="O253" i="30"/>
  <c r="O254" i="30"/>
  <c r="O255" i="30"/>
  <c r="O256" i="30"/>
  <c r="O257" i="30"/>
  <c r="O258" i="30"/>
  <c r="O259" i="30"/>
  <c r="O260" i="30"/>
  <c r="O261" i="30"/>
  <c r="O262" i="30"/>
  <c r="O263" i="30"/>
  <c r="O264" i="30"/>
  <c r="O265" i="30"/>
  <c r="O266" i="30"/>
  <c r="O267" i="30"/>
  <c r="O268" i="30"/>
  <c r="O269" i="30"/>
  <c r="O270" i="30"/>
  <c r="O271" i="30"/>
  <c r="O272" i="30"/>
  <c r="O273" i="30"/>
  <c r="O274" i="30"/>
  <c r="O275" i="30"/>
  <c r="O276" i="30"/>
  <c r="O277" i="30"/>
  <c r="O278" i="30"/>
  <c r="O279" i="30"/>
  <c r="O280" i="30"/>
  <c r="O281" i="30"/>
  <c r="O282" i="30"/>
  <c r="O283" i="30"/>
  <c r="O284" i="30"/>
  <c r="O285" i="30"/>
  <c r="O286" i="30"/>
  <c r="O287" i="30"/>
  <c r="O288" i="30"/>
  <c r="O289" i="30"/>
  <c r="O290" i="30"/>
  <c r="O291" i="30"/>
  <c r="O292" i="30"/>
  <c r="O293" i="30"/>
  <c r="O294" i="30"/>
  <c r="O295" i="30"/>
  <c r="O296" i="30"/>
  <c r="O297" i="30"/>
  <c r="O298" i="30"/>
  <c r="O299" i="30"/>
  <c r="O300" i="30"/>
  <c r="O301" i="30"/>
  <c r="O302" i="30"/>
  <c r="O303" i="30"/>
  <c r="O304" i="30"/>
  <c r="O305" i="30"/>
  <c r="O306" i="30"/>
  <c r="O307" i="30"/>
  <c r="O308" i="30"/>
  <c r="O309" i="30"/>
  <c r="O310" i="30"/>
  <c r="O311" i="30"/>
  <c r="O312" i="30"/>
  <c r="O313" i="30"/>
  <c r="O314" i="30"/>
  <c r="O315" i="30"/>
  <c r="O316" i="30"/>
  <c r="O317" i="30"/>
  <c r="O318" i="30"/>
  <c r="O319" i="30"/>
  <c r="O320" i="30"/>
  <c r="O321" i="30"/>
  <c r="O322" i="30"/>
  <c r="O323" i="30"/>
  <c r="O324" i="30"/>
  <c r="O325" i="30"/>
  <c r="O326" i="30"/>
  <c r="O327" i="30"/>
  <c r="O328" i="30"/>
  <c r="O329" i="30"/>
  <c r="O330" i="30"/>
  <c r="O331" i="30"/>
  <c r="O332" i="30"/>
  <c r="O333" i="30"/>
  <c r="O334" i="30"/>
  <c r="O335" i="30"/>
  <c r="O336" i="30"/>
  <c r="O337" i="30"/>
  <c r="O338" i="30"/>
  <c r="O339" i="30"/>
  <c r="O340" i="30"/>
  <c r="O341" i="30"/>
  <c r="O342" i="30"/>
  <c r="O343" i="30"/>
  <c r="O344" i="30"/>
  <c r="O345" i="30"/>
  <c r="O346" i="30"/>
  <c r="O347" i="30"/>
  <c r="O348" i="30"/>
  <c r="O349" i="30"/>
  <c r="O350" i="30"/>
  <c r="O351" i="30"/>
  <c r="O352" i="30"/>
  <c r="O353" i="30"/>
  <c r="O354" i="30"/>
  <c r="O355" i="30"/>
  <c r="O356" i="30"/>
  <c r="O357" i="30"/>
  <c r="O358" i="30"/>
  <c r="O359" i="30"/>
  <c r="O360" i="30"/>
  <c r="O361" i="30"/>
  <c r="O362" i="30"/>
  <c r="O363" i="30"/>
  <c r="O364" i="30"/>
  <c r="O365" i="30"/>
  <c r="O366" i="30"/>
  <c r="O367" i="30"/>
  <c r="O368" i="30"/>
  <c r="O369" i="30"/>
  <c r="O370" i="30"/>
  <c r="O371" i="30"/>
  <c r="O372" i="30"/>
  <c r="O373" i="30"/>
  <c r="O374" i="30"/>
  <c r="O375" i="30"/>
  <c r="O376" i="30"/>
  <c r="O377" i="30"/>
  <c r="O378" i="30"/>
  <c r="O379" i="30"/>
  <c r="O380" i="30"/>
  <c r="O381" i="30"/>
  <c r="O382" i="30"/>
  <c r="O383" i="30"/>
  <c r="O384" i="30"/>
  <c r="O385" i="30"/>
  <c r="O386" i="30"/>
  <c r="O387" i="30"/>
  <c r="O388" i="30"/>
  <c r="O389" i="30"/>
  <c r="O390" i="30"/>
  <c r="O391" i="30"/>
  <c r="O392" i="30"/>
  <c r="O393" i="30"/>
  <c r="O394" i="30"/>
  <c r="O395" i="30"/>
  <c r="O396" i="30"/>
  <c r="O397" i="30"/>
  <c r="O398" i="30"/>
  <c r="O399" i="30"/>
  <c r="O400" i="30"/>
  <c r="O401" i="30"/>
  <c r="O402" i="30"/>
  <c r="O403" i="30"/>
  <c r="O404" i="30"/>
  <c r="O405" i="30"/>
  <c r="O406" i="30"/>
  <c r="O407" i="30"/>
  <c r="O408" i="30"/>
  <c r="O409" i="30"/>
  <c r="O410" i="30"/>
  <c r="O411" i="30"/>
  <c r="O412" i="30"/>
  <c r="O413" i="30"/>
  <c r="O414" i="30"/>
  <c r="O415" i="30"/>
  <c r="O416" i="30"/>
  <c r="O417" i="30"/>
  <c r="O418" i="30"/>
  <c r="O419" i="30"/>
  <c r="O420" i="30"/>
  <c r="O421" i="30"/>
  <c r="O422" i="30"/>
  <c r="O423" i="30"/>
  <c r="O424" i="30"/>
  <c r="O425" i="30"/>
  <c r="O426" i="30"/>
  <c r="O427" i="30"/>
  <c r="O428" i="30"/>
  <c r="O429" i="30"/>
  <c r="O430" i="30"/>
  <c r="O431" i="30"/>
  <c r="O432" i="30"/>
  <c r="O433" i="30"/>
  <c r="O434" i="30"/>
  <c r="O435" i="30"/>
  <c r="O436" i="30"/>
  <c r="O437" i="30"/>
  <c r="O438" i="30"/>
  <c r="O439" i="30"/>
  <c r="O440" i="30"/>
  <c r="O441" i="30"/>
  <c r="O442" i="30"/>
  <c r="O443" i="30"/>
  <c r="O444" i="30"/>
  <c r="O445" i="30"/>
  <c r="O446" i="30"/>
  <c r="O447" i="30"/>
  <c r="O448" i="30"/>
  <c r="O449" i="30"/>
  <c r="O450" i="30"/>
  <c r="O451" i="30"/>
  <c r="O452" i="30"/>
  <c r="O453" i="30"/>
  <c r="O454" i="30"/>
  <c r="O455" i="30"/>
  <c r="O456" i="30"/>
  <c r="O457" i="30"/>
  <c r="O458" i="30"/>
  <c r="O459" i="30"/>
  <c r="O460" i="30"/>
  <c r="O461" i="30"/>
  <c r="O462" i="30"/>
  <c r="O463" i="30"/>
  <c r="O464" i="30"/>
  <c r="O465" i="30"/>
  <c r="O466" i="30"/>
  <c r="O467" i="30"/>
  <c r="O468" i="30"/>
  <c r="O469" i="30"/>
  <c r="O470" i="30"/>
  <c r="O471" i="30"/>
  <c r="O472" i="30"/>
  <c r="O473" i="30"/>
  <c r="O474" i="30"/>
  <c r="O475" i="30"/>
  <c r="O476" i="30"/>
  <c r="O477" i="30"/>
  <c r="O478" i="30"/>
  <c r="O479" i="30"/>
  <c r="O480" i="30"/>
  <c r="O481" i="30"/>
  <c r="O482" i="30"/>
  <c r="O483" i="30"/>
  <c r="O484" i="30"/>
  <c r="O485" i="30"/>
  <c r="O486" i="30"/>
  <c r="O487" i="30"/>
  <c r="O488" i="30"/>
  <c r="O489" i="30"/>
  <c r="O490" i="30"/>
  <c r="O491" i="30"/>
  <c r="O492" i="30"/>
  <c r="O493" i="30"/>
  <c r="O494" i="30"/>
  <c r="O495" i="30"/>
  <c r="O496" i="30"/>
  <c r="O497" i="30"/>
  <c r="O498" i="30"/>
  <c r="O499" i="30"/>
  <c r="O500" i="30"/>
  <c r="O501" i="30"/>
  <c r="O502" i="30"/>
  <c r="O503" i="30"/>
  <c r="O504" i="30"/>
  <c r="O505" i="30"/>
  <c r="O506" i="30"/>
  <c r="O507" i="30"/>
  <c r="O508" i="30"/>
  <c r="O509" i="30"/>
  <c r="O510" i="30"/>
  <c r="O511" i="30"/>
  <c r="O512" i="30"/>
  <c r="O513" i="30"/>
  <c r="O514" i="30"/>
  <c r="O515" i="30"/>
  <c r="O516" i="30"/>
  <c r="O517" i="30"/>
  <c r="O518" i="30"/>
  <c r="O519" i="30"/>
  <c r="O520" i="30"/>
  <c r="O521" i="30"/>
  <c r="O522" i="30"/>
  <c r="O523" i="30"/>
  <c r="O524" i="30"/>
  <c r="O525" i="30"/>
  <c r="O526" i="30"/>
  <c r="O527" i="30"/>
  <c r="O528" i="30"/>
  <c r="O529" i="30"/>
  <c r="O530" i="30"/>
  <c r="O531" i="30"/>
  <c r="O532" i="30"/>
  <c r="O533" i="30"/>
  <c r="O534" i="30"/>
  <c r="O535" i="30"/>
  <c r="O536" i="30"/>
  <c r="O537" i="30"/>
  <c r="O538" i="30"/>
  <c r="O539" i="30"/>
  <c r="O540" i="30"/>
  <c r="O541" i="30"/>
  <c r="O542" i="30"/>
  <c r="O543" i="30"/>
  <c r="O544" i="30"/>
  <c r="O545" i="30"/>
  <c r="O546" i="30"/>
  <c r="O547" i="30"/>
  <c r="O548" i="30"/>
  <c r="O549" i="30"/>
  <c r="O550" i="30"/>
  <c r="O551" i="30"/>
  <c r="O552" i="30"/>
  <c r="O553" i="30"/>
  <c r="O554" i="30"/>
  <c r="O555" i="30"/>
  <c r="O556" i="30"/>
  <c r="O557" i="30"/>
  <c r="O558" i="30"/>
  <c r="O559" i="30"/>
  <c r="O560" i="30"/>
  <c r="O561" i="30"/>
  <c r="O562" i="30"/>
  <c r="O563" i="30"/>
  <c r="O564" i="30"/>
  <c r="O565" i="30"/>
  <c r="O566" i="30"/>
  <c r="O567" i="30"/>
  <c r="O568" i="30"/>
  <c r="O569" i="30"/>
  <c r="O570" i="30"/>
  <c r="O571" i="30"/>
  <c r="O572" i="30"/>
  <c r="O573" i="30"/>
  <c r="O574" i="30"/>
  <c r="O575" i="30"/>
  <c r="O576" i="30"/>
  <c r="O577" i="30"/>
  <c r="O578" i="30"/>
  <c r="O3" i="30"/>
  <c r="O387" i="42" l="1"/>
  <c r="O388" i="42"/>
  <c r="O389" i="42"/>
  <c r="O390" i="42"/>
  <c r="O391" i="42"/>
  <c r="O392" i="42"/>
  <c r="O393" i="42"/>
  <c r="O394" i="42"/>
  <c r="O395" i="42"/>
  <c r="O396" i="42"/>
  <c r="O397" i="42"/>
  <c r="O398" i="42"/>
  <c r="O399" i="42"/>
  <c r="O400" i="42"/>
  <c r="O401" i="42"/>
  <c r="O402" i="42"/>
  <c r="O403" i="42"/>
  <c r="O404" i="42"/>
  <c r="O405" i="42"/>
  <c r="O406" i="42"/>
  <c r="O407" i="42"/>
  <c r="O408" i="42"/>
  <c r="O409" i="42"/>
  <c r="O410" i="42"/>
  <c r="O411" i="42"/>
  <c r="O412" i="42"/>
  <c r="O413" i="42"/>
  <c r="O414" i="42"/>
  <c r="O415" i="42"/>
  <c r="O416" i="42"/>
  <c r="O417" i="42"/>
  <c r="O418" i="42"/>
  <c r="O419" i="42"/>
  <c r="O420" i="42"/>
  <c r="O421" i="42"/>
  <c r="O422" i="42"/>
  <c r="O423" i="42"/>
  <c r="O424" i="42"/>
  <c r="O425" i="42"/>
  <c r="O426" i="42"/>
  <c r="O427" i="42"/>
  <c r="O428" i="42"/>
  <c r="O429" i="42"/>
  <c r="O430" i="42"/>
  <c r="O431" i="42"/>
  <c r="O432" i="42"/>
  <c r="O433" i="42"/>
  <c r="O434" i="42"/>
  <c r="O435" i="42"/>
  <c r="O436" i="42"/>
  <c r="O437" i="42"/>
  <c r="O438" i="42"/>
  <c r="O439" i="42"/>
  <c r="O440" i="42"/>
  <c r="O441" i="42"/>
  <c r="O442" i="42"/>
  <c r="O443" i="42"/>
  <c r="O444" i="42"/>
  <c r="O445" i="42"/>
  <c r="O446" i="42"/>
  <c r="O447" i="42"/>
  <c r="O448" i="42"/>
  <c r="O449" i="42"/>
  <c r="O450" i="42"/>
  <c r="O451" i="42"/>
  <c r="O452" i="42"/>
  <c r="O453" i="42"/>
  <c r="O454" i="42"/>
  <c r="O455" i="42"/>
  <c r="O456" i="42"/>
  <c r="O457" i="42"/>
  <c r="O458" i="42"/>
  <c r="O459" i="42"/>
  <c r="O460" i="42"/>
  <c r="O461" i="42"/>
  <c r="O462" i="42"/>
  <c r="O463" i="42"/>
  <c r="O464" i="42"/>
  <c r="O465" i="42"/>
  <c r="O466" i="42"/>
  <c r="O467" i="42"/>
  <c r="O468" i="42"/>
  <c r="O469" i="42"/>
  <c r="O470" i="42"/>
  <c r="O471" i="42"/>
  <c r="O472" i="42"/>
  <c r="O473" i="42"/>
  <c r="O474" i="42"/>
  <c r="O475" i="42"/>
  <c r="O476" i="42"/>
  <c r="O477" i="42"/>
  <c r="O478" i="42"/>
  <c r="O479" i="42"/>
  <c r="O480" i="42"/>
  <c r="O481" i="42"/>
  <c r="O482" i="42"/>
  <c r="N482" i="42"/>
  <c r="N481" i="42"/>
  <c r="I481" i="42"/>
  <c r="I482" i="42" s="1"/>
  <c r="N480" i="42"/>
  <c r="I480" i="42"/>
  <c r="N479" i="42"/>
  <c r="N478" i="42"/>
  <c r="N477" i="42"/>
  <c r="N476" i="42"/>
  <c r="I476" i="42"/>
  <c r="I477" i="42" s="1"/>
  <c r="I478" i="42" s="1"/>
  <c r="H476" i="42"/>
  <c r="H477" i="42" s="1"/>
  <c r="H478" i="42" s="1"/>
  <c r="H479" i="42" s="1"/>
  <c r="H480" i="42" s="1"/>
  <c r="H481" i="42" s="1"/>
  <c r="H482" i="42" s="1"/>
  <c r="N475" i="42"/>
  <c r="N474" i="42"/>
  <c r="N473" i="42"/>
  <c r="N472" i="42"/>
  <c r="I472" i="42"/>
  <c r="I473" i="42" s="1"/>
  <c r="I474" i="42" s="1"/>
  <c r="N471" i="42"/>
  <c r="N470" i="42"/>
  <c r="N469" i="42"/>
  <c r="I469" i="42"/>
  <c r="I470" i="42" s="1"/>
  <c r="H469" i="42"/>
  <c r="H470" i="42" s="1"/>
  <c r="H471" i="42" s="1"/>
  <c r="H472" i="42" s="1"/>
  <c r="H473" i="42" s="1"/>
  <c r="H474" i="42" s="1"/>
  <c r="N468" i="42"/>
  <c r="I468" i="42"/>
  <c r="H468" i="42"/>
  <c r="G468" i="42"/>
  <c r="G469" i="42" s="1"/>
  <c r="G470" i="42" s="1"/>
  <c r="G471" i="42" s="1"/>
  <c r="G472" i="42" s="1"/>
  <c r="G473" i="42" s="1"/>
  <c r="G474" i="42" s="1"/>
  <c r="G475" i="42" s="1"/>
  <c r="G476" i="42" s="1"/>
  <c r="G477" i="42" s="1"/>
  <c r="G478" i="42" s="1"/>
  <c r="G479" i="42" s="1"/>
  <c r="G480" i="42" s="1"/>
  <c r="G481" i="42" s="1"/>
  <c r="G482" i="42" s="1"/>
  <c r="F468" i="42"/>
  <c r="F469" i="42" s="1"/>
  <c r="F470" i="42" s="1"/>
  <c r="F471" i="42" s="1"/>
  <c r="F472" i="42" s="1"/>
  <c r="F473" i="42" s="1"/>
  <c r="F474" i="42" s="1"/>
  <c r="F475" i="42" s="1"/>
  <c r="F476" i="42" s="1"/>
  <c r="F477" i="42" s="1"/>
  <c r="F478" i="42" s="1"/>
  <c r="F479" i="42" s="1"/>
  <c r="F480" i="42" s="1"/>
  <c r="F481" i="42" s="1"/>
  <c r="F482" i="42" s="1"/>
  <c r="N467" i="42"/>
  <c r="N466" i="42"/>
  <c r="N465" i="42"/>
  <c r="I465" i="42"/>
  <c r="I466" i="42" s="1"/>
  <c r="N464" i="42"/>
  <c r="I464" i="42"/>
  <c r="N463" i="42"/>
  <c r="N462" i="42"/>
  <c r="H462" i="42"/>
  <c r="H463" i="42" s="1"/>
  <c r="H464" i="42" s="1"/>
  <c r="H465" i="42" s="1"/>
  <c r="H466" i="42" s="1"/>
  <c r="N461" i="42"/>
  <c r="H461" i="42"/>
  <c r="N460" i="42"/>
  <c r="I460" i="42"/>
  <c r="I461" i="42" s="1"/>
  <c r="I462" i="42" s="1"/>
  <c r="N459" i="42"/>
  <c r="N458" i="42"/>
  <c r="N457" i="42"/>
  <c r="N456" i="42"/>
  <c r="I456" i="42"/>
  <c r="I457" i="42" s="1"/>
  <c r="I458" i="42" s="1"/>
  <c r="N455" i="42"/>
  <c r="N454" i="42"/>
  <c r="N453" i="42"/>
  <c r="I453" i="42"/>
  <c r="I454" i="42" s="1"/>
  <c r="H453" i="42"/>
  <c r="H454" i="42" s="1"/>
  <c r="H455" i="42" s="1"/>
  <c r="H456" i="42" s="1"/>
  <c r="H457" i="42" s="1"/>
  <c r="H458" i="42" s="1"/>
  <c r="N452" i="42"/>
  <c r="I452" i="42"/>
  <c r="H452" i="42"/>
  <c r="G452" i="42"/>
  <c r="G453" i="42" s="1"/>
  <c r="G454" i="42" s="1"/>
  <c r="G455" i="42" s="1"/>
  <c r="G456" i="42" s="1"/>
  <c r="G457" i="42" s="1"/>
  <c r="G458" i="42" s="1"/>
  <c r="G459" i="42" s="1"/>
  <c r="G460" i="42" s="1"/>
  <c r="G461" i="42" s="1"/>
  <c r="G462" i="42" s="1"/>
  <c r="G463" i="42" s="1"/>
  <c r="G464" i="42" s="1"/>
  <c r="G465" i="42" s="1"/>
  <c r="G466" i="42" s="1"/>
  <c r="F452" i="42"/>
  <c r="F453" i="42" s="1"/>
  <c r="F454" i="42" s="1"/>
  <c r="F455" i="42" s="1"/>
  <c r="F456" i="42" s="1"/>
  <c r="F457" i="42" s="1"/>
  <c r="F458" i="42" s="1"/>
  <c r="F459" i="42" s="1"/>
  <c r="F460" i="42" s="1"/>
  <c r="F461" i="42" s="1"/>
  <c r="F462" i="42" s="1"/>
  <c r="F463" i="42" s="1"/>
  <c r="F464" i="42" s="1"/>
  <c r="F465" i="42" s="1"/>
  <c r="F466" i="42" s="1"/>
  <c r="N451" i="42"/>
  <c r="N450" i="42"/>
  <c r="N449" i="42"/>
  <c r="I449" i="42"/>
  <c r="I450" i="42" s="1"/>
  <c r="N448" i="42"/>
  <c r="I448" i="42"/>
  <c r="N447" i="42"/>
  <c r="N446" i="42"/>
  <c r="N445" i="42"/>
  <c r="N444" i="42"/>
  <c r="I444" i="42"/>
  <c r="I445" i="42" s="1"/>
  <c r="I446" i="42" s="1"/>
  <c r="H444" i="42"/>
  <c r="H445" i="42" s="1"/>
  <c r="H446" i="42" s="1"/>
  <c r="H447" i="42" s="1"/>
  <c r="H448" i="42" s="1"/>
  <c r="H449" i="42" s="1"/>
  <c r="H450" i="42" s="1"/>
  <c r="N443" i="42"/>
  <c r="N442" i="42"/>
  <c r="N441" i="42"/>
  <c r="N440" i="42"/>
  <c r="I440" i="42"/>
  <c r="I441" i="42" s="1"/>
  <c r="I442" i="42" s="1"/>
  <c r="N439" i="42"/>
  <c r="N438" i="42"/>
  <c r="N437" i="42"/>
  <c r="I437" i="42"/>
  <c r="I438" i="42" s="1"/>
  <c r="H437" i="42"/>
  <c r="H438" i="42" s="1"/>
  <c r="H439" i="42" s="1"/>
  <c r="H440" i="42" s="1"/>
  <c r="H441" i="42" s="1"/>
  <c r="H442" i="42" s="1"/>
  <c r="N436" i="42"/>
  <c r="I436" i="42"/>
  <c r="H436" i="42"/>
  <c r="G436" i="42"/>
  <c r="G437" i="42" s="1"/>
  <c r="G438" i="42" s="1"/>
  <c r="G439" i="42" s="1"/>
  <c r="G440" i="42" s="1"/>
  <c r="G441" i="42" s="1"/>
  <c r="G442" i="42" s="1"/>
  <c r="G443" i="42" s="1"/>
  <c r="G444" i="42" s="1"/>
  <c r="G445" i="42" s="1"/>
  <c r="G446" i="42" s="1"/>
  <c r="G447" i="42" s="1"/>
  <c r="G448" i="42" s="1"/>
  <c r="G449" i="42" s="1"/>
  <c r="G450" i="42" s="1"/>
  <c r="F436" i="42"/>
  <c r="F437" i="42" s="1"/>
  <c r="F438" i="42" s="1"/>
  <c r="F439" i="42" s="1"/>
  <c r="F440" i="42" s="1"/>
  <c r="F441" i="42" s="1"/>
  <c r="F442" i="42" s="1"/>
  <c r="F443" i="42" s="1"/>
  <c r="F444" i="42" s="1"/>
  <c r="F445" i="42" s="1"/>
  <c r="F446" i="42" s="1"/>
  <c r="F447" i="42" s="1"/>
  <c r="F448" i="42" s="1"/>
  <c r="F449" i="42" s="1"/>
  <c r="F450" i="42" s="1"/>
  <c r="N435" i="42"/>
  <c r="N434" i="42"/>
  <c r="N433" i="42"/>
  <c r="I433" i="42"/>
  <c r="I434" i="42" s="1"/>
  <c r="N432" i="42"/>
  <c r="I432" i="42"/>
  <c r="N431" i="42"/>
  <c r="N430" i="42"/>
  <c r="N429" i="42"/>
  <c r="N428" i="42"/>
  <c r="I428" i="42"/>
  <c r="I429" i="42" s="1"/>
  <c r="I430" i="42" s="1"/>
  <c r="H428" i="42"/>
  <c r="H429" i="42" s="1"/>
  <c r="H430" i="42" s="1"/>
  <c r="H431" i="42" s="1"/>
  <c r="H432" i="42" s="1"/>
  <c r="H433" i="42" s="1"/>
  <c r="H434" i="42" s="1"/>
  <c r="N427" i="42"/>
  <c r="N426" i="42"/>
  <c r="N425" i="42"/>
  <c r="N424" i="42"/>
  <c r="I424" i="42"/>
  <c r="I425" i="42" s="1"/>
  <c r="I426" i="42" s="1"/>
  <c r="N423" i="42"/>
  <c r="N422" i="42"/>
  <c r="N421" i="42"/>
  <c r="H421" i="42"/>
  <c r="H422" i="42" s="1"/>
  <c r="H423" i="42" s="1"/>
  <c r="H424" i="42" s="1"/>
  <c r="H425" i="42" s="1"/>
  <c r="H426" i="42" s="1"/>
  <c r="N420" i="42"/>
  <c r="I420" i="42"/>
  <c r="I421" i="42" s="1"/>
  <c r="I422" i="42" s="1"/>
  <c r="H420" i="42"/>
  <c r="G420" i="42"/>
  <c r="G421" i="42" s="1"/>
  <c r="G422" i="42" s="1"/>
  <c r="G423" i="42" s="1"/>
  <c r="G424" i="42" s="1"/>
  <c r="G425" i="42" s="1"/>
  <c r="G426" i="42" s="1"/>
  <c r="G427" i="42" s="1"/>
  <c r="G428" i="42" s="1"/>
  <c r="G429" i="42" s="1"/>
  <c r="G430" i="42" s="1"/>
  <c r="G431" i="42" s="1"/>
  <c r="G432" i="42" s="1"/>
  <c r="G433" i="42" s="1"/>
  <c r="G434" i="42" s="1"/>
  <c r="F420" i="42"/>
  <c r="F421" i="42" s="1"/>
  <c r="F422" i="42" s="1"/>
  <c r="F423" i="42" s="1"/>
  <c r="F424" i="42" s="1"/>
  <c r="F425" i="42" s="1"/>
  <c r="F426" i="42" s="1"/>
  <c r="F427" i="42" s="1"/>
  <c r="F428" i="42" s="1"/>
  <c r="F429" i="42" s="1"/>
  <c r="F430" i="42" s="1"/>
  <c r="F431" i="42" s="1"/>
  <c r="F432" i="42" s="1"/>
  <c r="F433" i="42" s="1"/>
  <c r="F434" i="42" s="1"/>
  <c r="N419" i="42"/>
  <c r="N418" i="42"/>
  <c r="N417" i="42"/>
  <c r="N416" i="42"/>
  <c r="I416" i="42"/>
  <c r="I417" i="42" s="1"/>
  <c r="I418" i="42" s="1"/>
  <c r="N415" i="42"/>
  <c r="N414" i="42"/>
  <c r="N413" i="42"/>
  <c r="N412" i="42"/>
  <c r="I412" i="42"/>
  <c r="I413" i="42" s="1"/>
  <c r="I414" i="42" s="1"/>
  <c r="H412" i="42"/>
  <c r="H413" i="42" s="1"/>
  <c r="H414" i="42" s="1"/>
  <c r="H415" i="42" s="1"/>
  <c r="H416" i="42" s="1"/>
  <c r="H417" i="42" s="1"/>
  <c r="H418" i="42" s="1"/>
  <c r="N411" i="42"/>
  <c r="N410" i="42"/>
  <c r="N409" i="42"/>
  <c r="N408" i="42"/>
  <c r="I408" i="42"/>
  <c r="I409" i="42" s="1"/>
  <c r="I410" i="42" s="1"/>
  <c r="N407" i="42"/>
  <c r="N406" i="42"/>
  <c r="N405" i="42"/>
  <c r="H405" i="42"/>
  <c r="H406" i="42" s="1"/>
  <c r="H407" i="42" s="1"/>
  <c r="H408" i="42" s="1"/>
  <c r="H409" i="42" s="1"/>
  <c r="H410" i="42" s="1"/>
  <c r="N404" i="42"/>
  <c r="I404" i="42"/>
  <c r="I405" i="42" s="1"/>
  <c r="I406" i="42" s="1"/>
  <c r="H404" i="42"/>
  <c r="G404" i="42"/>
  <c r="G405" i="42" s="1"/>
  <c r="G406" i="42" s="1"/>
  <c r="G407" i="42" s="1"/>
  <c r="G408" i="42" s="1"/>
  <c r="G409" i="42" s="1"/>
  <c r="G410" i="42" s="1"/>
  <c r="G411" i="42" s="1"/>
  <c r="G412" i="42" s="1"/>
  <c r="G413" i="42" s="1"/>
  <c r="G414" i="42" s="1"/>
  <c r="G415" i="42" s="1"/>
  <c r="G416" i="42" s="1"/>
  <c r="G417" i="42" s="1"/>
  <c r="G418" i="42" s="1"/>
  <c r="F404" i="42"/>
  <c r="F405" i="42" s="1"/>
  <c r="F406" i="42" s="1"/>
  <c r="F407" i="42" s="1"/>
  <c r="F408" i="42" s="1"/>
  <c r="F409" i="42" s="1"/>
  <c r="F410" i="42" s="1"/>
  <c r="F411" i="42" s="1"/>
  <c r="F412" i="42" s="1"/>
  <c r="F413" i="42" s="1"/>
  <c r="F414" i="42" s="1"/>
  <c r="F415" i="42" s="1"/>
  <c r="F416" i="42" s="1"/>
  <c r="F417" i="42" s="1"/>
  <c r="F418" i="42" s="1"/>
  <c r="N403" i="42"/>
  <c r="N402" i="42"/>
  <c r="N401" i="42"/>
  <c r="N400" i="42"/>
  <c r="I400" i="42"/>
  <c r="I401" i="42" s="1"/>
  <c r="I402" i="42" s="1"/>
  <c r="N399" i="42"/>
  <c r="N398" i="42"/>
  <c r="N397" i="42"/>
  <c r="N396" i="42"/>
  <c r="I396" i="42"/>
  <c r="I397" i="42" s="1"/>
  <c r="I398" i="42" s="1"/>
  <c r="H396" i="42"/>
  <c r="H397" i="42" s="1"/>
  <c r="H398" i="42" s="1"/>
  <c r="H399" i="42" s="1"/>
  <c r="H400" i="42" s="1"/>
  <c r="H401" i="42" s="1"/>
  <c r="H402" i="42" s="1"/>
  <c r="N395" i="42"/>
  <c r="N394" i="42"/>
  <c r="N393" i="42"/>
  <c r="N392" i="42"/>
  <c r="I392" i="42"/>
  <c r="I393" i="42" s="1"/>
  <c r="I394" i="42" s="1"/>
  <c r="N391" i="42"/>
  <c r="N390" i="42"/>
  <c r="N389" i="42"/>
  <c r="H389" i="42"/>
  <c r="H390" i="42" s="1"/>
  <c r="H391" i="42" s="1"/>
  <c r="H392" i="42" s="1"/>
  <c r="H393" i="42" s="1"/>
  <c r="H394" i="42" s="1"/>
  <c r="N388" i="42"/>
  <c r="I388" i="42"/>
  <c r="I389" i="42" s="1"/>
  <c r="I390" i="42" s="1"/>
  <c r="H388" i="42"/>
  <c r="G388" i="42"/>
  <c r="G389" i="42" s="1"/>
  <c r="G390" i="42" s="1"/>
  <c r="G391" i="42" s="1"/>
  <c r="G392" i="42" s="1"/>
  <c r="G393" i="42" s="1"/>
  <c r="G394" i="42" s="1"/>
  <c r="G395" i="42" s="1"/>
  <c r="G396" i="42" s="1"/>
  <c r="G397" i="42" s="1"/>
  <c r="G398" i="42" s="1"/>
  <c r="G399" i="42" s="1"/>
  <c r="G400" i="42" s="1"/>
  <c r="G401" i="42" s="1"/>
  <c r="G402" i="42" s="1"/>
  <c r="F388" i="42"/>
  <c r="F389" i="42" s="1"/>
  <c r="F390" i="42" s="1"/>
  <c r="F391" i="42" s="1"/>
  <c r="F392" i="42" s="1"/>
  <c r="F393" i="42" s="1"/>
  <c r="F394" i="42" s="1"/>
  <c r="F395" i="42" s="1"/>
  <c r="F396" i="42" s="1"/>
  <c r="F397" i="42" s="1"/>
  <c r="F398" i="42" s="1"/>
  <c r="F399" i="42" s="1"/>
  <c r="F400" i="42" s="1"/>
  <c r="F401" i="42" s="1"/>
  <c r="F402" i="42" s="1"/>
  <c r="N387" i="42"/>
  <c r="N578" i="31" l="1"/>
  <c r="O578" i="31" s="1"/>
  <c r="N577" i="31"/>
  <c r="O577" i="31" s="1"/>
  <c r="N576" i="31"/>
  <c r="O576" i="31" s="1"/>
  <c r="N575" i="31"/>
  <c r="O575" i="31" s="1"/>
  <c r="N574" i="31"/>
  <c r="O574" i="31" s="1"/>
  <c r="N573" i="31"/>
  <c r="O573" i="31" s="1"/>
  <c r="N572" i="31"/>
  <c r="O572" i="31" s="1"/>
  <c r="N571" i="31"/>
  <c r="O571" i="31" s="1"/>
  <c r="N570" i="31"/>
  <c r="O570" i="31" s="1"/>
  <c r="N569" i="31"/>
  <c r="O569" i="31" s="1"/>
  <c r="N568" i="31"/>
  <c r="O568" i="31" s="1"/>
  <c r="N567" i="31"/>
  <c r="O567" i="31" s="1"/>
  <c r="N566" i="31"/>
  <c r="O566" i="31" s="1"/>
  <c r="N565" i="31"/>
  <c r="O565" i="31" s="1"/>
  <c r="G565" i="31"/>
  <c r="G566" i="31" s="1"/>
  <c r="G567" i="31" s="1"/>
  <c r="G568" i="31" s="1"/>
  <c r="G569" i="31" s="1"/>
  <c r="G570" i="31" s="1"/>
  <c r="G571" i="31" s="1"/>
  <c r="G572" i="31" s="1"/>
  <c r="G573" i="31" s="1"/>
  <c r="G574" i="31" s="1"/>
  <c r="G575" i="31" s="1"/>
  <c r="G576" i="31" s="1"/>
  <c r="G577" i="31" s="1"/>
  <c r="G578" i="31" s="1"/>
  <c r="N564" i="31"/>
  <c r="O564" i="31" s="1"/>
  <c r="G564" i="31"/>
  <c r="N563" i="31"/>
  <c r="O563" i="31" s="1"/>
  <c r="N562" i="31"/>
  <c r="O562" i="31" s="1"/>
  <c r="N561" i="31"/>
  <c r="O561" i="31" s="1"/>
  <c r="N560" i="31"/>
  <c r="O560" i="31" s="1"/>
  <c r="N559" i="31"/>
  <c r="O559" i="31" s="1"/>
  <c r="N558" i="31"/>
  <c r="O558" i="31" s="1"/>
  <c r="N557" i="31"/>
  <c r="O557" i="31" s="1"/>
  <c r="N556" i="31"/>
  <c r="O556" i="31" s="1"/>
  <c r="N555" i="31"/>
  <c r="O555" i="31" s="1"/>
  <c r="N554" i="31"/>
  <c r="O554" i="31" s="1"/>
  <c r="N553" i="31"/>
  <c r="O553" i="31" s="1"/>
  <c r="N552" i="31"/>
  <c r="O552" i="31" s="1"/>
  <c r="N551" i="31"/>
  <c r="O551" i="31" s="1"/>
  <c r="N550" i="31"/>
  <c r="O550" i="31" s="1"/>
  <c r="N549" i="31"/>
  <c r="O549" i="31" s="1"/>
  <c r="N548" i="31"/>
  <c r="O548" i="31" s="1"/>
  <c r="G548" i="31"/>
  <c r="G549" i="31" s="1"/>
  <c r="G550" i="31" s="1"/>
  <c r="G551" i="31" s="1"/>
  <c r="G552" i="31" s="1"/>
  <c r="G553" i="31" s="1"/>
  <c r="G554" i="31" s="1"/>
  <c r="G555" i="31" s="1"/>
  <c r="G556" i="31" s="1"/>
  <c r="G557" i="31" s="1"/>
  <c r="G558" i="31" s="1"/>
  <c r="G559" i="31" s="1"/>
  <c r="G560" i="31" s="1"/>
  <c r="G561" i="31" s="1"/>
  <c r="G562" i="31" s="1"/>
  <c r="N547" i="31"/>
  <c r="O547" i="31" s="1"/>
  <c r="N546" i="31"/>
  <c r="O546" i="31" s="1"/>
  <c r="N545" i="31"/>
  <c r="O545" i="31" s="1"/>
  <c r="N544" i="31"/>
  <c r="O544" i="31" s="1"/>
  <c r="N543" i="31"/>
  <c r="O543" i="31" s="1"/>
  <c r="N542" i="31"/>
  <c r="O542" i="31" s="1"/>
  <c r="N541" i="31"/>
  <c r="O541" i="31" s="1"/>
  <c r="N540" i="31"/>
  <c r="O540" i="31" s="1"/>
  <c r="N539" i="31"/>
  <c r="O539" i="31" s="1"/>
  <c r="N538" i="31"/>
  <c r="O538" i="31" s="1"/>
  <c r="N537" i="31"/>
  <c r="O537" i="31" s="1"/>
  <c r="N536" i="31"/>
  <c r="O536" i="31" s="1"/>
  <c r="N535" i="31"/>
  <c r="O535" i="31" s="1"/>
  <c r="N534" i="31"/>
  <c r="O534" i="31" s="1"/>
  <c r="N533" i="31"/>
  <c r="O533" i="31" s="1"/>
  <c r="N532" i="31"/>
  <c r="O532" i="31" s="1"/>
  <c r="N531" i="31"/>
  <c r="O531" i="31" s="1"/>
  <c r="N530" i="31"/>
  <c r="O530" i="31" s="1"/>
  <c r="N529" i="31"/>
  <c r="O529" i="31" s="1"/>
  <c r="N528" i="31"/>
  <c r="O528" i="31" s="1"/>
  <c r="N527" i="31"/>
  <c r="O527" i="31" s="1"/>
  <c r="N526" i="31"/>
  <c r="O526" i="31" s="1"/>
  <c r="N525" i="31"/>
  <c r="O525" i="31" s="1"/>
  <c r="N524" i="31"/>
  <c r="O524" i="31" s="1"/>
  <c r="N523" i="31"/>
  <c r="O523" i="31" s="1"/>
  <c r="N522" i="31"/>
  <c r="O522" i="31" s="1"/>
  <c r="N521" i="31"/>
  <c r="O521" i="31" s="1"/>
  <c r="N520" i="31"/>
  <c r="O520" i="31" s="1"/>
  <c r="N519" i="31"/>
  <c r="O519" i="31" s="1"/>
  <c r="N518" i="31"/>
  <c r="O518" i="31" s="1"/>
  <c r="N517" i="31"/>
  <c r="O517" i="31" s="1"/>
  <c r="N516" i="31"/>
  <c r="O516" i="31" s="1"/>
  <c r="N515" i="31"/>
  <c r="O515" i="31" s="1"/>
  <c r="N514" i="31"/>
  <c r="O514" i="31" s="1"/>
  <c r="N513" i="31"/>
  <c r="O513" i="31" s="1"/>
  <c r="N512" i="31"/>
  <c r="O512" i="31" s="1"/>
  <c r="N511" i="31"/>
  <c r="O511" i="31" s="1"/>
  <c r="N510" i="31"/>
  <c r="O510" i="31" s="1"/>
  <c r="N509" i="31"/>
  <c r="O509" i="31" s="1"/>
  <c r="N508" i="31"/>
  <c r="O508" i="31" s="1"/>
  <c r="N507" i="31"/>
  <c r="O507" i="31" s="1"/>
  <c r="N506" i="31"/>
  <c r="O506" i="31" s="1"/>
  <c r="N505" i="31"/>
  <c r="O505" i="31" s="1"/>
  <c r="N504" i="31"/>
  <c r="O504" i="31" s="1"/>
  <c r="N503" i="31"/>
  <c r="O503" i="31" s="1"/>
  <c r="N502" i="31"/>
  <c r="O502" i="31" s="1"/>
  <c r="N501" i="31"/>
  <c r="O501" i="31" s="1"/>
  <c r="N500" i="31"/>
  <c r="O500" i="31" s="1"/>
  <c r="N499" i="31"/>
  <c r="O499" i="31" s="1"/>
  <c r="N498" i="31"/>
  <c r="O498" i="31" s="1"/>
  <c r="N497" i="31"/>
  <c r="O497" i="31" s="1"/>
  <c r="N496" i="31"/>
  <c r="O496" i="31" s="1"/>
  <c r="N495" i="31"/>
  <c r="O495" i="31" s="1"/>
  <c r="N494" i="31"/>
  <c r="O494" i="31" s="1"/>
  <c r="N493" i="31"/>
  <c r="O493" i="31" s="1"/>
  <c r="N492" i="31"/>
  <c r="O492" i="31" s="1"/>
  <c r="N491" i="31"/>
  <c r="O491" i="31" s="1"/>
  <c r="N490" i="31"/>
  <c r="O490" i="31" s="1"/>
  <c r="N489" i="31"/>
  <c r="O489" i="31" s="1"/>
  <c r="N488" i="31"/>
  <c r="O488" i="31" s="1"/>
  <c r="N487" i="31"/>
  <c r="O487" i="31" s="1"/>
  <c r="N486" i="31"/>
  <c r="O486" i="31" s="1"/>
  <c r="N485" i="31"/>
  <c r="O485" i="31" s="1"/>
  <c r="N484" i="31"/>
  <c r="O484" i="31" s="1"/>
  <c r="N483" i="31"/>
  <c r="O483" i="31" s="1"/>
  <c r="G500" i="30"/>
  <c r="G501" i="30" s="1"/>
  <c r="G502" i="30" s="1"/>
  <c r="G503" i="30" s="1"/>
  <c r="G504" i="30" s="1"/>
  <c r="G505" i="30" s="1"/>
  <c r="G506" i="30" s="1"/>
  <c r="G507" i="30" s="1"/>
  <c r="G508" i="30" s="1"/>
  <c r="G509" i="30" s="1"/>
  <c r="G510" i="30" s="1"/>
  <c r="G511" i="30" s="1"/>
  <c r="G512" i="30" s="1"/>
  <c r="G513" i="30" s="1"/>
  <c r="G514" i="30" s="1"/>
  <c r="G485" i="30"/>
  <c r="G486" i="30" s="1"/>
  <c r="G487" i="30" s="1"/>
  <c r="G488" i="30" s="1"/>
  <c r="G489" i="30" s="1"/>
  <c r="G490" i="30" s="1"/>
  <c r="G491" i="30" s="1"/>
  <c r="G492" i="30" s="1"/>
  <c r="G493" i="30" s="1"/>
  <c r="G494" i="30" s="1"/>
  <c r="G495" i="30" s="1"/>
  <c r="G496" i="30" s="1"/>
  <c r="G497" i="30" s="1"/>
  <c r="G498" i="30" s="1"/>
  <c r="G484" i="30"/>
  <c r="N578" i="30"/>
  <c r="N577" i="30"/>
  <c r="N576" i="30"/>
  <c r="I576" i="30"/>
  <c r="I577" i="30" s="1"/>
  <c r="I578" i="30" s="1"/>
  <c r="N575" i="30"/>
  <c r="N574" i="30"/>
  <c r="N573" i="30"/>
  <c r="N572" i="30"/>
  <c r="I572" i="30"/>
  <c r="I573" i="30" s="1"/>
  <c r="I574" i="30" s="1"/>
  <c r="H572" i="30"/>
  <c r="H573" i="30" s="1"/>
  <c r="H574" i="30" s="1"/>
  <c r="H575" i="30" s="1"/>
  <c r="H576" i="30" s="1"/>
  <c r="H577" i="30" s="1"/>
  <c r="H578" i="30" s="1"/>
  <c r="N571" i="30"/>
  <c r="N570" i="30"/>
  <c r="N569" i="30"/>
  <c r="N568" i="30"/>
  <c r="I568" i="30"/>
  <c r="I569" i="30" s="1"/>
  <c r="I570" i="30" s="1"/>
  <c r="N567" i="30"/>
  <c r="N566" i="30"/>
  <c r="N565" i="30"/>
  <c r="N564" i="30"/>
  <c r="I564" i="30"/>
  <c r="I565" i="30" s="1"/>
  <c r="I566" i="30" s="1"/>
  <c r="H564" i="30"/>
  <c r="H565" i="30" s="1"/>
  <c r="H566" i="30" s="1"/>
  <c r="H567" i="30" s="1"/>
  <c r="H568" i="30" s="1"/>
  <c r="H569" i="30" s="1"/>
  <c r="H570" i="30" s="1"/>
  <c r="G564" i="30"/>
  <c r="G565" i="30" s="1"/>
  <c r="G566" i="30" s="1"/>
  <c r="G567" i="30" s="1"/>
  <c r="G568" i="30" s="1"/>
  <c r="G569" i="30" s="1"/>
  <c r="G570" i="30" s="1"/>
  <c r="G571" i="30" s="1"/>
  <c r="G572" i="30" s="1"/>
  <c r="G573" i="30" s="1"/>
  <c r="G574" i="30" s="1"/>
  <c r="G575" i="30" s="1"/>
  <c r="G576" i="30" s="1"/>
  <c r="G577" i="30" s="1"/>
  <c r="G578" i="30" s="1"/>
  <c r="F564" i="30"/>
  <c r="F565" i="30" s="1"/>
  <c r="F566" i="30" s="1"/>
  <c r="F567" i="30" s="1"/>
  <c r="F568" i="30" s="1"/>
  <c r="F569" i="30" s="1"/>
  <c r="F570" i="30" s="1"/>
  <c r="F571" i="30" s="1"/>
  <c r="F572" i="30" s="1"/>
  <c r="F573" i="30" s="1"/>
  <c r="F574" i="30" s="1"/>
  <c r="F575" i="30" s="1"/>
  <c r="F576" i="30" s="1"/>
  <c r="F577" i="30" s="1"/>
  <c r="F578" i="30" s="1"/>
  <c r="N563" i="30"/>
  <c r="N562" i="30"/>
  <c r="N561" i="30"/>
  <c r="I561" i="30"/>
  <c r="I562" i="30" s="1"/>
  <c r="N560" i="30"/>
  <c r="I560" i="30"/>
  <c r="N559" i="30"/>
  <c r="N558" i="30"/>
  <c r="N557" i="30"/>
  <c r="N556" i="30"/>
  <c r="I556" i="30"/>
  <c r="I557" i="30" s="1"/>
  <c r="I558" i="30" s="1"/>
  <c r="H556" i="30"/>
  <c r="H557" i="30" s="1"/>
  <c r="H558" i="30" s="1"/>
  <c r="H559" i="30" s="1"/>
  <c r="H560" i="30" s="1"/>
  <c r="H561" i="30" s="1"/>
  <c r="H562" i="30" s="1"/>
  <c r="N555" i="30"/>
  <c r="N554" i="30"/>
  <c r="N553" i="30"/>
  <c r="N552" i="30"/>
  <c r="I552" i="30"/>
  <c r="I553" i="30" s="1"/>
  <c r="I554" i="30" s="1"/>
  <c r="N551" i="30"/>
  <c r="N550" i="30"/>
  <c r="N549" i="30"/>
  <c r="I549" i="30"/>
  <c r="I550" i="30" s="1"/>
  <c r="N548" i="30"/>
  <c r="I548" i="30"/>
  <c r="H548" i="30"/>
  <c r="H549" i="30" s="1"/>
  <c r="H550" i="30" s="1"/>
  <c r="H551" i="30" s="1"/>
  <c r="H552" i="30" s="1"/>
  <c r="H553" i="30" s="1"/>
  <c r="H554" i="30" s="1"/>
  <c r="G548" i="30"/>
  <c r="G549" i="30" s="1"/>
  <c r="G550" i="30" s="1"/>
  <c r="G551" i="30" s="1"/>
  <c r="G552" i="30" s="1"/>
  <c r="G553" i="30" s="1"/>
  <c r="G554" i="30" s="1"/>
  <c r="G555" i="30" s="1"/>
  <c r="G556" i="30" s="1"/>
  <c r="G557" i="30" s="1"/>
  <c r="G558" i="30" s="1"/>
  <c r="G559" i="30" s="1"/>
  <c r="G560" i="30" s="1"/>
  <c r="G561" i="30" s="1"/>
  <c r="G562" i="30" s="1"/>
  <c r="F548" i="30"/>
  <c r="F549" i="30" s="1"/>
  <c r="F550" i="30" s="1"/>
  <c r="F551" i="30" s="1"/>
  <c r="F552" i="30" s="1"/>
  <c r="F553" i="30" s="1"/>
  <c r="F554" i="30" s="1"/>
  <c r="F555" i="30" s="1"/>
  <c r="F556" i="30" s="1"/>
  <c r="F557" i="30" s="1"/>
  <c r="F558" i="30" s="1"/>
  <c r="F559" i="30" s="1"/>
  <c r="F560" i="30" s="1"/>
  <c r="F561" i="30" s="1"/>
  <c r="F562" i="30" s="1"/>
  <c r="N547" i="30"/>
  <c r="N546" i="30"/>
  <c r="N545" i="30"/>
  <c r="I545" i="30"/>
  <c r="I546" i="30" s="1"/>
  <c r="N544" i="30"/>
  <c r="I544" i="30"/>
  <c r="N543" i="30"/>
  <c r="N542" i="30"/>
  <c r="N541" i="30"/>
  <c r="N540" i="30"/>
  <c r="I540" i="30"/>
  <c r="I541" i="30" s="1"/>
  <c r="I542" i="30" s="1"/>
  <c r="H540" i="30"/>
  <c r="H541" i="30" s="1"/>
  <c r="H542" i="30" s="1"/>
  <c r="H543" i="30" s="1"/>
  <c r="H544" i="30" s="1"/>
  <c r="H545" i="30" s="1"/>
  <c r="H546" i="30" s="1"/>
  <c r="N539" i="30"/>
  <c r="N538" i="30"/>
  <c r="N537" i="30"/>
  <c r="N536" i="30"/>
  <c r="I536" i="30"/>
  <c r="I537" i="30" s="1"/>
  <c r="I538" i="30" s="1"/>
  <c r="N535" i="30"/>
  <c r="N534" i="30"/>
  <c r="N533" i="30"/>
  <c r="I533" i="30"/>
  <c r="I534" i="30" s="1"/>
  <c r="N532" i="30"/>
  <c r="I532" i="30"/>
  <c r="H532" i="30"/>
  <c r="H533" i="30" s="1"/>
  <c r="H534" i="30" s="1"/>
  <c r="H535" i="30" s="1"/>
  <c r="H536" i="30" s="1"/>
  <c r="H537" i="30" s="1"/>
  <c r="H538" i="30" s="1"/>
  <c r="G532" i="30"/>
  <c r="G533" i="30" s="1"/>
  <c r="G534" i="30" s="1"/>
  <c r="G535" i="30" s="1"/>
  <c r="G536" i="30" s="1"/>
  <c r="G537" i="30" s="1"/>
  <c r="G538" i="30" s="1"/>
  <c r="G539" i="30" s="1"/>
  <c r="G540" i="30" s="1"/>
  <c r="G541" i="30" s="1"/>
  <c r="G542" i="30" s="1"/>
  <c r="G543" i="30" s="1"/>
  <c r="G544" i="30" s="1"/>
  <c r="G545" i="30" s="1"/>
  <c r="G546" i="30" s="1"/>
  <c r="F532" i="30"/>
  <c r="F533" i="30" s="1"/>
  <c r="F534" i="30" s="1"/>
  <c r="F535" i="30" s="1"/>
  <c r="F536" i="30" s="1"/>
  <c r="F537" i="30" s="1"/>
  <c r="F538" i="30" s="1"/>
  <c r="F539" i="30" s="1"/>
  <c r="F540" i="30" s="1"/>
  <c r="F541" i="30" s="1"/>
  <c r="F542" i="30" s="1"/>
  <c r="F543" i="30" s="1"/>
  <c r="F544" i="30" s="1"/>
  <c r="F545" i="30" s="1"/>
  <c r="F546" i="30" s="1"/>
  <c r="N531" i="30"/>
  <c r="N530" i="30"/>
  <c r="N529" i="30"/>
  <c r="N528" i="30"/>
  <c r="I528" i="30"/>
  <c r="I529" i="30" s="1"/>
  <c r="I530" i="30" s="1"/>
  <c r="N527" i="30"/>
  <c r="N526" i="30"/>
  <c r="N525" i="30"/>
  <c r="N524" i="30"/>
  <c r="I524" i="30"/>
  <c r="I525" i="30" s="1"/>
  <c r="I526" i="30" s="1"/>
  <c r="H524" i="30"/>
  <c r="H525" i="30" s="1"/>
  <c r="H526" i="30" s="1"/>
  <c r="H527" i="30" s="1"/>
  <c r="H528" i="30" s="1"/>
  <c r="H529" i="30" s="1"/>
  <c r="H530" i="30" s="1"/>
  <c r="N523" i="30"/>
  <c r="N522" i="30"/>
  <c r="N521" i="30"/>
  <c r="I521" i="30"/>
  <c r="I522" i="30" s="1"/>
  <c r="N520" i="30"/>
  <c r="I520" i="30"/>
  <c r="N519" i="30"/>
  <c r="N518" i="30"/>
  <c r="N517" i="30"/>
  <c r="N516" i="30"/>
  <c r="I516" i="30"/>
  <c r="I517" i="30" s="1"/>
  <c r="I518" i="30" s="1"/>
  <c r="H516" i="30"/>
  <c r="H517" i="30" s="1"/>
  <c r="H518" i="30" s="1"/>
  <c r="H519" i="30" s="1"/>
  <c r="H520" i="30" s="1"/>
  <c r="H521" i="30" s="1"/>
  <c r="H522" i="30" s="1"/>
  <c r="G516" i="30"/>
  <c r="G517" i="30" s="1"/>
  <c r="G518" i="30" s="1"/>
  <c r="G519" i="30" s="1"/>
  <c r="G520" i="30" s="1"/>
  <c r="G521" i="30" s="1"/>
  <c r="G522" i="30" s="1"/>
  <c r="G523" i="30" s="1"/>
  <c r="G524" i="30" s="1"/>
  <c r="G525" i="30" s="1"/>
  <c r="G526" i="30" s="1"/>
  <c r="G527" i="30" s="1"/>
  <c r="G528" i="30" s="1"/>
  <c r="G529" i="30" s="1"/>
  <c r="G530" i="30" s="1"/>
  <c r="F516" i="30"/>
  <c r="F517" i="30" s="1"/>
  <c r="F518" i="30" s="1"/>
  <c r="F519" i="30" s="1"/>
  <c r="F520" i="30" s="1"/>
  <c r="F521" i="30" s="1"/>
  <c r="F522" i="30" s="1"/>
  <c r="F523" i="30" s="1"/>
  <c r="F524" i="30" s="1"/>
  <c r="F525" i="30" s="1"/>
  <c r="F526" i="30" s="1"/>
  <c r="F527" i="30" s="1"/>
  <c r="F528" i="30" s="1"/>
  <c r="F529" i="30" s="1"/>
  <c r="F530" i="30" s="1"/>
  <c r="N515" i="30"/>
  <c r="N514" i="30"/>
  <c r="N513" i="30"/>
  <c r="N512" i="30"/>
  <c r="I512" i="30"/>
  <c r="I513" i="30" s="1"/>
  <c r="I514" i="30" s="1"/>
  <c r="N511" i="30"/>
  <c r="N510" i="30"/>
  <c r="N509" i="30"/>
  <c r="N508" i="30"/>
  <c r="I508" i="30"/>
  <c r="I509" i="30" s="1"/>
  <c r="I510" i="30" s="1"/>
  <c r="H508" i="30"/>
  <c r="H509" i="30" s="1"/>
  <c r="H510" i="30" s="1"/>
  <c r="H511" i="30" s="1"/>
  <c r="H512" i="30" s="1"/>
  <c r="H513" i="30" s="1"/>
  <c r="H514" i="30" s="1"/>
  <c r="N507" i="30"/>
  <c r="N506" i="30"/>
  <c r="N505" i="30"/>
  <c r="I505" i="30"/>
  <c r="I506" i="30" s="1"/>
  <c r="N504" i="30"/>
  <c r="I504" i="30"/>
  <c r="N503" i="30"/>
  <c r="N502" i="30"/>
  <c r="N501" i="30"/>
  <c r="N500" i="30"/>
  <c r="I500" i="30"/>
  <c r="I501" i="30" s="1"/>
  <c r="I502" i="30" s="1"/>
  <c r="H500" i="30"/>
  <c r="H501" i="30" s="1"/>
  <c r="H502" i="30" s="1"/>
  <c r="H503" i="30" s="1"/>
  <c r="H504" i="30" s="1"/>
  <c r="H505" i="30" s="1"/>
  <c r="H506" i="30" s="1"/>
  <c r="F500" i="30"/>
  <c r="F501" i="30" s="1"/>
  <c r="F502" i="30" s="1"/>
  <c r="F503" i="30" s="1"/>
  <c r="F504" i="30" s="1"/>
  <c r="F505" i="30" s="1"/>
  <c r="F506" i="30" s="1"/>
  <c r="F507" i="30" s="1"/>
  <c r="F508" i="30" s="1"/>
  <c r="F509" i="30" s="1"/>
  <c r="F510" i="30" s="1"/>
  <c r="F511" i="30" s="1"/>
  <c r="F512" i="30" s="1"/>
  <c r="F513" i="30" s="1"/>
  <c r="F514" i="30" s="1"/>
  <c r="N499" i="30"/>
  <c r="N498" i="30"/>
  <c r="N497" i="30"/>
  <c r="N496" i="30"/>
  <c r="I496" i="30"/>
  <c r="I497" i="30" s="1"/>
  <c r="I498" i="30" s="1"/>
  <c r="N495" i="30"/>
  <c r="N494" i="30"/>
  <c r="N493" i="30"/>
  <c r="N492" i="30"/>
  <c r="I492" i="30"/>
  <c r="I493" i="30" s="1"/>
  <c r="I494" i="30" s="1"/>
  <c r="H492" i="30"/>
  <c r="H493" i="30" s="1"/>
  <c r="H494" i="30" s="1"/>
  <c r="H495" i="30" s="1"/>
  <c r="H496" i="30" s="1"/>
  <c r="H497" i="30" s="1"/>
  <c r="H498" i="30" s="1"/>
  <c r="N491" i="30"/>
  <c r="N490" i="30"/>
  <c r="N489" i="30"/>
  <c r="I489" i="30"/>
  <c r="I490" i="30" s="1"/>
  <c r="N488" i="30"/>
  <c r="I488" i="30"/>
  <c r="N487" i="30"/>
  <c r="N486" i="30"/>
  <c r="N485" i="30"/>
  <c r="N484" i="30"/>
  <c r="I484" i="30"/>
  <c r="I485" i="30" s="1"/>
  <c r="I486" i="30" s="1"/>
  <c r="H484" i="30"/>
  <c r="H485" i="30" s="1"/>
  <c r="H486" i="30" s="1"/>
  <c r="H487" i="30" s="1"/>
  <c r="H488" i="30" s="1"/>
  <c r="H489" i="30" s="1"/>
  <c r="H490" i="30" s="1"/>
  <c r="F484" i="30"/>
  <c r="F485" i="30" s="1"/>
  <c r="F486" i="30" s="1"/>
  <c r="F487" i="30" s="1"/>
  <c r="F488" i="30" s="1"/>
  <c r="F489" i="30" s="1"/>
  <c r="F490" i="30" s="1"/>
  <c r="F491" i="30" s="1"/>
  <c r="F492" i="30" s="1"/>
  <c r="F493" i="30" s="1"/>
  <c r="F494" i="30" s="1"/>
  <c r="F495" i="30" s="1"/>
  <c r="F496" i="30" s="1"/>
  <c r="F497" i="30" s="1"/>
  <c r="F498" i="30" s="1"/>
  <c r="N483" i="30"/>
  <c r="O426" i="32"/>
  <c r="O466" i="32"/>
  <c r="N482" i="32"/>
  <c r="O482" i="32" s="1"/>
  <c r="N481" i="32"/>
  <c r="O481" i="32" s="1"/>
  <c r="N480" i="32"/>
  <c r="O480" i="32" s="1"/>
  <c r="I480" i="32"/>
  <c r="I481" i="32" s="1"/>
  <c r="I482" i="32" s="1"/>
  <c r="N479" i="32"/>
  <c r="O479" i="32" s="1"/>
  <c r="N478" i="32"/>
  <c r="O478" i="32" s="1"/>
  <c r="N477" i="32"/>
  <c r="O477" i="32" s="1"/>
  <c r="N476" i="32"/>
  <c r="O476" i="32" s="1"/>
  <c r="I476" i="32"/>
  <c r="I477" i="32" s="1"/>
  <c r="I478" i="32" s="1"/>
  <c r="H476" i="32"/>
  <c r="H477" i="32" s="1"/>
  <c r="H478" i="32" s="1"/>
  <c r="H479" i="32" s="1"/>
  <c r="H480" i="32" s="1"/>
  <c r="H481" i="32" s="1"/>
  <c r="H482" i="32" s="1"/>
  <c r="N475" i="32"/>
  <c r="O475" i="32" s="1"/>
  <c r="N474" i="32"/>
  <c r="O474" i="32" s="1"/>
  <c r="N473" i="32"/>
  <c r="O473" i="32" s="1"/>
  <c r="N472" i="32"/>
  <c r="O472" i="32" s="1"/>
  <c r="I472" i="32"/>
  <c r="I473" i="32" s="1"/>
  <c r="I474" i="32" s="1"/>
  <c r="N471" i="32"/>
  <c r="O471" i="32" s="1"/>
  <c r="N470" i="32"/>
  <c r="O470" i="32" s="1"/>
  <c r="N469" i="32"/>
  <c r="O469" i="32" s="1"/>
  <c r="N468" i="32"/>
  <c r="O468" i="32" s="1"/>
  <c r="I468" i="32"/>
  <c r="I469" i="32" s="1"/>
  <c r="I470" i="32" s="1"/>
  <c r="H468" i="32"/>
  <c r="H469" i="32" s="1"/>
  <c r="H470" i="32" s="1"/>
  <c r="H471" i="32" s="1"/>
  <c r="H472" i="32" s="1"/>
  <c r="H473" i="32" s="1"/>
  <c r="H474" i="32" s="1"/>
  <c r="G468" i="32"/>
  <c r="G469" i="32" s="1"/>
  <c r="G470" i="32" s="1"/>
  <c r="G471" i="32" s="1"/>
  <c r="G472" i="32" s="1"/>
  <c r="G473" i="32" s="1"/>
  <c r="G474" i="32" s="1"/>
  <c r="G475" i="32" s="1"/>
  <c r="G476" i="32" s="1"/>
  <c r="G477" i="32" s="1"/>
  <c r="G478" i="32" s="1"/>
  <c r="G479" i="32" s="1"/>
  <c r="G480" i="32" s="1"/>
  <c r="G481" i="32" s="1"/>
  <c r="G482" i="32" s="1"/>
  <c r="F468" i="32"/>
  <c r="F469" i="32" s="1"/>
  <c r="F470" i="32" s="1"/>
  <c r="F471" i="32" s="1"/>
  <c r="F472" i="32" s="1"/>
  <c r="F473" i="32" s="1"/>
  <c r="F474" i="32" s="1"/>
  <c r="F475" i="32" s="1"/>
  <c r="F476" i="32" s="1"/>
  <c r="F477" i="32" s="1"/>
  <c r="F478" i="32" s="1"/>
  <c r="F479" i="32" s="1"/>
  <c r="F480" i="32" s="1"/>
  <c r="F481" i="32" s="1"/>
  <c r="F482" i="32" s="1"/>
  <c r="N467" i="32"/>
  <c r="O467" i="32" s="1"/>
  <c r="N466" i="32"/>
  <c r="N465" i="32"/>
  <c r="O465" i="32" s="1"/>
  <c r="N464" i="32"/>
  <c r="O464" i="32" s="1"/>
  <c r="I464" i="32"/>
  <c r="I465" i="32" s="1"/>
  <c r="I466" i="32" s="1"/>
  <c r="N463" i="32"/>
  <c r="O463" i="32" s="1"/>
  <c r="N462" i="32"/>
  <c r="O462" i="32" s="1"/>
  <c r="N461" i="32"/>
  <c r="O461" i="32" s="1"/>
  <c r="N460" i="32"/>
  <c r="O460" i="32" s="1"/>
  <c r="I460" i="32"/>
  <c r="I461" i="32" s="1"/>
  <c r="I462" i="32" s="1"/>
  <c r="H460" i="32"/>
  <c r="H461" i="32" s="1"/>
  <c r="H462" i="32" s="1"/>
  <c r="H463" i="32" s="1"/>
  <c r="H464" i="32" s="1"/>
  <c r="H465" i="32" s="1"/>
  <c r="H466" i="32" s="1"/>
  <c r="N459" i="32"/>
  <c r="O459" i="32" s="1"/>
  <c r="N458" i="32"/>
  <c r="O458" i="32" s="1"/>
  <c r="I458" i="32"/>
  <c r="N457" i="32"/>
  <c r="O457" i="32" s="1"/>
  <c r="I457" i="32"/>
  <c r="N456" i="32"/>
  <c r="O456" i="32" s="1"/>
  <c r="I456" i="32"/>
  <c r="N455" i="32"/>
  <c r="O455" i="32" s="1"/>
  <c r="N454" i="32"/>
  <c r="O454" i="32" s="1"/>
  <c r="N453" i="32"/>
  <c r="O453" i="32" s="1"/>
  <c r="I453" i="32"/>
  <c r="I454" i="32" s="1"/>
  <c r="H453" i="32"/>
  <c r="H454" i="32" s="1"/>
  <c r="H455" i="32" s="1"/>
  <c r="H456" i="32" s="1"/>
  <c r="H457" i="32" s="1"/>
  <c r="H458" i="32" s="1"/>
  <c r="N452" i="32"/>
  <c r="O452" i="32" s="1"/>
  <c r="I452" i="32"/>
  <c r="H452" i="32"/>
  <c r="G452" i="32"/>
  <c r="G453" i="32" s="1"/>
  <c r="G454" i="32" s="1"/>
  <c r="G455" i="32" s="1"/>
  <c r="G456" i="32" s="1"/>
  <c r="G457" i="32" s="1"/>
  <c r="G458" i="32" s="1"/>
  <c r="G459" i="32" s="1"/>
  <c r="G460" i="32" s="1"/>
  <c r="G461" i="32" s="1"/>
  <c r="G462" i="32" s="1"/>
  <c r="G463" i="32" s="1"/>
  <c r="G464" i="32" s="1"/>
  <c r="G465" i="32" s="1"/>
  <c r="G466" i="32" s="1"/>
  <c r="F452" i="32"/>
  <c r="F453" i="32" s="1"/>
  <c r="F454" i="32" s="1"/>
  <c r="F455" i="32" s="1"/>
  <c r="F456" i="32" s="1"/>
  <c r="F457" i="32" s="1"/>
  <c r="F458" i="32" s="1"/>
  <c r="F459" i="32" s="1"/>
  <c r="F460" i="32" s="1"/>
  <c r="F461" i="32" s="1"/>
  <c r="F462" i="32" s="1"/>
  <c r="F463" i="32" s="1"/>
  <c r="F464" i="32" s="1"/>
  <c r="F465" i="32" s="1"/>
  <c r="F466" i="32" s="1"/>
  <c r="N451" i="32"/>
  <c r="O451" i="32" s="1"/>
  <c r="N450" i="32"/>
  <c r="O450" i="32" s="1"/>
  <c r="N449" i="32"/>
  <c r="O449" i="32" s="1"/>
  <c r="I449" i="32"/>
  <c r="I450" i="32" s="1"/>
  <c r="N448" i="32"/>
  <c r="O448" i="32" s="1"/>
  <c r="I448" i="32"/>
  <c r="N447" i="32"/>
  <c r="O447" i="32" s="1"/>
  <c r="N446" i="32"/>
  <c r="O446" i="32" s="1"/>
  <c r="N445" i="32"/>
  <c r="O445" i="32" s="1"/>
  <c r="N444" i="32"/>
  <c r="O444" i="32" s="1"/>
  <c r="I444" i="32"/>
  <c r="I445" i="32" s="1"/>
  <c r="I446" i="32" s="1"/>
  <c r="H444" i="32"/>
  <c r="H445" i="32" s="1"/>
  <c r="H446" i="32" s="1"/>
  <c r="H447" i="32" s="1"/>
  <c r="H448" i="32" s="1"/>
  <c r="H449" i="32" s="1"/>
  <c r="H450" i="32" s="1"/>
  <c r="N443" i="32"/>
  <c r="O443" i="32" s="1"/>
  <c r="N442" i="32"/>
  <c r="O442" i="32" s="1"/>
  <c r="N441" i="32"/>
  <c r="O441" i="32" s="1"/>
  <c r="N440" i="32"/>
  <c r="O440" i="32" s="1"/>
  <c r="I440" i="32"/>
  <c r="I441" i="32" s="1"/>
  <c r="I442" i="32" s="1"/>
  <c r="N439" i="32"/>
  <c r="O439" i="32" s="1"/>
  <c r="N438" i="32"/>
  <c r="O438" i="32" s="1"/>
  <c r="N437" i="32"/>
  <c r="O437" i="32" s="1"/>
  <c r="N436" i="32"/>
  <c r="O436" i="32" s="1"/>
  <c r="I436" i="32"/>
  <c r="I437" i="32" s="1"/>
  <c r="I438" i="32" s="1"/>
  <c r="H436" i="32"/>
  <c r="H437" i="32" s="1"/>
  <c r="H438" i="32" s="1"/>
  <c r="H439" i="32" s="1"/>
  <c r="H440" i="32" s="1"/>
  <c r="H441" i="32" s="1"/>
  <c r="H442" i="32" s="1"/>
  <c r="G436" i="32"/>
  <c r="G437" i="32" s="1"/>
  <c r="G438" i="32" s="1"/>
  <c r="G439" i="32" s="1"/>
  <c r="G440" i="32" s="1"/>
  <c r="G441" i="32" s="1"/>
  <c r="G442" i="32" s="1"/>
  <c r="G443" i="32" s="1"/>
  <c r="G444" i="32" s="1"/>
  <c r="G445" i="32" s="1"/>
  <c r="G446" i="32" s="1"/>
  <c r="G447" i="32" s="1"/>
  <c r="G448" i="32" s="1"/>
  <c r="G449" i="32" s="1"/>
  <c r="G450" i="32" s="1"/>
  <c r="F436" i="32"/>
  <c r="F437" i="32" s="1"/>
  <c r="F438" i="32" s="1"/>
  <c r="F439" i="32" s="1"/>
  <c r="F440" i="32" s="1"/>
  <c r="F441" i="32" s="1"/>
  <c r="F442" i="32" s="1"/>
  <c r="F443" i="32" s="1"/>
  <c r="F444" i="32" s="1"/>
  <c r="F445" i="32" s="1"/>
  <c r="F446" i="32" s="1"/>
  <c r="F447" i="32" s="1"/>
  <c r="F448" i="32" s="1"/>
  <c r="F449" i="32" s="1"/>
  <c r="F450" i="32" s="1"/>
  <c r="N435" i="32"/>
  <c r="O435" i="32" s="1"/>
  <c r="N434" i="32"/>
  <c r="O434" i="32" s="1"/>
  <c r="N433" i="32"/>
  <c r="O433" i="32" s="1"/>
  <c r="N432" i="32"/>
  <c r="O432" i="32" s="1"/>
  <c r="I432" i="32"/>
  <c r="I433" i="32" s="1"/>
  <c r="I434" i="32" s="1"/>
  <c r="N431" i="32"/>
  <c r="O431" i="32" s="1"/>
  <c r="N430" i="32"/>
  <c r="O430" i="32" s="1"/>
  <c r="N429" i="32"/>
  <c r="O429" i="32" s="1"/>
  <c r="N428" i="32"/>
  <c r="O428" i="32" s="1"/>
  <c r="I428" i="32"/>
  <c r="I429" i="32" s="1"/>
  <c r="I430" i="32" s="1"/>
  <c r="H428" i="32"/>
  <c r="H429" i="32" s="1"/>
  <c r="H430" i="32" s="1"/>
  <c r="H431" i="32" s="1"/>
  <c r="H432" i="32" s="1"/>
  <c r="H433" i="32" s="1"/>
  <c r="H434" i="32" s="1"/>
  <c r="N427" i="32"/>
  <c r="O427" i="32" s="1"/>
  <c r="N426" i="32"/>
  <c r="N425" i="32"/>
  <c r="O425" i="32" s="1"/>
  <c r="N424" i="32"/>
  <c r="O424" i="32" s="1"/>
  <c r="I424" i="32"/>
  <c r="I425" i="32" s="1"/>
  <c r="I426" i="32" s="1"/>
  <c r="N423" i="32"/>
  <c r="O423" i="32" s="1"/>
  <c r="N422" i="32"/>
  <c r="O422" i="32" s="1"/>
  <c r="N421" i="32"/>
  <c r="O421" i="32" s="1"/>
  <c r="H421" i="32"/>
  <c r="H422" i="32" s="1"/>
  <c r="H423" i="32" s="1"/>
  <c r="H424" i="32" s="1"/>
  <c r="H425" i="32" s="1"/>
  <c r="H426" i="32" s="1"/>
  <c r="N420" i="32"/>
  <c r="O420" i="32" s="1"/>
  <c r="I420" i="32"/>
  <c r="I421" i="32" s="1"/>
  <c r="I422" i="32" s="1"/>
  <c r="H420" i="32"/>
  <c r="G420" i="32"/>
  <c r="G421" i="32" s="1"/>
  <c r="G422" i="32" s="1"/>
  <c r="G423" i="32" s="1"/>
  <c r="G424" i="32" s="1"/>
  <c r="G425" i="32" s="1"/>
  <c r="G426" i="32" s="1"/>
  <c r="G427" i="32" s="1"/>
  <c r="G428" i="32" s="1"/>
  <c r="G429" i="32" s="1"/>
  <c r="G430" i="32" s="1"/>
  <c r="G431" i="32" s="1"/>
  <c r="G432" i="32" s="1"/>
  <c r="G433" i="32" s="1"/>
  <c r="G434" i="32" s="1"/>
  <c r="F420" i="32"/>
  <c r="F421" i="32" s="1"/>
  <c r="F422" i="32" s="1"/>
  <c r="F423" i="32" s="1"/>
  <c r="F424" i="32" s="1"/>
  <c r="F425" i="32" s="1"/>
  <c r="F426" i="32" s="1"/>
  <c r="F427" i="32" s="1"/>
  <c r="F428" i="32" s="1"/>
  <c r="F429" i="32" s="1"/>
  <c r="F430" i="32" s="1"/>
  <c r="F431" i="32" s="1"/>
  <c r="F432" i="32" s="1"/>
  <c r="F433" i="32" s="1"/>
  <c r="F434" i="32" s="1"/>
  <c r="N419" i="32"/>
  <c r="O419" i="32" s="1"/>
  <c r="N418" i="32"/>
  <c r="O418" i="32" s="1"/>
  <c r="N417" i="32"/>
  <c r="O417" i="32" s="1"/>
  <c r="I417" i="32"/>
  <c r="I418" i="32" s="1"/>
  <c r="N416" i="32"/>
  <c r="O416" i="32" s="1"/>
  <c r="I416" i="32"/>
  <c r="N415" i="32"/>
  <c r="O415" i="32" s="1"/>
  <c r="N414" i="32"/>
  <c r="O414" i="32" s="1"/>
  <c r="N413" i="32"/>
  <c r="O413" i="32" s="1"/>
  <c r="N412" i="32"/>
  <c r="O412" i="32" s="1"/>
  <c r="I412" i="32"/>
  <c r="I413" i="32" s="1"/>
  <c r="I414" i="32" s="1"/>
  <c r="H412" i="32"/>
  <c r="H413" i="32" s="1"/>
  <c r="H414" i="32" s="1"/>
  <c r="H415" i="32" s="1"/>
  <c r="H416" i="32" s="1"/>
  <c r="H417" i="32" s="1"/>
  <c r="H418" i="32" s="1"/>
  <c r="N411" i="32"/>
  <c r="O411" i="32" s="1"/>
  <c r="N410" i="32"/>
  <c r="O410" i="32" s="1"/>
  <c r="N409" i="32"/>
  <c r="O409" i="32" s="1"/>
  <c r="N408" i="32"/>
  <c r="O408" i="32" s="1"/>
  <c r="I408" i="32"/>
  <c r="I409" i="32" s="1"/>
  <c r="I410" i="32" s="1"/>
  <c r="N407" i="32"/>
  <c r="O407" i="32" s="1"/>
  <c r="N406" i="32"/>
  <c r="O406" i="32" s="1"/>
  <c r="N405" i="32"/>
  <c r="O405" i="32" s="1"/>
  <c r="N404" i="32"/>
  <c r="O404" i="32" s="1"/>
  <c r="I404" i="32"/>
  <c r="I405" i="32" s="1"/>
  <c r="I406" i="32" s="1"/>
  <c r="H404" i="32"/>
  <c r="H405" i="32" s="1"/>
  <c r="H406" i="32" s="1"/>
  <c r="H407" i="32" s="1"/>
  <c r="H408" i="32" s="1"/>
  <c r="H409" i="32" s="1"/>
  <c r="H410" i="32" s="1"/>
  <c r="G404" i="32"/>
  <c r="G405" i="32" s="1"/>
  <c r="G406" i="32" s="1"/>
  <c r="G407" i="32" s="1"/>
  <c r="G408" i="32" s="1"/>
  <c r="G409" i="32" s="1"/>
  <c r="G410" i="32" s="1"/>
  <c r="G411" i="32" s="1"/>
  <c r="G412" i="32" s="1"/>
  <c r="G413" i="32" s="1"/>
  <c r="G414" i="32" s="1"/>
  <c r="G415" i="32" s="1"/>
  <c r="G416" i="32" s="1"/>
  <c r="G417" i="32" s="1"/>
  <c r="G418" i="32" s="1"/>
  <c r="F404" i="32"/>
  <c r="F405" i="32" s="1"/>
  <c r="F406" i="32" s="1"/>
  <c r="F407" i="32" s="1"/>
  <c r="F408" i="32" s="1"/>
  <c r="F409" i="32" s="1"/>
  <c r="F410" i="32" s="1"/>
  <c r="F411" i="32" s="1"/>
  <c r="F412" i="32" s="1"/>
  <c r="F413" i="32" s="1"/>
  <c r="F414" i="32" s="1"/>
  <c r="F415" i="32" s="1"/>
  <c r="F416" i="32" s="1"/>
  <c r="F417" i="32" s="1"/>
  <c r="F418" i="32" s="1"/>
  <c r="N403" i="32"/>
  <c r="O403" i="32" s="1"/>
  <c r="N402" i="32"/>
  <c r="O402" i="32" s="1"/>
  <c r="N401" i="32"/>
  <c r="O401" i="32" s="1"/>
  <c r="N400" i="32"/>
  <c r="O400" i="32" s="1"/>
  <c r="I400" i="32"/>
  <c r="I401" i="32" s="1"/>
  <c r="I402" i="32" s="1"/>
  <c r="N399" i="32"/>
  <c r="O399" i="32" s="1"/>
  <c r="N398" i="32"/>
  <c r="O398" i="32" s="1"/>
  <c r="N397" i="32"/>
  <c r="O397" i="32" s="1"/>
  <c r="N396" i="32"/>
  <c r="O396" i="32" s="1"/>
  <c r="I396" i="32"/>
  <c r="I397" i="32" s="1"/>
  <c r="I398" i="32" s="1"/>
  <c r="H396" i="32"/>
  <c r="H397" i="32" s="1"/>
  <c r="H398" i="32" s="1"/>
  <c r="H399" i="32" s="1"/>
  <c r="H400" i="32" s="1"/>
  <c r="H401" i="32" s="1"/>
  <c r="H402" i="32" s="1"/>
  <c r="N395" i="32"/>
  <c r="O395" i="32" s="1"/>
  <c r="N394" i="32"/>
  <c r="O394" i="32" s="1"/>
  <c r="N393" i="32"/>
  <c r="O393" i="32" s="1"/>
  <c r="N392" i="32"/>
  <c r="O392" i="32" s="1"/>
  <c r="I392" i="32"/>
  <c r="I393" i="32" s="1"/>
  <c r="I394" i="32" s="1"/>
  <c r="N391" i="32"/>
  <c r="O391" i="32" s="1"/>
  <c r="N390" i="32"/>
  <c r="O390" i="32" s="1"/>
  <c r="N389" i="32"/>
  <c r="O389" i="32" s="1"/>
  <c r="N388" i="32"/>
  <c r="O388" i="32" s="1"/>
  <c r="I388" i="32"/>
  <c r="I389" i="32" s="1"/>
  <c r="I390" i="32" s="1"/>
  <c r="H388" i="32"/>
  <c r="H389" i="32" s="1"/>
  <c r="H390" i="32" s="1"/>
  <c r="H391" i="32" s="1"/>
  <c r="H392" i="32" s="1"/>
  <c r="H393" i="32" s="1"/>
  <c r="H394" i="32" s="1"/>
  <c r="G388" i="32"/>
  <c r="G389" i="32" s="1"/>
  <c r="G390" i="32" s="1"/>
  <c r="G391" i="32" s="1"/>
  <c r="G392" i="32" s="1"/>
  <c r="G393" i="32" s="1"/>
  <c r="G394" i="32" s="1"/>
  <c r="G395" i="32" s="1"/>
  <c r="G396" i="32" s="1"/>
  <c r="G397" i="32" s="1"/>
  <c r="G398" i="32" s="1"/>
  <c r="G399" i="32" s="1"/>
  <c r="G400" i="32" s="1"/>
  <c r="G401" i="32" s="1"/>
  <c r="G402" i="32" s="1"/>
  <c r="F388" i="32"/>
  <c r="F389" i="32" s="1"/>
  <c r="F390" i="32" s="1"/>
  <c r="F391" i="32" s="1"/>
  <c r="F392" i="32" s="1"/>
  <c r="F393" i="32" s="1"/>
  <c r="F394" i="32" s="1"/>
  <c r="F395" i="32" s="1"/>
  <c r="F396" i="32" s="1"/>
  <c r="F397" i="32" s="1"/>
  <c r="F398" i="32" s="1"/>
  <c r="F399" i="32" s="1"/>
  <c r="F400" i="32" s="1"/>
  <c r="F401" i="32" s="1"/>
  <c r="F402" i="32" s="1"/>
  <c r="N387" i="32"/>
  <c r="O387" i="32" s="1"/>
  <c r="G468" i="31" l="1"/>
  <c r="G469" i="31" s="1"/>
  <c r="G470" i="31" s="1"/>
  <c r="G471" i="31" s="1"/>
  <c r="G472" i="31" s="1"/>
  <c r="G473" i="31" s="1"/>
  <c r="G474" i="31" s="1"/>
  <c r="G475" i="31" s="1"/>
  <c r="G476" i="31" s="1"/>
  <c r="G477" i="31" s="1"/>
  <c r="G478" i="31" s="1"/>
  <c r="G479" i="31" s="1"/>
  <c r="G480" i="31" s="1"/>
  <c r="G481" i="31" s="1"/>
  <c r="G482" i="31" s="1"/>
  <c r="G452" i="31"/>
  <c r="G453" i="31" s="1"/>
  <c r="G454" i="31" s="1"/>
  <c r="G455" i="31" s="1"/>
  <c r="G456" i="31" s="1"/>
  <c r="G457" i="31" s="1"/>
  <c r="G458" i="31" s="1"/>
  <c r="G459" i="31" s="1"/>
  <c r="G460" i="31" s="1"/>
  <c r="G461" i="31" s="1"/>
  <c r="G462" i="31" s="1"/>
  <c r="G463" i="31" s="1"/>
  <c r="G464" i="31" s="1"/>
  <c r="G465" i="31" s="1"/>
  <c r="G466" i="31" s="1"/>
  <c r="G373" i="31"/>
  <c r="G374" i="31" s="1"/>
  <c r="G375" i="31" s="1"/>
  <c r="G376" i="31" s="1"/>
  <c r="G377" i="31" s="1"/>
  <c r="G378" i="31" s="1"/>
  <c r="G379" i="31" s="1"/>
  <c r="G380" i="31" s="1"/>
  <c r="G381" i="31" s="1"/>
  <c r="G382" i="31" s="1"/>
  <c r="G383" i="31" s="1"/>
  <c r="G384" i="31" s="1"/>
  <c r="G385" i="31" s="1"/>
  <c r="G386" i="31" s="1"/>
  <c r="G372" i="31"/>
  <c r="G356" i="31"/>
  <c r="G357" i="31" s="1"/>
  <c r="G358" i="31" s="1"/>
  <c r="G359" i="31" s="1"/>
  <c r="G360" i="31" s="1"/>
  <c r="G361" i="31" s="1"/>
  <c r="G362" i="31" s="1"/>
  <c r="G363" i="31" s="1"/>
  <c r="G364" i="31" s="1"/>
  <c r="G365" i="31" s="1"/>
  <c r="G366" i="31" s="1"/>
  <c r="G367" i="31" s="1"/>
  <c r="G368" i="31" s="1"/>
  <c r="G369" i="31" s="1"/>
  <c r="G370" i="31" s="1"/>
  <c r="G276" i="31"/>
  <c r="G277" i="31" s="1"/>
  <c r="G278" i="31" s="1"/>
  <c r="G279" i="31" s="1"/>
  <c r="G280" i="31" s="1"/>
  <c r="G281" i="31" s="1"/>
  <c r="G282" i="31" s="1"/>
  <c r="G283" i="31" s="1"/>
  <c r="G284" i="31" s="1"/>
  <c r="G285" i="31" s="1"/>
  <c r="G286" i="31" s="1"/>
  <c r="G287" i="31" s="1"/>
  <c r="G288" i="31" s="1"/>
  <c r="G289" i="31" s="1"/>
  <c r="G290" i="31" s="1"/>
  <c r="G260" i="31"/>
  <c r="G261" i="31" s="1"/>
  <c r="G262" i="31" s="1"/>
  <c r="G263" i="31" s="1"/>
  <c r="G264" i="31" s="1"/>
  <c r="G265" i="31" s="1"/>
  <c r="G266" i="31" s="1"/>
  <c r="G267" i="31" s="1"/>
  <c r="G268" i="31" s="1"/>
  <c r="G269" i="31" s="1"/>
  <c r="G270" i="31" s="1"/>
  <c r="G271" i="31" s="1"/>
  <c r="G272" i="31" s="1"/>
  <c r="G273" i="31" s="1"/>
  <c r="G274" i="31" s="1"/>
  <c r="N290" i="46"/>
  <c r="N289" i="46"/>
  <c r="I289" i="46"/>
  <c r="I290" i="46" s="1"/>
  <c r="N288" i="46"/>
  <c r="I288" i="46"/>
  <c r="N287" i="46"/>
  <c r="N286" i="46"/>
  <c r="N285" i="46"/>
  <c r="N284" i="46"/>
  <c r="I284" i="46"/>
  <c r="I285" i="46" s="1"/>
  <c r="I286" i="46" s="1"/>
  <c r="H284" i="46"/>
  <c r="H285" i="46" s="1"/>
  <c r="H286" i="46" s="1"/>
  <c r="H287" i="46" s="1"/>
  <c r="H288" i="46" s="1"/>
  <c r="H289" i="46" s="1"/>
  <c r="H290" i="46" s="1"/>
  <c r="N283" i="46"/>
  <c r="N282" i="46"/>
  <c r="N281" i="46"/>
  <c r="N280" i="46"/>
  <c r="I280" i="46"/>
  <c r="I281" i="46" s="1"/>
  <c r="I282" i="46" s="1"/>
  <c r="N279" i="46"/>
  <c r="N278" i="46"/>
  <c r="N277" i="46"/>
  <c r="I277" i="46"/>
  <c r="I278" i="46" s="1"/>
  <c r="H277" i="46"/>
  <c r="H278" i="46" s="1"/>
  <c r="H279" i="46" s="1"/>
  <c r="H280" i="46" s="1"/>
  <c r="H281" i="46" s="1"/>
  <c r="H282" i="46" s="1"/>
  <c r="N276" i="46"/>
  <c r="I276" i="46"/>
  <c r="H276" i="46"/>
  <c r="G276" i="46"/>
  <c r="G277" i="46" s="1"/>
  <c r="G278" i="46" s="1"/>
  <c r="G279" i="46" s="1"/>
  <c r="G280" i="46" s="1"/>
  <c r="G281" i="46" s="1"/>
  <c r="G282" i="46" s="1"/>
  <c r="G283" i="46" s="1"/>
  <c r="G284" i="46" s="1"/>
  <c r="G285" i="46" s="1"/>
  <c r="G286" i="46" s="1"/>
  <c r="G287" i="46" s="1"/>
  <c r="G288" i="46" s="1"/>
  <c r="G289" i="46" s="1"/>
  <c r="G290" i="46" s="1"/>
  <c r="F276" i="46"/>
  <c r="F277" i="46" s="1"/>
  <c r="F278" i="46" s="1"/>
  <c r="F279" i="46" s="1"/>
  <c r="F280" i="46" s="1"/>
  <c r="F281" i="46" s="1"/>
  <c r="F282" i="46" s="1"/>
  <c r="F283" i="46" s="1"/>
  <c r="F284" i="46" s="1"/>
  <c r="F285" i="46" s="1"/>
  <c r="F286" i="46" s="1"/>
  <c r="F287" i="46" s="1"/>
  <c r="F288" i="46" s="1"/>
  <c r="F289" i="46" s="1"/>
  <c r="F290" i="46" s="1"/>
  <c r="N275" i="46"/>
  <c r="N274" i="46"/>
  <c r="N273" i="46"/>
  <c r="I273" i="46"/>
  <c r="I274" i="46" s="1"/>
  <c r="N272" i="46"/>
  <c r="I272" i="46"/>
  <c r="N271" i="46"/>
  <c r="N270" i="46"/>
  <c r="N269" i="46"/>
  <c r="N268" i="46"/>
  <c r="I268" i="46"/>
  <c r="I269" i="46" s="1"/>
  <c r="I270" i="46" s="1"/>
  <c r="H268" i="46"/>
  <c r="H269" i="46" s="1"/>
  <c r="H270" i="46" s="1"/>
  <c r="H271" i="46" s="1"/>
  <c r="H272" i="46" s="1"/>
  <c r="H273" i="46" s="1"/>
  <c r="H274" i="46" s="1"/>
  <c r="N267" i="46"/>
  <c r="N266" i="46"/>
  <c r="N265" i="46"/>
  <c r="N264" i="46"/>
  <c r="I264" i="46"/>
  <c r="I265" i="46" s="1"/>
  <c r="I266" i="46" s="1"/>
  <c r="N263" i="46"/>
  <c r="N262" i="46"/>
  <c r="N261" i="46"/>
  <c r="I261" i="46"/>
  <c r="I262" i="46" s="1"/>
  <c r="H261" i="46"/>
  <c r="H262" i="46" s="1"/>
  <c r="H263" i="46" s="1"/>
  <c r="H264" i="46" s="1"/>
  <c r="H265" i="46" s="1"/>
  <c r="H266" i="46" s="1"/>
  <c r="N260" i="46"/>
  <c r="I260" i="46"/>
  <c r="H260" i="46"/>
  <c r="G260" i="46"/>
  <c r="G261" i="46" s="1"/>
  <c r="G262" i="46" s="1"/>
  <c r="G263" i="46" s="1"/>
  <c r="G264" i="46" s="1"/>
  <c r="G265" i="46" s="1"/>
  <c r="G266" i="46" s="1"/>
  <c r="G267" i="46" s="1"/>
  <c r="G268" i="46" s="1"/>
  <c r="G269" i="46" s="1"/>
  <c r="G270" i="46" s="1"/>
  <c r="G271" i="46" s="1"/>
  <c r="G272" i="46" s="1"/>
  <c r="G273" i="46" s="1"/>
  <c r="G274" i="46" s="1"/>
  <c r="F260" i="46"/>
  <c r="F261" i="46" s="1"/>
  <c r="F262" i="46" s="1"/>
  <c r="F263" i="46" s="1"/>
  <c r="F264" i="46" s="1"/>
  <c r="F265" i="46" s="1"/>
  <c r="F266" i="46" s="1"/>
  <c r="F267" i="46" s="1"/>
  <c r="F268" i="46" s="1"/>
  <c r="F269" i="46" s="1"/>
  <c r="F270" i="46" s="1"/>
  <c r="F271" i="46" s="1"/>
  <c r="F272" i="46" s="1"/>
  <c r="F273" i="46" s="1"/>
  <c r="F274" i="46" s="1"/>
  <c r="N259" i="46"/>
  <c r="N258" i="46"/>
  <c r="N257" i="46"/>
  <c r="I257" i="46"/>
  <c r="I258" i="46" s="1"/>
  <c r="N256" i="46"/>
  <c r="I256" i="46"/>
  <c r="N255" i="46"/>
  <c r="N254" i="46"/>
  <c r="N253" i="46"/>
  <c r="N252" i="46"/>
  <c r="I252" i="46"/>
  <c r="I253" i="46" s="1"/>
  <c r="I254" i="46" s="1"/>
  <c r="H252" i="46"/>
  <c r="H253" i="46" s="1"/>
  <c r="H254" i="46" s="1"/>
  <c r="H255" i="46" s="1"/>
  <c r="H256" i="46" s="1"/>
  <c r="H257" i="46" s="1"/>
  <c r="H258" i="46" s="1"/>
  <c r="N251" i="46"/>
  <c r="N250" i="46"/>
  <c r="N249" i="46"/>
  <c r="N248" i="46"/>
  <c r="I248" i="46"/>
  <c r="I249" i="46" s="1"/>
  <c r="I250" i="46" s="1"/>
  <c r="N247" i="46"/>
  <c r="F247" i="46"/>
  <c r="F248" i="46" s="1"/>
  <c r="F249" i="46" s="1"/>
  <c r="F250" i="46" s="1"/>
  <c r="F251" i="46" s="1"/>
  <c r="F252" i="46" s="1"/>
  <c r="F253" i="46" s="1"/>
  <c r="F254" i="46" s="1"/>
  <c r="F255" i="46" s="1"/>
  <c r="F256" i="46" s="1"/>
  <c r="F257" i="46" s="1"/>
  <c r="F258" i="46" s="1"/>
  <c r="N246" i="46"/>
  <c r="N245" i="46"/>
  <c r="I245" i="46"/>
  <c r="I246" i="46" s="1"/>
  <c r="H245" i="46"/>
  <c r="H246" i="46" s="1"/>
  <c r="H247" i="46" s="1"/>
  <c r="H248" i="46" s="1"/>
  <c r="H249" i="46" s="1"/>
  <c r="H250" i="46" s="1"/>
  <c r="N244" i="46"/>
  <c r="I244" i="46"/>
  <c r="H244" i="46"/>
  <c r="G244" i="46"/>
  <c r="G245" i="46" s="1"/>
  <c r="G246" i="46" s="1"/>
  <c r="G247" i="46" s="1"/>
  <c r="G248" i="46" s="1"/>
  <c r="G249" i="46" s="1"/>
  <c r="G250" i="46" s="1"/>
  <c r="G251" i="46" s="1"/>
  <c r="G252" i="46" s="1"/>
  <c r="G253" i="46" s="1"/>
  <c r="G254" i="46" s="1"/>
  <c r="G255" i="46" s="1"/>
  <c r="G256" i="46" s="1"/>
  <c r="G257" i="46" s="1"/>
  <c r="G258" i="46" s="1"/>
  <c r="F244" i="46"/>
  <c r="F245" i="46" s="1"/>
  <c r="F246" i="46" s="1"/>
  <c r="N243" i="46"/>
  <c r="N242" i="46"/>
  <c r="N241" i="46"/>
  <c r="I241" i="46"/>
  <c r="I242" i="46" s="1"/>
  <c r="N240" i="46"/>
  <c r="I240" i="46"/>
  <c r="N239" i="46"/>
  <c r="N238" i="46"/>
  <c r="N237" i="46"/>
  <c r="N236" i="46"/>
  <c r="I236" i="46"/>
  <c r="I237" i="46" s="1"/>
  <c r="I238" i="46" s="1"/>
  <c r="H236" i="46"/>
  <c r="H237" i="46" s="1"/>
  <c r="H238" i="46" s="1"/>
  <c r="H239" i="46" s="1"/>
  <c r="H240" i="46" s="1"/>
  <c r="H241" i="46" s="1"/>
  <c r="H242" i="46" s="1"/>
  <c r="N235" i="46"/>
  <c r="N234" i="46"/>
  <c r="N233" i="46"/>
  <c r="N232" i="46"/>
  <c r="I232" i="46"/>
  <c r="I233" i="46" s="1"/>
  <c r="I234" i="46" s="1"/>
  <c r="N231" i="46"/>
  <c r="N230" i="46"/>
  <c r="N229" i="46"/>
  <c r="I229" i="46"/>
  <c r="I230" i="46" s="1"/>
  <c r="H229" i="46"/>
  <c r="H230" i="46" s="1"/>
  <c r="H231" i="46" s="1"/>
  <c r="H232" i="46" s="1"/>
  <c r="H233" i="46" s="1"/>
  <c r="H234" i="46" s="1"/>
  <c r="N228" i="46"/>
  <c r="I228" i="46"/>
  <c r="H228" i="46"/>
  <c r="G228" i="46"/>
  <c r="G229" i="46" s="1"/>
  <c r="G230" i="46" s="1"/>
  <c r="G231" i="46" s="1"/>
  <c r="G232" i="46" s="1"/>
  <c r="G233" i="46" s="1"/>
  <c r="G234" i="46" s="1"/>
  <c r="G235" i="46" s="1"/>
  <c r="G236" i="46" s="1"/>
  <c r="G237" i="46" s="1"/>
  <c r="G238" i="46" s="1"/>
  <c r="G239" i="46" s="1"/>
  <c r="G240" i="46" s="1"/>
  <c r="G241" i="46" s="1"/>
  <c r="G242" i="46" s="1"/>
  <c r="F228" i="46"/>
  <c r="F229" i="46" s="1"/>
  <c r="F230" i="46" s="1"/>
  <c r="F231" i="46" s="1"/>
  <c r="F232" i="46" s="1"/>
  <c r="F233" i="46" s="1"/>
  <c r="F234" i="46" s="1"/>
  <c r="F235" i="46" s="1"/>
  <c r="F236" i="46" s="1"/>
  <c r="F237" i="46" s="1"/>
  <c r="F238" i="46" s="1"/>
  <c r="F239" i="46" s="1"/>
  <c r="F240" i="46" s="1"/>
  <c r="F241" i="46" s="1"/>
  <c r="F242" i="46" s="1"/>
  <c r="N227" i="46"/>
  <c r="N226" i="46"/>
  <c r="N225" i="46"/>
  <c r="I225" i="46"/>
  <c r="I226" i="46" s="1"/>
  <c r="H225" i="46"/>
  <c r="H226" i="46" s="1"/>
  <c r="N224" i="46"/>
  <c r="I224" i="46"/>
  <c r="N223" i="46"/>
  <c r="N222" i="46"/>
  <c r="N221" i="46"/>
  <c r="N220" i="46"/>
  <c r="I220" i="46"/>
  <c r="I221" i="46" s="1"/>
  <c r="I222" i="46" s="1"/>
  <c r="H220" i="46"/>
  <c r="H221" i="46" s="1"/>
  <c r="H222" i="46" s="1"/>
  <c r="H223" i="46" s="1"/>
  <c r="H224" i="46" s="1"/>
  <c r="N219" i="46"/>
  <c r="N218" i="46"/>
  <c r="H218" i="46"/>
  <c r="N217" i="46"/>
  <c r="N216" i="46"/>
  <c r="I216" i="46"/>
  <c r="I217" i="46" s="1"/>
  <c r="I218" i="46" s="1"/>
  <c r="N215" i="46"/>
  <c r="N214" i="46"/>
  <c r="N213" i="46"/>
  <c r="I213" i="46"/>
  <c r="I214" i="46" s="1"/>
  <c r="H213" i="46"/>
  <c r="H214" i="46" s="1"/>
  <c r="H215" i="46" s="1"/>
  <c r="H216" i="46" s="1"/>
  <c r="H217" i="46" s="1"/>
  <c r="N212" i="46"/>
  <c r="I212" i="46"/>
  <c r="H212" i="46"/>
  <c r="G212" i="46"/>
  <c r="G213" i="46" s="1"/>
  <c r="G214" i="46" s="1"/>
  <c r="G215" i="46" s="1"/>
  <c r="G216" i="46" s="1"/>
  <c r="G217" i="46" s="1"/>
  <c r="G218" i="46" s="1"/>
  <c r="G219" i="46" s="1"/>
  <c r="G220" i="46" s="1"/>
  <c r="G221" i="46" s="1"/>
  <c r="G222" i="46" s="1"/>
  <c r="G223" i="46" s="1"/>
  <c r="G224" i="46" s="1"/>
  <c r="G225" i="46" s="1"/>
  <c r="G226" i="46" s="1"/>
  <c r="F212" i="46"/>
  <c r="F213" i="46" s="1"/>
  <c r="F214" i="46" s="1"/>
  <c r="F215" i="46" s="1"/>
  <c r="F216" i="46" s="1"/>
  <c r="F217" i="46" s="1"/>
  <c r="F218" i="46" s="1"/>
  <c r="F219" i="46" s="1"/>
  <c r="F220" i="46" s="1"/>
  <c r="F221" i="46" s="1"/>
  <c r="F222" i="46" s="1"/>
  <c r="F223" i="46" s="1"/>
  <c r="F224" i="46" s="1"/>
  <c r="F225" i="46" s="1"/>
  <c r="F226" i="46" s="1"/>
  <c r="N211" i="46"/>
  <c r="N210" i="46"/>
  <c r="N209" i="46"/>
  <c r="I209" i="46"/>
  <c r="I210" i="46" s="1"/>
  <c r="N208" i="46"/>
  <c r="I208" i="46"/>
  <c r="N207" i="46"/>
  <c r="N206" i="46"/>
  <c r="N205" i="46"/>
  <c r="N204" i="46"/>
  <c r="I204" i="46"/>
  <c r="I205" i="46" s="1"/>
  <c r="I206" i="46" s="1"/>
  <c r="H204" i="46"/>
  <c r="H205" i="46" s="1"/>
  <c r="H206" i="46" s="1"/>
  <c r="H207" i="46" s="1"/>
  <c r="H208" i="46" s="1"/>
  <c r="H209" i="46" s="1"/>
  <c r="H210" i="46" s="1"/>
  <c r="N203" i="46"/>
  <c r="N202" i="46"/>
  <c r="H202" i="46"/>
  <c r="N201" i="46"/>
  <c r="N200" i="46"/>
  <c r="I200" i="46"/>
  <c r="I201" i="46" s="1"/>
  <c r="I202" i="46" s="1"/>
  <c r="N199" i="46"/>
  <c r="F199" i="46"/>
  <c r="F200" i="46" s="1"/>
  <c r="F201" i="46" s="1"/>
  <c r="F202" i="46" s="1"/>
  <c r="F203" i="46" s="1"/>
  <c r="F204" i="46" s="1"/>
  <c r="F205" i="46" s="1"/>
  <c r="F206" i="46" s="1"/>
  <c r="F207" i="46" s="1"/>
  <c r="F208" i="46" s="1"/>
  <c r="F209" i="46" s="1"/>
  <c r="F210" i="46" s="1"/>
  <c r="N198" i="46"/>
  <c r="N197" i="46"/>
  <c r="I197" i="46"/>
  <c r="I198" i="46" s="1"/>
  <c r="H197" i="46"/>
  <c r="H198" i="46" s="1"/>
  <c r="H199" i="46" s="1"/>
  <c r="H200" i="46" s="1"/>
  <c r="H201" i="46" s="1"/>
  <c r="N196" i="46"/>
  <c r="I196" i="46"/>
  <c r="H196" i="46"/>
  <c r="G196" i="46"/>
  <c r="G197" i="46" s="1"/>
  <c r="G198" i="46" s="1"/>
  <c r="G199" i="46" s="1"/>
  <c r="G200" i="46" s="1"/>
  <c r="G201" i="46" s="1"/>
  <c r="G202" i="46" s="1"/>
  <c r="G203" i="46" s="1"/>
  <c r="G204" i="46" s="1"/>
  <c r="G205" i="46" s="1"/>
  <c r="G206" i="46" s="1"/>
  <c r="G207" i="46" s="1"/>
  <c r="G208" i="46" s="1"/>
  <c r="G209" i="46" s="1"/>
  <c r="G210" i="46" s="1"/>
  <c r="F196" i="46"/>
  <c r="F197" i="46" s="1"/>
  <c r="F198" i="46" s="1"/>
  <c r="N195" i="46"/>
  <c r="O318" i="42" l="1"/>
  <c r="O350" i="42"/>
  <c r="O382" i="42"/>
  <c r="O384" i="42"/>
  <c r="N386" i="42"/>
  <c r="O386" i="42" s="1"/>
  <c r="N385" i="42"/>
  <c r="O385" i="42" s="1"/>
  <c r="N384" i="42"/>
  <c r="I384" i="42"/>
  <c r="I385" i="42" s="1"/>
  <c r="I386" i="42" s="1"/>
  <c r="N383" i="42"/>
  <c r="O383" i="42" s="1"/>
  <c r="N382" i="42"/>
  <c r="N381" i="42"/>
  <c r="O381" i="42" s="1"/>
  <c r="N380" i="42"/>
  <c r="O380" i="42" s="1"/>
  <c r="I380" i="42"/>
  <c r="I381" i="42" s="1"/>
  <c r="I382" i="42" s="1"/>
  <c r="H380" i="42"/>
  <c r="H381" i="42" s="1"/>
  <c r="H382" i="42" s="1"/>
  <c r="H383" i="42" s="1"/>
  <c r="H384" i="42" s="1"/>
  <c r="H385" i="42" s="1"/>
  <c r="H386" i="42" s="1"/>
  <c r="N379" i="42"/>
  <c r="O379" i="42" s="1"/>
  <c r="N378" i="42"/>
  <c r="O378" i="42" s="1"/>
  <c r="N377" i="42"/>
  <c r="O377" i="42" s="1"/>
  <c r="N376" i="42"/>
  <c r="O376" i="42" s="1"/>
  <c r="I376" i="42"/>
  <c r="I377" i="42" s="1"/>
  <c r="I378" i="42" s="1"/>
  <c r="N375" i="42"/>
  <c r="O375" i="42" s="1"/>
  <c r="N374" i="42"/>
  <c r="O374" i="42" s="1"/>
  <c r="N373" i="42"/>
  <c r="O373" i="42" s="1"/>
  <c r="I373" i="42"/>
  <c r="I374" i="42" s="1"/>
  <c r="H373" i="42"/>
  <c r="H374" i="42" s="1"/>
  <c r="H375" i="42" s="1"/>
  <c r="H376" i="42" s="1"/>
  <c r="H377" i="42" s="1"/>
  <c r="H378" i="42" s="1"/>
  <c r="N372" i="42"/>
  <c r="O372" i="42" s="1"/>
  <c r="I372" i="42"/>
  <c r="H372" i="42"/>
  <c r="G372" i="42"/>
  <c r="G373" i="42" s="1"/>
  <c r="G374" i="42" s="1"/>
  <c r="G375" i="42" s="1"/>
  <c r="G376" i="42" s="1"/>
  <c r="G377" i="42" s="1"/>
  <c r="G378" i="42" s="1"/>
  <c r="G379" i="42" s="1"/>
  <c r="G380" i="42" s="1"/>
  <c r="G381" i="42" s="1"/>
  <c r="G382" i="42" s="1"/>
  <c r="G383" i="42" s="1"/>
  <c r="G384" i="42" s="1"/>
  <c r="G385" i="42" s="1"/>
  <c r="G386" i="42" s="1"/>
  <c r="F372" i="42"/>
  <c r="F373" i="42" s="1"/>
  <c r="F374" i="42" s="1"/>
  <c r="F375" i="42" s="1"/>
  <c r="F376" i="42" s="1"/>
  <c r="F377" i="42" s="1"/>
  <c r="F378" i="42" s="1"/>
  <c r="F379" i="42" s="1"/>
  <c r="F380" i="42" s="1"/>
  <c r="F381" i="42" s="1"/>
  <c r="F382" i="42" s="1"/>
  <c r="F383" i="42" s="1"/>
  <c r="F384" i="42" s="1"/>
  <c r="F385" i="42" s="1"/>
  <c r="F386" i="42" s="1"/>
  <c r="N371" i="42"/>
  <c r="O371" i="42" s="1"/>
  <c r="N370" i="42"/>
  <c r="O370" i="42" s="1"/>
  <c r="N369" i="42"/>
  <c r="O369" i="42" s="1"/>
  <c r="N368" i="42"/>
  <c r="O368" i="42" s="1"/>
  <c r="I368" i="42"/>
  <c r="I369" i="42" s="1"/>
  <c r="I370" i="42" s="1"/>
  <c r="N367" i="42"/>
  <c r="O367" i="42" s="1"/>
  <c r="H367" i="42"/>
  <c r="H368" i="42" s="1"/>
  <c r="H369" i="42" s="1"/>
  <c r="H370" i="42" s="1"/>
  <c r="N366" i="42"/>
  <c r="O366" i="42" s="1"/>
  <c r="H366" i="42"/>
  <c r="N365" i="42"/>
  <c r="O365" i="42" s="1"/>
  <c r="H365" i="42"/>
  <c r="N364" i="42"/>
  <c r="O364" i="42" s="1"/>
  <c r="I364" i="42"/>
  <c r="I365" i="42" s="1"/>
  <c r="I366" i="42" s="1"/>
  <c r="N363" i="42"/>
  <c r="O363" i="42" s="1"/>
  <c r="N362" i="42"/>
  <c r="O362" i="42" s="1"/>
  <c r="N361" i="42"/>
  <c r="O361" i="42" s="1"/>
  <c r="N360" i="42"/>
  <c r="O360" i="42" s="1"/>
  <c r="I360" i="42"/>
  <c r="I361" i="42" s="1"/>
  <c r="I362" i="42" s="1"/>
  <c r="N359" i="42"/>
  <c r="O359" i="42" s="1"/>
  <c r="N358" i="42"/>
  <c r="O358" i="42" s="1"/>
  <c r="N357" i="42"/>
  <c r="O357" i="42" s="1"/>
  <c r="I357" i="42"/>
  <c r="I358" i="42" s="1"/>
  <c r="G357" i="42"/>
  <c r="G358" i="42" s="1"/>
  <c r="G359" i="42" s="1"/>
  <c r="G360" i="42" s="1"/>
  <c r="G361" i="42" s="1"/>
  <c r="G362" i="42" s="1"/>
  <c r="G363" i="42" s="1"/>
  <c r="G364" i="42" s="1"/>
  <c r="G365" i="42" s="1"/>
  <c r="G366" i="42" s="1"/>
  <c r="G367" i="42" s="1"/>
  <c r="G368" i="42" s="1"/>
  <c r="G369" i="42" s="1"/>
  <c r="G370" i="42" s="1"/>
  <c r="N356" i="42"/>
  <c r="O356" i="42" s="1"/>
  <c r="I356" i="42"/>
  <c r="H356" i="42"/>
  <c r="H357" i="42" s="1"/>
  <c r="H358" i="42" s="1"/>
  <c r="H359" i="42" s="1"/>
  <c r="H360" i="42" s="1"/>
  <c r="H361" i="42" s="1"/>
  <c r="H362" i="42" s="1"/>
  <c r="G356" i="42"/>
  <c r="F356" i="42"/>
  <c r="F357" i="42" s="1"/>
  <c r="F358" i="42" s="1"/>
  <c r="F359" i="42" s="1"/>
  <c r="F360" i="42" s="1"/>
  <c r="F361" i="42" s="1"/>
  <c r="F362" i="42" s="1"/>
  <c r="F363" i="42" s="1"/>
  <c r="F364" i="42" s="1"/>
  <c r="F365" i="42" s="1"/>
  <c r="F366" i="42" s="1"/>
  <c r="F367" i="42" s="1"/>
  <c r="F368" i="42" s="1"/>
  <c r="F369" i="42" s="1"/>
  <c r="F370" i="42" s="1"/>
  <c r="N355" i="42"/>
  <c r="O355" i="42" s="1"/>
  <c r="N354" i="42"/>
  <c r="O354" i="42" s="1"/>
  <c r="N353" i="42"/>
  <c r="O353" i="42" s="1"/>
  <c r="I353" i="42"/>
  <c r="I354" i="42" s="1"/>
  <c r="N352" i="42"/>
  <c r="O352" i="42" s="1"/>
  <c r="I352" i="42"/>
  <c r="N351" i="42"/>
  <c r="O351" i="42" s="1"/>
  <c r="N350" i="42"/>
  <c r="N349" i="42"/>
  <c r="O349" i="42" s="1"/>
  <c r="N348" i="42"/>
  <c r="O348" i="42" s="1"/>
  <c r="I348" i="42"/>
  <c r="I349" i="42" s="1"/>
  <c r="I350" i="42" s="1"/>
  <c r="H348" i="42"/>
  <c r="H349" i="42" s="1"/>
  <c r="H350" i="42" s="1"/>
  <c r="H351" i="42" s="1"/>
  <c r="H352" i="42" s="1"/>
  <c r="H353" i="42" s="1"/>
  <c r="H354" i="42" s="1"/>
  <c r="N347" i="42"/>
  <c r="O347" i="42" s="1"/>
  <c r="N346" i="42"/>
  <c r="O346" i="42" s="1"/>
  <c r="N345" i="42"/>
  <c r="O345" i="42" s="1"/>
  <c r="N344" i="42"/>
  <c r="O344" i="42" s="1"/>
  <c r="I344" i="42"/>
  <c r="I345" i="42" s="1"/>
  <c r="I346" i="42" s="1"/>
  <c r="N343" i="42"/>
  <c r="O343" i="42" s="1"/>
  <c r="N342" i="42"/>
  <c r="O342" i="42" s="1"/>
  <c r="N341" i="42"/>
  <c r="O341" i="42" s="1"/>
  <c r="I341" i="42"/>
  <c r="I342" i="42" s="1"/>
  <c r="G341" i="42"/>
  <c r="G342" i="42" s="1"/>
  <c r="G343" i="42" s="1"/>
  <c r="G344" i="42" s="1"/>
  <c r="G345" i="42" s="1"/>
  <c r="G346" i="42" s="1"/>
  <c r="G347" i="42" s="1"/>
  <c r="G348" i="42" s="1"/>
  <c r="G349" i="42" s="1"/>
  <c r="G350" i="42" s="1"/>
  <c r="G351" i="42" s="1"/>
  <c r="G352" i="42" s="1"/>
  <c r="G353" i="42" s="1"/>
  <c r="G354" i="42" s="1"/>
  <c r="N340" i="42"/>
  <c r="O340" i="42" s="1"/>
  <c r="I340" i="42"/>
  <c r="H340" i="42"/>
  <c r="H341" i="42" s="1"/>
  <c r="H342" i="42" s="1"/>
  <c r="H343" i="42" s="1"/>
  <c r="H344" i="42" s="1"/>
  <c r="H345" i="42" s="1"/>
  <c r="H346" i="42" s="1"/>
  <c r="G340" i="42"/>
  <c r="F340" i="42"/>
  <c r="F341" i="42" s="1"/>
  <c r="F342" i="42" s="1"/>
  <c r="F343" i="42" s="1"/>
  <c r="F344" i="42" s="1"/>
  <c r="F345" i="42" s="1"/>
  <c r="F346" i="42" s="1"/>
  <c r="F347" i="42" s="1"/>
  <c r="F348" i="42" s="1"/>
  <c r="F349" i="42" s="1"/>
  <c r="F350" i="42" s="1"/>
  <c r="F351" i="42" s="1"/>
  <c r="F352" i="42" s="1"/>
  <c r="F353" i="42" s="1"/>
  <c r="F354" i="42" s="1"/>
  <c r="N339" i="42"/>
  <c r="O339" i="42" s="1"/>
  <c r="N338" i="42"/>
  <c r="O338" i="42" s="1"/>
  <c r="N337" i="42"/>
  <c r="O337" i="42" s="1"/>
  <c r="I337" i="42"/>
  <c r="I338" i="42" s="1"/>
  <c r="N336" i="42"/>
  <c r="O336" i="42" s="1"/>
  <c r="I336" i="42"/>
  <c r="N335" i="42"/>
  <c r="O335" i="42" s="1"/>
  <c r="N334" i="42"/>
  <c r="O334" i="42" s="1"/>
  <c r="N333" i="42"/>
  <c r="O333" i="42" s="1"/>
  <c r="N332" i="42"/>
  <c r="O332" i="42" s="1"/>
  <c r="I332" i="42"/>
  <c r="I333" i="42" s="1"/>
  <c r="I334" i="42" s="1"/>
  <c r="H332" i="42"/>
  <c r="H333" i="42" s="1"/>
  <c r="H334" i="42" s="1"/>
  <c r="H335" i="42" s="1"/>
  <c r="H336" i="42" s="1"/>
  <c r="H337" i="42" s="1"/>
  <c r="H338" i="42" s="1"/>
  <c r="N331" i="42"/>
  <c r="O331" i="42" s="1"/>
  <c r="N330" i="42"/>
  <c r="O330" i="42" s="1"/>
  <c r="N329" i="42"/>
  <c r="O329" i="42" s="1"/>
  <c r="N328" i="42"/>
  <c r="O328" i="42" s="1"/>
  <c r="I328" i="42"/>
  <c r="I329" i="42" s="1"/>
  <c r="I330" i="42" s="1"/>
  <c r="N327" i="42"/>
  <c r="O327" i="42" s="1"/>
  <c r="N326" i="42"/>
  <c r="O326" i="42" s="1"/>
  <c r="I326" i="42"/>
  <c r="N325" i="42"/>
  <c r="O325" i="42" s="1"/>
  <c r="I325" i="42"/>
  <c r="H325" i="42"/>
  <c r="H326" i="42" s="1"/>
  <c r="H327" i="42" s="1"/>
  <c r="H328" i="42" s="1"/>
  <c r="H329" i="42" s="1"/>
  <c r="H330" i="42" s="1"/>
  <c r="G325" i="42"/>
  <c r="G326" i="42" s="1"/>
  <c r="G327" i="42" s="1"/>
  <c r="G328" i="42" s="1"/>
  <c r="G329" i="42" s="1"/>
  <c r="G330" i="42" s="1"/>
  <c r="G331" i="42" s="1"/>
  <c r="G332" i="42" s="1"/>
  <c r="G333" i="42" s="1"/>
  <c r="G334" i="42" s="1"/>
  <c r="G335" i="42" s="1"/>
  <c r="G336" i="42" s="1"/>
  <c r="G337" i="42" s="1"/>
  <c r="G338" i="42" s="1"/>
  <c r="N324" i="42"/>
  <c r="O324" i="42" s="1"/>
  <c r="I324" i="42"/>
  <c r="H324" i="42"/>
  <c r="G324" i="42"/>
  <c r="F324" i="42"/>
  <c r="F325" i="42" s="1"/>
  <c r="F326" i="42" s="1"/>
  <c r="F327" i="42" s="1"/>
  <c r="F328" i="42" s="1"/>
  <c r="F329" i="42" s="1"/>
  <c r="F330" i="42" s="1"/>
  <c r="F331" i="42" s="1"/>
  <c r="F332" i="42" s="1"/>
  <c r="F333" i="42" s="1"/>
  <c r="F334" i="42" s="1"/>
  <c r="F335" i="42" s="1"/>
  <c r="F336" i="42" s="1"/>
  <c r="F337" i="42" s="1"/>
  <c r="F338" i="42" s="1"/>
  <c r="N323" i="42"/>
  <c r="O323" i="42" s="1"/>
  <c r="N322" i="42"/>
  <c r="O322" i="42" s="1"/>
  <c r="N321" i="42"/>
  <c r="O321" i="42" s="1"/>
  <c r="I321" i="42"/>
  <c r="I322" i="42" s="1"/>
  <c r="N320" i="42"/>
  <c r="O320" i="42" s="1"/>
  <c r="I320" i="42"/>
  <c r="N319" i="42"/>
  <c r="O319" i="42" s="1"/>
  <c r="N318" i="42"/>
  <c r="N317" i="42"/>
  <c r="O317" i="42" s="1"/>
  <c r="N316" i="42"/>
  <c r="O316" i="42" s="1"/>
  <c r="I316" i="42"/>
  <c r="I317" i="42" s="1"/>
  <c r="I318" i="42" s="1"/>
  <c r="H316" i="42"/>
  <c r="H317" i="42" s="1"/>
  <c r="H318" i="42" s="1"/>
  <c r="H319" i="42" s="1"/>
  <c r="H320" i="42" s="1"/>
  <c r="H321" i="42" s="1"/>
  <c r="H322" i="42" s="1"/>
  <c r="N315" i="42"/>
  <c r="O315" i="42" s="1"/>
  <c r="N314" i="42"/>
  <c r="O314" i="42" s="1"/>
  <c r="N313" i="42"/>
  <c r="O313" i="42" s="1"/>
  <c r="N312" i="42"/>
  <c r="O312" i="42" s="1"/>
  <c r="I312" i="42"/>
  <c r="I313" i="42" s="1"/>
  <c r="I314" i="42" s="1"/>
  <c r="N311" i="42"/>
  <c r="O311" i="42" s="1"/>
  <c r="N310" i="42"/>
  <c r="O310" i="42" s="1"/>
  <c r="N309" i="42"/>
  <c r="O309" i="42" s="1"/>
  <c r="G309" i="42"/>
  <c r="G310" i="42" s="1"/>
  <c r="G311" i="42" s="1"/>
  <c r="G312" i="42" s="1"/>
  <c r="G313" i="42" s="1"/>
  <c r="G314" i="42" s="1"/>
  <c r="G315" i="42" s="1"/>
  <c r="G316" i="42" s="1"/>
  <c r="G317" i="42" s="1"/>
  <c r="G318" i="42" s="1"/>
  <c r="G319" i="42" s="1"/>
  <c r="G320" i="42" s="1"/>
  <c r="G321" i="42" s="1"/>
  <c r="G322" i="42" s="1"/>
  <c r="N308" i="42"/>
  <c r="O308" i="42" s="1"/>
  <c r="I308" i="42"/>
  <c r="I309" i="42" s="1"/>
  <c r="I310" i="42" s="1"/>
  <c r="H308" i="42"/>
  <c r="H309" i="42" s="1"/>
  <c r="H310" i="42" s="1"/>
  <c r="H311" i="42" s="1"/>
  <c r="H312" i="42" s="1"/>
  <c r="H313" i="42" s="1"/>
  <c r="H314" i="42" s="1"/>
  <c r="G308" i="42"/>
  <c r="F308" i="42"/>
  <c r="F309" i="42" s="1"/>
  <c r="F310" i="42" s="1"/>
  <c r="F311" i="42" s="1"/>
  <c r="F312" i="42" s="1"/>
  <c r="F313" i="42" s="1"/>
  <c r="F314" i="42" s="1"/>
  <c r="F315" i="42" s="1"/>
  <c r="F316" i="42" s="1"/>
  <c r="F317" i="42" s="1"/>
  <c r="F318" i="42" s="1"/>
  <c r="F319" i="42" s="1"/>
  <c r="F320" i="42" s="1"/>
  <c r="F321" i="42" s="1"/>
  <c r="F322" i="42" s="1"/>
  <c r="N307" i="42"/>
  <c r="O307" i="42" s="1"/>
  <c r="N306" i="42"/>
  <c r="O306" i="42" s="1"/>
  <c r="N305" i="42"/>
  <c r="O305" i="42" s="1"/>
  <c r="I305" i="42"/>
  <c r="I306" i="42" s="1"/>
  <c r="N304" i="42"/>
  <c r="O304" i="42" s="1"/>
  <c r="I304" i="42"/>
  <c r="N303" i="42"/>
  <c r="O303" i="42" s="1"/>
  <c r="N302" i="42"/>
  <c r="O302" i="42" s="1"/>
  <c r="N301" i="42"/>
  <c r="O301" i="42" s="1"/>
  <c r="N300" i="42"/>
  <c r="O300" i="42" s="1"/>
  <c r="I300" i="42"/>
  <c r="I301" i="42" s="1"/>
  <c r="I302" i="42" s="1"/>
  <c r="H300" i="42"/>
  <c r="H301" i="42" s="1"/>
  <c r="H302" i="42" s="1"/>
  <c r="H303" i="42" s="1"/>
  <c r="H304" i="42" s="1"/>
  <c r="H305" i="42" s="1"/>
  <c r="H306" i="42" s="1"/>
  <c r="N299" i="42"/>
  <c r="O299" i="42" s="1"/>
  <c r="N298" i="42"/>
  <c r="O298" i="42" s="1"/>
  <c r="N297" i="42"/>
  <c r="O297" i="42" s="1"/>
  <c r="N296" i="42"/>
  <c r="O296" i="42" s="1"/>
  <c r="I296" i="42"/>
  <c r="I297" i="42" s="1"/>
  <c r="I298" i="42" s="1"/>
  <c r="N295" i="42"/>
  <c r="O295" i="42" s="1"/>
  <c r="N294" i="42"/>
  <c r="O294" i="42" s="1"/>
  <c r="N293" i="42"/>
  <c r="O293" i="42" s="1"/>
  <c r="I293" i="42"/>
  <c r="I294" i="42" s="1"/>
  <c r="H293" i="42"/>
  <c r="H294" i="42" s="1"/>
  <c r="H295" i="42" s="1"/>
  <c r="H296" i="42" s="1"/>
  <c r="H297" i="42" s="1"/>
  <c r="H298" i="42" s="1"/>
  <c r="G293" i="42"/>
  <c r="G294" i="42" s="1"/>
  <c r="G295" i="42" s="1"/>
  <c r="G296" i="42" s="1"/>
  <c r="G297" i="42" s="1"/>
  <c r="G298" i="42" s="1"/>
  <c r="G299" i="42" s="1"/>
  <c r="G300" i="42" s="1"/>
  <c r="G301" i="42" s="1"/>
  <c r="G302" i="42" s="1"/>
  <c r="G303" i="42" s="1"/>
  <c r="G304" i="42" s="1"/>
  <c r="G305" i="42" s="1"/>
  <c r="G306" i="42" s="1"/>
  <c r="N292" i="42"/>
  <c r="O292" i="42" s="1"/>
  <c r="I292" i="42"/>
  <c r="H292" i="42"/>
  <c r="G292" i="42"/>
  <c r="F292" i="42"/>
  <c r="F293" i="42" s="1"/>
  <c r="F294" i="42" s="1"/>
  <c r="F295" i="42" s="1"/>
  <c r="F296" i="42" s="1"/>
  <c r="F297" i="42" s="1"/>
  <c r="F298" i="42" s="1"/>
  <c r="F299" i="42" s="1"/>
  <c r="F300" i="42" s="1"/>
  <c r="F301" i="42" s="1"/>
  <c r="F302" i="42" s="1"/>
  <c r="F303" i="42" s="1"/>
  <c r="F304" i="42" s="1"/>
  <c r="F305" i="42" s="1"/>
  <c r="F306" i="42" s="1"/>
  <c r="N291" i="42"/>
  <c r="O291" i="42" s="1"/>
  <c r="N482" i="30" l="1"/>
  <c r="N481" i="30"/>
  <c r="N480" i="30"/>
  <c r="I480" i="30"/>
  <c r="I481" i="30" s="1"/>
  <c r="I482" i="30" s="1"/>
  <c r="N479" i="30"/>
  <c r="N478" i="30"/>
  <c r="N477" i="30"/>
  <c r="N476" i="30"/>
  <c r="I476" i="30"/>
  <c r="I477" i="30" s="1"/>
  <c r="I478" i="30" s="1"/>
  <c r="H476" i="30"/>
  <c r="H477" i="30" s="1"/>
  <c r="H478" i="30" s="1"/>
  <c r="H479" i="30" s="1"/>
  <c r="H480" i="30" s="1"/>
  <c r="H481" i="30" s="1"/>
  <c r="H482" i="30" s="1"/>
  <c r="N475" i="30"/>
  <c r="N474" i="30"/>
  <c r="N473" i="30"/>
  <c r="N472" i="30"/>
  <c r="I472" i="30"/>
  <c r="I473" i="30" s="1"/>
  <c r="I474" i="30" s="1"/>
  <c r="N471" i="30"/>
  <c r="N470" i="30"/>
  <c r="N469" i="30"/>
  <c r="H469" i="30"/>
  <c r="H470" i="30" s="1"/>
  <c r="H471" i="30" s="1"/>
  <c r="H472" i="30" s="1"/>
  <c r="H473" i="30" s="1"/>
  <c r="H474" i="30" s="1"/>
  <c r="G469" i="30"/>
  <c r="G470" i="30" s="1"/>
  <c r="G471" i="30" s="1"/>
  <c r="G472" i="30" s="1"/>
  <c r="G473" i="30" s="1"/>
  <c r="G474" i="30" s="1"/>
  <c r="G475" i="30" s="1"/>
  <c r="G476" i="30" s="1"/>
  <c r="G477" i="30" s="1"/>
  <c r="G478" i="30" s="1"/>
  <c r="G479" i="30" s="1"/>
  <c r="G480" i="30" s="1"/>
  <c r="G481" i="30" s="1"/>
  <c r="G482" i="30" s="1"/>
  <c r="N468" i="30"/>
  <c r="I468" i="30"/>
  <c r="I469" i="30" s="1"/>
  <c r="I470" i="30" s="1"/>
  <c r="H468" i="30"/>
  <c r="G468" i="30"/>
  <c r="F468" i="30"/>
  <c r="F469" i="30" s="1"/>
  <c r="F470" i="30" s="1"/>
  <c r="F471" i="30" s="1"/>
  <c r="F472" i="30" s="1"/>
  <c r="F473" i="30" s="1"/>
  <c r="F474" i="30" s="1"/>
  <c r="F475" i="30" s="1"/>
  <c r="F476" i="30" s="1"/>
  <c r="F477" i="30" s="1"/>
  <c r="F478" i="30" s="1"/>
  <c r="F479" i="30" s="1"/>
  <c r="F480" i="30" s="1"/>
  <c r="F481" i="30" s="1"/>
  <c r="F482" i="30" s="1"/>
  <c r="N467" i="30"/>
  <c r="N466" i="30"/>
  <c r="N465" i="30"/>
  <c r="N464" i="30"/>
  <c r="I464" i="30"/>
  <c r="I465" i="30" s="1"/>
  <c r="I466" i="30" s="1"/>
  <c r="N463" i="30"/>
  <c r="N462" i="30"/>
  <c r="N461" i="30"/>
  <c r="N460" i="30"/>
  <c r="I460" i="30"/>
  <c r="I461" i="30" s="1"/>
  <c r="I462" i="30" s="1"/>
  <c r="H460" i="30"/>
  <c r="H461" i="30" s="1"/>
  <c r="H462" i="30" s="1"/>
  <c r="H463" i="30" s="1"/>
  <c r="H464" i="30" s="1"/>
  <c r="H465" i="30" s="1"/>
  <c r="H466" i="30" s="1"/>
  <c r="N459" i="30"/>
  <c r="N458" i="30"/>
  <c r="N457" i="30"/>
  <c r="N456" i="30"/>
  <c r="I456" i="30"/>
  <c r="I457" i="30" s="1"/>
  <c r="I458" i="30" s="1"/>
  <c r="N455" i="30"/>
  <c r="N454" i="30"/>
  <c r="N453" i="30"/>
  <c r="H453" i="30"/>
  <c r="H454" i="30" s="1"/>
  <c r="H455" i="30" s="1"/>
  <c r="H456" i="30" s="1"/>
  <c r="H457" i="30" s="1"/>
  <c r="H458" i="30" s="1"/>
  <c r="G453" i="30"/>
  <c r="G454" i="30" s="1"/>
  <c r="G455" i="30" s="1"/>
  <c r="G456" i="30" s="1"/>
  <c r="G457" i="30" s="1"/>
  <c r="G458" i="30" s="1"/>
  <c r="G459" i="30" s="1"/>
  <c r="G460" i="30" s="1"/>
  <c r="G461" i="30" s="1"/>
  <c r="G462" i="30" s="1"/>
  <c r="G463" i="30" s="1"/>
  <c r="G464" i="30" s="1"/>
  <c r="G465" i="30" s="1"/>
  <c r="G466" i="30" s="1"/>
  <c r="N452" i="30"/>
  <c r="I452" i="30"/>
  <c r="I453" i="30" s="1"/>
  <c r="I454" i="30" s="1"/>
  <c r="H452" i="30"/>
  <c r="G452" i="30"/>
  <c r="F452" i="30"/>
  <c r="F453" i="30" s="1"/>
  <c r="F454" i="30" s="1"/>
  <c r="F455" i="30" s="1"/>
  <c r="F456" i="30" s="1"/>
  <c r="F457" i="30" s="1"/>
  <c r="F458" i="30" s="1"/>
  <c r="F459" i="30" s="1"/>
  <c r="F460" i="30" s="1"/>
  <c r="F461" i="30" s="1"/>
  <c r="F462" i="30" s="1"/>
  <c r="F463" i="30" s="1"/>
  <c r="F464" i="30" s="1"/>
  <c r="F465" i="30" s="1"/>
  <c r="F466" i="30" s="1"/>
  <c r="N451" i="30"/>
  <c r="N450" i="30"/>
  <c r="N449" i="30"/>
  <c r="N448" i="30"/>
  <c r="I448" i="30"/>
  <c r="I449" i="30" s="1"/>
  <c r="I450" i="30" s="1"/>
  <c r="N447" i="30"/>
  <c r="N446" i="30"/>
  <c r="N445" i="30"/>
  <c r="N444" i="30"/>
  <c r="I444" i="30"/>
  <c r="I445" i="30" s="1"/>
  <c r="I446" i="30" s="1"/>
  <c r="H444" i="30"/>
  <c r="H445" i="30" s="1"/>
  <c r="H446" i="30" s="1"/>
  <c r="H447" i="30" s="1"/>
  <c r="H448" i="30" s="1"/>
  <c r="H449" i="30" s="1"/>
  <c r="H450" i="30" s="1"/>
  <c r="N443" i="30"/>
  <c r="N442" i="30"/>
  <c r="N441" i="30"/>
  <c r="N440" i="30"/>
  <c r="I440" i="30"/>
  <c r="I441" i="30" s="1"/>
  <c r="I442" i="30" s="1"/>
  <c r="N439" i="30"/>
  <c r="N438" i="30"/>
  <c r="N437" i="30"/>
  <c r="H437" i="30"/>
  <c r="H438" i="30" s="1"/>
  <c r="H439" i="30" s="1"/>
  <c r="H440" i="30" s="1"/>
  <c r="H441" i="30" s="1"/>
  <c r="H442" i="30" s="1"/>
  <c r="G437" i="30"/>
  <c r="G438" i="30" s="1"/>
  <c r="G439" i="30" s="1"/>
  <c r="G440" i="30" s="1"/>
  <c r="G441" i="30" s="1"/>
  <c r="G442" i="30" s="1"/>
  <c r="G443" i="30" s="1"/>
  <c r="G444" i="30" s="1"/>
  <c r="G445" i="30" s="1"/>
  <c r="G446" i="30" s="1"/>
  <c r="G447" i="30" s="1"/>
  <c r="G448" i="30" s="1"/>
  <c r="G449" i="30" s="1"/>
  <c r="G450" i="30" s="1"/>
  <c r="N436" i="30"/>
  <c r="I436" i="30"/>
  <c r="I437" i="30" s="1"/>
  <c r="I438" i="30" s="1"/>
  <c r="H436" i="30"/>
  <c r="G436" i="30"/>
  <c r="F436" i="30"/>
  <c r="F437" i="30" s="1"/>
  <c r="F438" i="30" s="1"/>
  <c r="F439" i="30" s="1"/>
  <c r="F440" i="30" s="1"/>
  <c r="F441" i="30" s="1"/>
  <c r="F442" i="30" s="1"/>
  <c r="F443" i="30" s="1"/>
  <c r="F444" i="30" s="1"/>
  <c r="F445" i="30" s="1"/>
  <c r="F446" i="30" s="1"/>
  <c r="F447" i="30" s="1"/>
  <c r="F448" i="30" s="1"/>
  <c r="F449" i="30" s="1"/>
  <c r="F450" i="30" s="1"/>
  <c r="N435" i="30"/>
  <c r="N434" i="30"/>
  <c r="N433" i="30"/>
  <c r="N432" i="30"/>
  <c r="I432" i="30"/>
  <c r="I433" i="30" s="1"/>
  <c r="I434" i="30" s="1"/>
  <c r="N431" i="30"/>
  <c r="N430" i="30"/>
  <c r="N429" i="30"/>
  <c r="N428" i="30"/>
  <c r="I428" i="30"/>
  <c r="I429" i="30" s="1"/>
  <c r="I430" i="30" s="1"/>
  <c r="H428" i="30"/>
  <c r="H429" i="30" s="1"/>
  <c r="H430" i="30" s="1"/>
  <c r="H431" i="30" s="1"/>
  <c r="H432" i="30" s="1"/>
  <c r="H433" i="30" s="1"/>
  <c r="H434" i="30" s="1"/>
  <c r="N427" i="30"/>
  <c r="N426" i="30"/>
  <c r="N425" i="30"/>
  <c r="N424" i="30"/>
  <c r="I424" i="30"/>
  <c r="I425" i="30" s="1"/>
  <c r="I426" i="30" s="1"/>
  <c r="N423" i="30"/>
  <c r="N422" i="30"/>
  <c r="N421" i="30"/>
  <c r="H421" i="30"/>
  <c r="H422" i="30" s="1"/>
  <c r="H423" i="30" s="1"/>
  <c r="H424" i="30" s="1"/>
  <c r="H425" i="30" s="1"/>
  <c r="H426" i="30" s="1"/>
  <c r="G421" i="30"/>
  <c r="G422" i="30" s="1"/>
  <c r="G423" i="30" s="1"/>
  <c r="G424" i="30" s="1"/>
  <c r="G425" i="30" s="1"/>
  <c r="G426" i="30" s="1"/>
  <c r="G427" i="30" s="1"/>
  <c r="G428" i="30" s="1"/>
  <c r="G429" i="30" s="1"/>
  <c r="G430" i="30" s="1"/>
  <c r="G431" i="30" s="1"/>
  <c r="G432" i="30" s="1"/>
  <c r="G433" i="30" s="1"/>
  <c r="G434" i="30" s="1"/>
  <c r="N420" i="30"/>
  <c r="I420" i="30"/>
  <c r="I421" i="30" s="1"/>
  <c r="I422" i="30" s="1"/>
  <c r="H420" i="30"/>
  <c r="G420" i="30"/>
  <c r="F420" i="30"/>
  <c r="F421" i="30" s="1"/>
  <c r="F422" i="30" s="1"/>
  <c r="F423" i="30" s="1"/>
  <c r="F424" i="30" s="1"/>
  <c r="F425" i="30" s="1"/>
  <c r="F426" i="30" s="1"/>
  <c r="F427" i="30" s="1"/>
  <c r="F428" i="30" s="1"/>
  <c r="F429" i="30" s="1"/>
  <c r="F430" i="30" s="1"/>
  <c r="F431" i="30" s="1"/>
  <c r="F432" i="30" s="1"/>
  <c r="F433" i="30" s="1"/>
  <c r="F434" i="30" s="1"/>
  <c r="N419" i="30"/>
  <c r="N418" i="30"/>
  <c r="N417" i="30"/>
  <c r="N416" i="30"/>
  <c r="I416" i="30"/>
  <c r="I417" i="30" s="1"/>
  <c r="I418" i="30" s="1"/>
  <c r="N415" i="30"/>
  <c r="N414" i="30"/>
  <c r="N413" i="30"/>
  <c r="N412" i="30"/>
  <c r="I412" i="30"/>
  <c r="I413" i="30" s="1"/>
  <c r="I414" i="30" s="1"/>
  <c r="H412" i="30"/>
  <c r="H413" i="30" s="1"/>
  <c r="H414" i="30" s="1"/>
  <c r="H415" i="30" s="1"/>
  <c r="H416" i="30" s="1"/>
  <c r="H417" i="30" s="1"/>
  <c r="H418" i="30" s="1"/>
  <c r="N411" i="30"/>
  <c r="N410" i="30"/>
  <c r="N409" i="30"/>
  <c r="N408" i="30"/>
  <c r="I408" i="30"/>
  <c r="I409" i="30" s="1"/>
  <c r="I410" i="30" s="1"/>
  <c r="N407" i="30"/>
  <c r="N406" i="30"/>
  <c r="N405" i="30"/>
  <c r="H405" i="30"/>
  <c r="H406" i="30" s="1"/>
  <c r="H407" i="30" s="1"/>
  <c r="H408" i="30" s="1"/>
  <c r="H409" i="30" s="1"/>
  <c r="H410" i="30" s="1"/>
  <c r="G405" i="30"/>
  <c r="G406" i="30" s="1"/>
  <c r="G407" i="30" s="1"/>
  <c r="G408" i="30" s="1"/>
  <c r="G409" i="30" s="1"/>
  <c r="G410" i="30" s="1"/>
  <c r="G411" i="30" s="1"/>
  <c r="G412" i="30" s="1"/>
  <c r="G413" i="30" s="1"/>
  <c r="G414" i="30" s="1"/>
  <c r="G415" i="30" s="1"/>
  <c r="G416" i="30" s="1"/>
  <c r="G417" i="30" s="1"/>
  <c r="G418" i="30" s="1"/>
  <c r="N404" i="30"/>
  <c r="I404" i="30"/>
  <c r="I405" i="30" s="1"/>
  <c r="I406" i="30" s="1"/>
  <c r="H404" i="30"/>
  <c r="G404" i="30"/>
  <c r="F404" i="30"/>
  <c r="F405" i="30" s="1"/>
  <c r="F406" i="30" s="1"/>
  <c r="F407" i="30" s="1"/>
  <c r="F408" i="30" s="1"/>
  <c r="F409" i="30" s="1"/>
  <c r="F410" i="30" s="1"/>
  <c r="F411" i="30" s="1"/>
  <c r="F412" i="30" s="1"/>
  <c r="F413" i="30" s="1"/>
  <c r="F414" i="30" s="1"/>
  <c r="F415" i="30" s="1"/>
  <c r="F416" i="30" s="1"/>
  <c r="F417" i="30" s="1"/>
  <c r="F418" i="30" s="1"/>
  <c r="N403" i="30"/>
  <c r="N402" i="30"/>
  <c r="N401" i="30"/>
  <c r="N400" i="30"/>
  <c r="I400" i="30"/>
  <c r="I401" i="30" s="1"/>
  <c r="I402" i="30" s="1"/>
  <c r="N399" i="30"/>
  <c r="N398" i="30"/>
  <c r="N397" i="30"/>
  <c r="N396" i="30"/>
  <c r="I396" i="30"/>
  <c r="I397" i="30" s="1"/>
  <c r="I398" i="30" s="1"/>
  <c r="H396" i="30"/>
  <c r="H397" i="30" s="1"/>
  <c r="H398" i="30" s="1"/>
  <c r="H399" i="30" s="1"/>
  <c r="H400" i="30" s="1"/>
  <c r="H401" i="30" s="1"/>
  <c r="H402" i="30" s="1"/>
  <c r="N395" i="30"/>
  <c r="N394" i="30"/>
  <c r="N393" i="30"/>
  <c r="N392" i="30"/>
  <c r="I392" i="30"/>
  <c r="I393" i="30" s="1"/>
  <c r="I394" i="30" s="1"/>
  <c r="N391" i="30"/>
  <c r="N390" i="30"/>
  <c r="N389" i="30"/>
  <c r="H389" i="30"/>
  <c r="H390" i="30" s="1"/>
  <c r="H391" i="30" s="1"/>
  <c r="H392" i="30" s="1"/>
  <c r="H393" i="30" s="1"/>
  <c r="H394" i="30" s="1"/>
  <c r="G389" i="30"/>
  <c r="G390" i="30" s="1"/>
  <c r="G391" i="30" s="1"/>
  <c r="G392" i="30" s="1"/>
  <c r="G393" i="30" s="1"/>
  <c r="G394" i="30" s="1"/>
  <c r="G395" i="30" s="1"/>
  <c r="G396" i="30" s="1"/>
  <c r="G397" i="30" s="1"/>
  <c r="G398" i="30" s="1"/>
  <c r="G399" i="30" s="1"/>
  <c r="G400" i="30" s="1"/>
  <c r="G401" i="30" s="1"/>
  <c r="G402" i="30" s="1"/>
  <c r="N388" i="30"/>
  <c r="I388" i="30"/>
  <c r="I389" i="30" s="1"/>
  <c r="I390" i="30" s="1"/>
  <c r="H388" i="30"/>
  <c r="G388" i="30"/>
  <c r="F388" i="30"/>
  <c r="F389" i="30" s="1"/>
  <c r="F390" i="30" s="1"/>
  <c r="F391" i="30" s="1"/>
  <c r="F392" i="30" s="1"/>
  <c r="F393" i="30" s="1"/>
  <c r="F394" i="30" s="1"/>
  <c r="F395" i="30" s="1"/>
  <c r="F396" i="30" s="1"/>
  <c r="F397" i="30" s="1"/>
  <c r="F398" i="30" s="1"/>
  <c r="F399" i="30" s="1"/>
  <c r="F400" i="30" s="1"/>
  <c r="F401" i="30" s="1"/>
  <c r="F402" i="30" s="1"/>
  <c r="N387" i="30"/>
  <c r="N387" i="31"/>
  <c r="O387" i="31" s="1"/>
  <c r="N388" i="31"/>
  <c r="O388" i="31" s="1"/>
  <c r="N389" i="31"/>
  <c r="O389" i="31" s="1"/>
  <c r="N390" i="31"/>
  <c r="O390" i="31" s="1"/>
  <c r="N391" i="31"/>
  <c r="O391" i="31" s="1"/>
  <c r="N392" i="31"/>
  <c r="O392" i="31" s="1"/>
  <c r="N393" i="31"/>
  <c r="O393" i="31" s="1"/>
  <c r="N394" i="31"/>
  <c r="O394" i="31" s="1"/>
  <c r="N395" i="31"/>
  <c r="O395" i="31" s="1"/>
  <c r="N396" i="31"/>
  <c r="O396" i="31" s="1"/>
  <c r="N397" i="31"/>
  <c r="O397" i="31" s="1"/>
  <c r="N398" i="31"/>
  <c r="O398" i="31" s="1"/>
  <c r="N399" i="31"/>
  <c r="O399" i="31" s="1"/>
  <c r="N400" i="31"/>
  <c r="O400" i="31" s="1"/>
  <c r="N401" i="31"/>
  <c r="O401" i="31" s="1"/>
  <c r="N402" i="31"/>
  <c r="O402" i="31" s="1"/>
  <c r="N403" i="31"/>
  <c r="O403" i="31" s="1"/>
  <c r="N404" i="31"/>
  <c r="O404" i="31" s="1"/>
  <c r="N405" i="31"/>
  <c r="O405" i="31" s="1"/>
  <c r="N406" i="31"/>
  <c r="O406" i="31" s="1"/>
  <c r="N407" i="31"/>
  <c r="O407" i="31" s="1"/>
  <c r="N408" i="31"/>
  <c r="O408" i="31" s="1"/>
  <c r="N409" i="31"/>
  <c r="O409" i="31" s="1"/>
  <c r="N410" i="31"/>
  <c r="O410" i="31" s="1"/>
  <c r="N411" i="31"/>
  <c r="O411" i="31" s="1"/>
  <c r="N412" i="31"/>
  <c r="O412" i="31" s="1"/>
  <c r="N413" i="31"/>
  <c r="O413" i="31" s="1"/>
  <c r="N414" i="31"/>
  <c r="O414" i="31" s="1"/>
  <c r="N415" i="31"/>
  <c r="O415" i="31" s="1"/>
  <c r="N416" i="31"/>
  <c r="O416" i="31" s="1"/>
  <c r="N417" i="31"/>
  <c r="O417" i="31" s="1"/>
  <c r="N418" i="31"/>
  <c r="O418" i="31" s="1"/>
  <c r="N419" i="31"/>
  <c r="O419" i="31" s="1"/>
  <c r="N420" i="31"/>
  <c r="O420" i="31" s="1"/>
  <c r="N421" i="31"/>
  <c r="O421" i="31" s="1"/>
  <c r="N422" i="31"/>
  <c r="O422" i="31" s="1"/>
  <c r="N423" i="31"/>
  <c r="O423" i="31" s="1"/>
  <c r="N424" i="31"/>
  <c r="O424" i="31" s="1"/>
  <c r="N425" i="31"/>
  <c r="O425" i="31" s="1"/>
  <c r="N426" i="31"/>
  <c r="O426" i="31" s="1"/>
  <c r="N427" i="31"/>
  <c r="O427" i="31" s="1"/>
  <c r="N428" i="31"/>
  <c r="O428" i="31" s="1"/>
  <c r="N429" i="31"/>
  <c r="O429" i="31" s="1"/>
  <c r="N430" i="31"/>
  <c r="O430" i="31" s="1"/>
  <c r="N431" i="31"/>
  <c r="O431" i="31" s="1"/>
  <c r="N432" i="31"/>
  <c r="O432" i="31" s="1"/>
  <c r="N433" i="31"/>
  <c r="O433" i="31" s="1"/>
  <c r="N434" i="31"/>
  <c r="O434" i="31" s="1"/>
  <c r="N435" i="31"/>
  <c r="O435" i="31" s="1"/>
  <c r="N436" i="31"/>
  <c r="O436" i="31" s="1"/>
  <c r="N437" i="31"/>
  <c r="O437" i="31" s="1"/>
  <c r="N438" i="31"/>
  <c r="O438" i="31" s="1"/>
  <c r="N439" i="31"/>
  <c r="O439" i="31" s="1"/>
  <c r="N440" i="31"/>
  <c r="O440" i="31" s="1"/>
  <c r="N441" i="31"/>
  <c r="O441" i="31" s="1"/>
  <c r="N442" i="31"/>
  <c r="O442" i="31" s="1"/>
  <c r="N443" i="31"/>
  <c r="O443" i="31" s="1"/>
  <c r="N444" i="31"/>
  <c r="O444" i="31" s="1"/>
  <c r="N445" i="31"/>
  <c r="O445" i="31" s="1"/>
  <c r="N446" i="31"/>
  <c r="O446" i="31" s="1"/>
  <c r="N447" i="31"/>
  <c r="O447" i="31" s="1"/>
  <c r="N448" i="31"/>
  <c r="O448" i="31" s="1"/>
  <c r="N449" i="31"/>
  <c r="O449" i="31" s="1"/>
  <c r="N450" i="31"/>
  <c r="O450" i="31" s="1"/>
  <c r="N451" i="31"/>
  <c r="O451" i="31" s="1"/>
  <c r="N452" i="31"/>
  <c r="O452" i="31" s="1"/>
  <c r="N453" i="31"/>
  <c r="O453" i="31" s="1"/>
  <c r="N454" i="31"/>
  <c r="O454" i="31" s="1"/>
  <c r="N455" i="31"/>
  <c r="O455" i="31" s="1"/>
  <c r="N456" i="31"/>
  <c r="O456" i="31" s="1"/>
  <c r="N457" i="31"/>
  <c r="O457" i="31" s="1"/>
  <c r="N458" i="31"/>
  <c r="O458" i="31" s="1"/>
  <c r="N459" i="31"/>
  <c r="O459" i="31" s="1"/>
  <c r="N460" i="31"/>
  <c r="O460" i="31" s="1"/>
  <c r="N461" i="31"/>
  <c r="O461" i="31" s="1"/>
  <c r="N462" i="31"/>
  <c r="O462" i="31" s="1"/>
  <c r="N463" i="31"/>
  <c r="O463" i="31" s="1"/>
  <c r="N464" i="31"/>
  <c r="O464" i="31" s="1"/>
  <c r="N465" i="31"/>
  <c r="O465" i="31" s="1"/>
  <c r="N466" i="31"/>
  <c r="O466" i="31" s="1"/>
  <c r="N467" i="31"/>
  <c r="O467" i="31" s="1"/>
  <c r="N468" i="31"/>
  <c r="O468" i="31" s="1"/>
  <c r="N469" i="31"/>
  <c r="O469" i="31" s="1"/>
  <c r="N470" i="31"/>
  <c r="O470" i="31" s="1"/>
  <c r="N471" i="31"/>
  <c r="O471" i="31" s="1"/>
  <c r="N472" i="31"/>
  <c r="O472" i="31" s="1"/>
  <c r="N473" i="31"/>
  <c r="O473" i="31" s="1"/>
  <c r="N474" i="31"/>
  <c r="O474" i="31" s="1"/>
  <c r="N475" i="31"/>
  <c r="O475" i="31" s="1"/>
  <c r="N476" i="31"/>
  <c r="O476" i="31" s="1"/>
  <c r="N477" i="31"/>
  <c r="O477" i="31" s="1"/>
  <c r="N478" i="31"/>
  <c r="O478" i="31" s="1"/>
  <c r="N479" i="31"/>
  <c r="O479" i="31" s="1"/>
  <c r="N480" i="31"/>
  <c r="O480" i="31" s="1"/>
  <c r="N481" i="31"/>
  <c r="O481" i="31" s="1"/>
  <c r="N482" i="31"/>
  <c r="O482" i="31" s="1"/>
  <c r="N5" i="31" l="1"/>
  <c r="O5" i="31" s="1"/>
  <c r="N4" i="31"/>
  <c r="O4" i="31" s="1"/>
  <c r="N3" i="31"/>
  <c r="O3" i="31" s="1"/>
  <c r="N178" i="42"/>
  <c r="O178" i="42" s="1"/>
  <c r="N179" i="42"/>
  <c r="O179" i="42" s="1"/>
  <c r="N180" i="42"/>
  <c r="O180" i="42" s="1"/>
  <c r="N181" i="42"/>
  <c r="O181" i="42" s="1"/>
  <c r="N182" i="42"/>
  <c r="O182" i="42" s="1"/>
  <c r="N183" i="42"/>
  <c r="O183" i="42" s="1"/>
  <c r="N184" i="42"/>
  <c r="O184" i="42" s="1"/>
  <c r="N185" i="42"/>
  <c r="O185" i="42" s="1"/>
  <c r="N186" i="42"/>
  <c r="O186" i="42" s="1"/>
  <c r="N187" i="42"/>
  <c r="O187" i="42" s="1"/>
  <c r="N188" i="42"/>
  <c r="O188" i="42" s="1"/>
  <c r="N189" i="42"/>
  <c r="O189" i="42" s="1"/>
  <c r="N190" i="42"/>
  <c r="O190" i="42" s="1"/>
  <c r="N191" i="42"/>
  <c r="O191" i="42" s="1"/>
  <c r="N192" i="42"/>
  <c r="O192" i="42" s="1"/>
  <c r="N193" i="42"/>
  <c r="O193" i="42" s="1"/>
  <c r="N194" i="42"/>
  <c r="O194" i="42" s="1"/>
  <c r="N195" i="42"/>
  <c r="O195" i="42" s="1"/>
  <c r="N196" i="42"/>
  <c r="O196" i="42" s="1"/>
  <c r="N197" i="42"/>
  <c r="O197" i="42" s="1"/>
  <c r="N198" i="42"/>
  <c r="O198" i="42" s="1"/>
  <c r="N199" i="42"/>
  <c r="O199" i="42" s="1"/>
  <c r="N200" i="42"/>
  <c r="O200" i="42" s="1"/>
  <c r="N201" i="42"/>
  <c r="O201" i="42" s="1"/>
  <c r="N202" i="42"/>
  <c r="O202" i="42" s="1"/>
  <c r="N203" i="42"/>
  <c r="O203" i="42" s="1"/>
  <c r="N204" i="42"/>
  <c r="O204" i="42" s="1"/>
  <c r="N205" i="42"/>
  <c r="O205" i="42" s="1"/>
  <c r="N206" i="42"/>
  <c r="O206" i="42" s="1"/>
  <c r="N207" i="42"/>
  <c r="O207" i="42" s="1"/>
  <c r="N208" i="42"/>
  <c r="O208" i="42" s="1"/>
  <c r="N209" i="42"/>
  <c r="O209" i="42" s="1"/>
  <c r="N210" i="42"/>
  <c r="O210" i="42" s="1"/>
  <c r="N211" i="42"/>
  <c r="O211" i="42" s="1"/>
  <c r="N212" i="42"/>
  <c r="O212" i="42" s="1"/>
  <c r="N213" i="42"/>
  <c r="O213" i="42" s="1"/>
  <c r="N214" i="42"/>
  <c r="O214" i="42" s="1"/>
  <c r="N215" i="42"/>
  <c r="O215" i="42" s="1"/>
  <c r="N216" i="42"/>
  <c r="O216" i="42" s="1"/>
  <c r="N217" i="42"/>
  <c r="O217" i="42" s="1"/>
  <c r="N218" i="42"/>
  <c r="O218" i="42" s="1"/>
  <c r="N219" i="42"/>
  <c r="O219" i="42" s="1"/>
  <c r="N220" i="42"/>
  <c r="O220" i="42" s="1"/>
  <c r="N221" i="42"/>
  <c r="O221" i="42" s="1"/>
  <c r="N222" i="42"/>
  <c r="O222" i="42" s="1"/>
  <c r="N223" i="42"/>
  <c r="O223" i="42" s="1"/>
  <c r="N224" i="42"/>
  <c r="O224" i="42" s="1"/>
  <c r="N225" i="42"/>
  <c r="O225" i="42" s="1"/>
  <c r="N226" i="42"/>
  <c r="O226" i="42" s="1"/>
  <c r="N227" i="42"/>
  <c r="O227" i="42" s="1"/>
  <c r="N228" i="42"/>
  <c r="O228" i="42" s="1"/>
  <c r="N229" i="42"/>
  <c r="O229" i="42" s="1"/>
  <c r="N230" i="42"/>
  <c r="O230" i="42" s="1"/>
  <c r="N231" i="42"/>
  <c r="O231" i="42" s="1"/>
  <c r="N232" i="42"/>
  <c r="O232" i="42" s="1"/>
  <c r="N233" i="42"/>
  <c r="O233" i="42" s="1"/>
  <c r="N234" i="42"/>
  <c r="O234" i="42" s="1"/>
  <c r="N235" i="42"/>
  <c r="O235" i="42" s="1"/>
  <c r="N236" i="42"/>
  <c r="O236" i="42" s="1"/>
  <c r="N237" i="42"/>
  <c r="O237" i="42" s="1"/>
  <c r="N238" i="42"/>
  <c r="O238" i="42" s="1"/>
  <c r="N239" i="42"/>
  <c r="O239" i="42" s="1"/>
  <c r="N240" i="42"/>
  <c r="O240" i="42" s="1"/>
  <c r="N241" i="42"/>
  <c r="O241" i="42" s="1"/>
  <c r="N242" i="42"/>
  <c r="O242" i="42" s="1"/>
  <c r="N243" i="42"/>
  <c r="O243" i="42" s="1"/>
  <c r="N244" i="42"/>
  <c r="O244" i="42" s="1"/>
  <c r="N245" i="42"/>
  <c r="O245" i="42" s="1"/>
  <c r="N246" i="42"/>
  <c r="O246" i="42" s="1"/>
  <c r="N247" i="42"/>
  <c r="O247" i="42" s="1"/>
  <c r="N248" i="42"/>
  <c r="O248" i="42" s="1"/>
  <c r="N249" i="42"/>
  <c r="O249" i="42" s="1"/>
  <c r="N250" i="42"/>
  <c r="O250" i="42" s="1"/>
  <c r="N251" i="42"/>
  <c r="O251" i="42" s="1"/>
  <c r="N252" i="42"/>
  <c r="O252" i="42" s="1"/>
  <c r="N253" i="42"/>
  <c r="O253" i="42" s="1"/>
  <c r="N254" i="42"/>
  <c r="O254" i="42" s="1"/>
  <c r="N255" i="42"/>
  <c r="O255" i="42" s="1"/>
  <c r="N256" i="42"/>
  <c r="O256" i="42" s="1"/>
  <c r="N257" i="42"/>
  <c r="O257" i="42" s="1"/>
  <c r="N258" i="42"/>
  <c r="O258" i="42" s="1"/>
  <c r="N259" i="42"/>
  <c r="O259" i="42" s="1"/>
  <c r="N260" i="42"/>
  <c r="O260" i="42" s="1"/>
  <c r="N261" i="42"/>
  <c r="O261" i="42" s="1"/>
  <c r="N262" i="42"/>
  <c r="O262" i="42" s="1"/>
  <c r="N263" i="42"/>
  <c r="O263" i="42" s="1"/>
  <c r="N264" i="42"/>
  <c r="O264" i="42" s="1"/>
  <c r="N265" i="42"/>
  <c r="O265" i="42" s="1"/>
  <c r="N266" i="42"/>
  <c r="O266" i="42" s="1"/>
  <c r="N267" i="42"/>
  <c r="O267" i="42" s="1"/>
  <c r="N268" i="42"/>
  <c r="O268" i="42" s="1"/>
  <c r="N269" i="42"/>
  <c r="O269" i="42" s="1"/>
  <c r="N270" i="42"/>
  <c r="O270" i="42" s="1"/>
  <c r="N271" i="42"/>
  <c r="O271" i="42" s="1"/>
  <c r="N272" i="42"/>
  <c r="O272" i="42" s="1"/>
  <c r="N273" i="42"/>
  <c r="O273" i="42" s="1"/>
  <c r="N274" i="42"/>
  <c r="O274" i="42" s="1"/>
  <c r="N275" i="42"/>
  <c r="O275" i="42" s="1"/>
  <c r="N276" i="42"/>
  <c r="O276" i="42" s="1"/>
  <c r="N277" i="42"/>
  <c r="O277" i="42" s="1"/>
  <c r="N278" i="42"/>
  <c r="O278" i="42" s="1"/>
  <c r="N279" i="42"/>
  <c r="O279" i="42" s="1"/>
  <c r="N280" i="42"/>
  <c r="O280" i="42" s="1"/>
  <c r="N281" i="42"/>
  <c r="O281" i="42" s="1"/>
  <c r="N282" i="42"/>
  <c r="O282" i="42" s="1"/>
  <c r="N283" i="42"/>
  <c r="O283" i="42" s="1"/>
  <c r="N284" i="42"/>
  <c r="O284" i="42" s="1"/>
  <c r="N285" i="42"/>
  <c r="O285" i="42" s="1"/>
  <c r="N286" i="42"/>
  <c r="O286" i="42" s="1"/>
  <c r="N287" i="42"/>
  <c r="O287" i="42" s="1"/>
  <c r="N288" i="42"/>
  <c r="O288" i="42" s="1"/>
  <c r="N289" i="42"/>
  <c r="O289" i="42" s="1"/>
  <c r="N290" i="42"/>
  <c r="O290" i="42" s="1"/>
  <c r="N3" i="42"/>
  <c r="O3" i="42" s="1"/>
  <c r="N4" i="42"/>
  <c r="O4" i="42" s="1"/>
  <c r="N5" i="42"/>
  <c r="O5" i="42" s="1"/>
  <c r="N6" i="42"/>
  <c r="O6" i="42" s="1"/>
  <c r="N7" i="42"/>
  <c r="O7" i="42" s="1"/>
  <c r="N8" i="42"/>
  <c r="O8" i="42" s="1"/>
  <c r="N9" i="42"/>
  <c r="O9" i="42" s="1"/>
  <c r="N10" i="42"/>
  <c r="O10" i="42" s="1"/>
  <c r="N11" i="42"/>
  <c r="O11" i="42" s="1"/>
  <c r="N12" i="42"/>
  <c r="O12" i="42" s="1"/>
  <c r="N13" i="42"/>
  <c r="O13" i="42" s="1"/>
  <c r="N14" i="42"/>
  <c r="O14" i="42" s="1"/>
  <c r="N15" i="42"/>
  <c r="O15" i="42" s="1"/>
  <c r="N16" i="42"/>
  <c r="O16" i="42" s="1"/>
  <c r="N17" i="42"/>
  <c r="O17" i="42" s="1"/>
  <c r="N18" i="42"/>
  <c r="O18" i="42" s="1"/>
  <c r="N19" i="42"/>
  <c r="O19" i="42" s="1"/>
  <c r="N20" i="42"/>
  <c r="O20" i="42" s="1"/>
  <c r="N21" i="42"/>
  <c r="O21" i="42" s="1"/>
  <c r="N22" i="42"/>
  <c r="O22" i="42" s="1"/>
  <c r="N23" i="42"/>
  <c r="O23" i="42" s="1"/>
  <c r="N24" i="42"/>
  <c r="O24" i="42" s="1"/>
  <c r="N25" i="42"/>
  <c r="O25" i="42" s="1"/>
  <c r="N26" i="42"/>
  <c r="O26" i="42" s="1"/>
  <c r="N27" i="42"/>
  <c r="O27" i="42" s="1"/>
  <c r="N28" i="42"/>
  <c r="O28" i="42" s="1"/>
  <c r="N29" i="42"/>
  <c r="O29" i="42" s="1"/>
  <c r="N30" i="42"/>
  <c r="O30" i="42" s="1"/>
  <c r="N31" i="42"/>
  <c r="O31" i="42" s="1"/>
  <c r="N32" i="42"/>
  <c r="O32" i="42" s="1"/>
  <c r="N33" i="42"/>
  <c r="O33" i="42" s="1"/>
  <c r="N34" i="42"/>
  <c r="O34" i="42" s="1"/>
  <c r="N35" i="42"/>
  <c r="O35" i="42" s="1"/>
  <c r="N36" i="42"/>
  <c r="O36" i="42" s="1"/>
  <c r="N37" i="42"/>
  <c r="O37" i="42" s="1"/>
  <c r="N38" i="42"/>
  <c r="O38" i="42" s="1"/>
  <c r="N39" i="42"/>
  <c r="O39" i="42" s="1"/>
  <c r="N40" i="42"/>
  <c r="O40" i="42" s="1"/>
  <c r="N41" i="42"/>
  <c r="O41" i="42" s="1"/>
  <c r="N42" i="42"/>
  <c r="O42" i="42" s="1"/>
  <c r="N43" i="42"/>
  <c r="O43" i="42" s="1"/>
  <c r="N44" i="42"/>
  <c r="O44" i="42" s="1"/>
  <c r="N45" i="42"/>
  <c r="O45" i="42" s="1"/>
  <c r="N46" i="42"/>
  <c r="O46" i="42" s="1"/>
  <c r="N47" i="42"/>
  <c r="O47" i="42" s="1"/>
  <c r="N48" i="42"/>
  <c r="O48" i="42" s="1"/>
  <c r="N49" i="42"/>
  <c r="O49" i="42" s="1"/>
  <c r="N50" i="42"/>
  <c r="O50" i="42" s="1"/>
  <c r="N51" i="42"/>
  <c r="O51" i="42" s="1"/>
  <c r="N52" i="42"/>
  <c r="O52" i="42" s="1"/>
  <c r="N53" i="42"/>
  <c r="O53" i="42" s="1"/>
  <c r="N54" i="42"/>
  <c r="O54" i="42" s="1"/>
  <c r="N55" i="42"/>
  <c r="O55" i="42" s="1"/>
  <c r="N56" i="42"/>
  <c r="O56" i="42" s="1"/>
  <c r="N57" i="42"/>
  <c r="O57" i="42" s="1"/>
  <c r="N58" i="42"/>
  <c r="O58" i="42" s="1"/>
  <c r="N59" i="42"/>
  <c r="O59" i="42" s="1"/>
  <c r="N60" i="42"/>
  <c r="O60" i="42" s="1"/>
  <c r="N61" i="42"/>
  <c r="O61" i="42" s="1"/>
  <c r="N62" i="42"/>
  <c r="O62" i="42" s="1"/>
  <c r="N63" i="42"/>
  <c r="O63" i="42" s="1"/>
  <c r="N64" i="42"/>
  <c r="O64" i="42" s="1"/>
  <c r="N65" i="42"/>
  <c r="O65" i="42" s="1"/>
  <c r="N66" i="42"/>
  <c r="O66" i="42" s="1"/>
  <c r="N67" i="42"/>
  <c r="O67" i="42" s="1"/>
  <c r="N68" i="42"/>
  <c r="O68" i="42" s="1"/>
  <c r="N69" i="42"/>
  <c r="O69" i="42" s="1"/>
  <c r="N70" i="42"/>
  <c r="O70" i="42" s="1"/>
  <c r="N71" i="42"/>
  <c r="O71" i="42" s="1"/>
  <c r="N72" i="42"/>
  <c r="O72" i="42" s="1"/>
  <c r="N73" i="42"/>
  <c r="O73" i="42" s="1"/>
  <c r="N74" i="42"/>
  <c r="O74" i="42" s="1"/>
  <c r="N75" i="42"/>
  <c r="O75" i="42" s="1"/>
  <c r="N76" i="42"/>
  <c r="O76" i="42" s="1"/>
  <c r="N77" i="42"/>
  <c r="O77" i="42" s="1"/>
  <c r="N78" i="42"/>
  <c r="O78" i="42" s="1"/>
  <c r="N79" i="42"/>
  <c r="O79" i="42" s="1"/>
  <c r="N80" i="42"/>
  <c r="O80" i="42" s="1"/>
  <c r="N81" i="42"/>
  <c r="O81" i="42" s="1"/>
  <c r="N82" i="42"/>
  <c r="O82" i="42" s="1"/>
  <c r="N83" i="42"/>
  <c r="O83" i="42" s="1"/>
  <c r="N84" i="42"/>
  <c r="O84" i="42" s="1"/>
  <c r="N85" i="42"/>
  <c r="O85" i="42" s="1"/>
  <c r="N86" i="42"/>
  <c r="O86" i="42" s="1"/>
  <c r="N87" i="42"/>
  <c r="O87" i="42" s="1"/>
  <c r="N88" i="42"/>
  <c r="O88" i="42" s="1"/>
  <c r="N89" i="42"/>
  <c r="O89" i="42" s="1"/>
  <c r="N90" i="42"/>
  <c r="O90" i="42" s="1"/>
  <c r="N91" i="42"/>
  <c r="O91" i="42" s="1"/>
  <c r="N92" i="42"/>
  <c r="O92" i="42" s="1"/>
  <c r="N93" i="42"/>
  <c r="O93" i="42" s="1"/>
  <c r="N94" i="42"/>
  <c r="O94" i="42" s="1"/>
  <c r="N95" i="42"/>
  <c r="O95" i="42" s="1"/>
  <c r="N96" i="42"/>
  <c r="O96" i="42" s="1"/>
  <c r="N97" i="42"/>
  <c r="O97" i="42" s="1"/>
  <c r="N98" i="42"/>
  <c r="O98" i="42" s="1"/>
  <c r="N99" i="42"/>
  <c r="O99" i="42" s="1"/>
  <c r="N100" i="42"/>
  <c r="O100" i="42" s="1"/>
  <c r="N101" i="42"/>
  <c r="O101" i="42" s="1"/>
  <c r="N102" i="42"/>
  <c r="O102" i="42" s="1"/>
  <c r="N103" i="42"/>
  <c r="O103" i="42" s="1"/>
  <c r="N104" i="42"/>
  <c r="O104" i="42" s="1"/>
  <c r="N105" i="42"/>
  <c r="O105" i="42" s="1"/>
  <c r="N106" i="42"/>
  <c r="O106" i="42" s="1"/>
  <c r="N107" i="42"/>
  <c r="O107" i="42" s="1"/>
  <c r="N108" i="42"/>
  <c r="O108" i="42" s="1"/>
  <c r="N109" i="42"/>
  <c r="O109" i="42" s="1"/>
  <c r="N110" i="42"/>
  <c r="O110" i="42" s="1"/>
  <c r="N111" i="42"/>
  <c r="O111" i="42" s="1"/>
  <c r="N112" i="42"/>
  <c r="O112" i="42" s="1"/>
  <c r="N113" i="42"/>
  <c r="O113" i="42" s="1"/>
  <c r="N114" i="42"/>
  <c r="O114" i="42" s="1"/>
  <c r="N115" i="42"/>
  <c r="O115" i="42" s="1"/>
  <c r="N116" i="42"/>
  <c r="O116" i="42" s="1"/>
  <c r="N117" i="42"/>
  <c r="O117" i="42" s="1"/>
  <c r="N118" i="42"/>
  <c r="O118" i="42" s="1"/>
  <c r="N119" i="42"/>
  <c r="O119" i="42" s="1"/>
  <c r="N120" i="42"/>
  <c r="O120" i="42" s="1"/>
  <c r="N121" i="42"/>
  <c r="O121" i="42" s="1"/>
  <c r="N122" i="42"/>
  <c r="O122" i="42" s="1"/>
  <c r="N123" i="42"/>
  <c r="O123" i="42" s="1"/>
  <c r="N124" i="42"/>
  <c r="O124" i="42" s="1"/>
  <c r="N125" i="42"/>
  <c r="O125" i="42" s="1"/>
  <c r="N126" i="42"/>
  <c r="O126" i="42" s="1"/>
  <c r="N127" i="42"/>
  <c r="O127" i="42" s="1"/>
  <c r="N128" i="42"/>
  <c r="O128" i="42" s="1"/>
  <c r="N129" i="42"/>
  <c r="O129" i="42" s="1"/>
  <c r="N130" i="42"/>
  <c r="O130" i="42" s="1"/>
  <c r="N131" i="42"/>
  <c r="O131" i="42" s="1"/>
  <c r="N132" i="42"/>
  <c r="O132" i="42" s="1"/>
  <c r="N133" i="42"/>
  <c r="O133" i="42" s="1"/>
  <c r="N134" i="42"/>
  <c r="O134" i="42" s="1"/>
  <c r="N135" i="42"/>
  <c r="O135" i="42" s="1"/>
  <c r="N136" i="42"/>
  <c r="O136" i="42" s="1"/>
  <c r="N137" i="42"/>
  <c r="O137" i="42" s="1"/>
  <c r="N138" i="42"/>
  <c r="O138" i="42" s="1"/>
  <c r="N139" i="42"/>
  <c r="O139" i="42" s="1"/>
  <c r="N140" i="42"/>
  <c r="O140" i="42" s="1"/>
  <c r="N141" i="42"/>
  <c r="O141" i="42" s="1"/>
  <c r="N142" i="42"/>
  <c r="O142" i="42" s="1"/>
  <c r="N143" i="42"/>
  <c r="O143" i="42" s="1"/>
  <c r="N144" i="42"/>
  <c r="O144" i="42" s="1"/>
  <c r="N145" i="42"/>
  <c r="O145" i="42" s="1"/>
  <c r="N146" i="42"/>
  <c r="O146" i="42" s="1"/>
  <c r="N147" i="42"/>
  <c r="O147" i="42" s="1"/>
  <c r="N148" i="42"/>
  <c r="O148" i="42" s="1"/>
  <c r="N149" i="42"/>
  <c r="O149" i="42" s="1"/>
  <c r="N150" i="42"/>
  <c r="O150" i="42" s="1"/>
  <c r="N151" i="42"/>
  <c r="O151" i="42" s="1"/>
  <c r="N152" i="42"/>
  <c r="O152" i="42" s="1"/>
  <c r="N153" i="42"/>
  <c r="O153" i="42" s="1"/>
  <c r="N154" i="42"/>
  <c r="O154" i="42" s="1"/>
  <c r="N155" i="42"/>
  <c r="O155" i="42" s="1"/>
  <c r="N156" i="42"/>
  <c r="O156" i="42" s="1"/>
  <c r="N157" i="42"/>
  <c r="O157" i="42" s="1"/>
  <c r="N158" i="42"/>
  <c r="O158" i="42" s="1"/>
  <c r="N159" i="42"/>
  <c r="O159" i="42" s="1"/>
  <c r="N160" i="42"/>
  <c r="O160" i="42" s="1"/>
  <c r="N161" i="42"/>
  <c r="O161" i="42" s="1"/>
  <c r="N162" i="42"/>
  <c r="O162" i="42" s="1"/>
  <c r="N163" i="42"/>
  <c r="O163" i="42" s="1"/>
  <c r="N164" i="42"/>
  <c r="O164" i="42" s="1"/>
  <c r="N165" i="42"/>
  <c r="O165" i="42" s="1"/>
  <c r="N166" i="42"/>
  <c r="O166" i="42" s="1"/>
  <c r="N167" i="42"/>
  <c r="O167" i="42" s="1"/>
  <c r="N168" i="42"/>
  <c r="O168" i="42" s="1"/>
  <c r="N169" i="42"/>
  <c r="O169" i="42" s="1"/>
  <c r="N170" i="42"/>
  <c r="O170" i="42" s="1"/>
  <c r="N171" i="42"/>
  <c r="O171" i="42" s="1"/>
  <c r="N172" i="42"/>
  <c r="O172" i="42" s="1"/>
  <c r="N173" i="42"/>
  <c r="O173" i="42" s="1"/>
  <c r="N174" i="42"/>
  <c r="O174" i="42" s="1"/>
  <c r="N175" i="42"/>
  <c r="O175" i="42" s="1"/>
  <c r="N176" i="42"/>
  <c r="O176" i="42" s="1"/>
  <c r="N177" i="42"/>
  <c r="O177" i="42" s="1"/>
  <c r="N386" i="31" l="1"/>
  <c r="O386" i="31" s="1"/>
  <c r="N385" i="31"/>
  <c r="O385" i="31" s="1"/>
  <c r="N384" i="31"/>
  <c r="O384" i="31" s="1"/>
  <c r="I384" i="31"/>
  <c r="I385" i="31" s="1"/>
  <c r="I386" i="31" s="1"/>
  <c r="N383" i="31"/>
  <c r="O383" i="31" s="1"/>
  <c r="N382" i="31"/>
  <c r="O382" i="31" s="1"/>
  <c r="N381" i="31"/>
  <c r="O381" i="31" s="1"/>
  <c r="N380" i="31"/>
  <c r="O380" i="31" s="1"/>
  <c r="I380" i="31"/>
  <c r="I381" i="31" s="1"/>
  <c r="I382" i="31" s="1"/>
  <c r="H380" i="31"/>
  <c r="H381" i="31" s="1"/>
  <c r="H382" i="31" s="1"/>
  <c r="H383" i="31" s="1"/>
  <c r="H384" i="31" s="1"/>
  <c r="H385" i="31" s="1"/>
  <c r="H386" i="31" s="1"/>
  <c r="N379" i="31"/>
  <c r="O379" i="31" s="1"/>
  <c r="N378" i="31"/>
  <c r="O378" i="31" s="1"/>
  <c r="N377" i="31"/>
  <c r="O377" i="31" s="1"/>
  <c r="N376" i="31"/>
  <c r="O376" i="31" s="1"/>
  <c r="I376" i="31"/>
  <c r="I377" i="31" s="1"/>
  <c r="I378" i="31" s="1"/>
  <c r="N375" i="31"/>
  <c r="O375" i="31" s="1"/>
  <c r="N374" i="31"/>
  <c r="O374" i="31" s="1"/>
  <c r="N373" i="31"/>
  <c r="O373" i="31" s="1"/>
  <c r="N372" i="31"/>
  <c r="O372" i="31" s="1"/>
  <c r="I372" i="31"/>
  <c r="I373" i="31" s="1"/>
  <c r="I374" i="31" s="1"/>
  <c r="H372" i="31"/>
  <c r="H373" i="31" s="1"/>
  <c r="H374" i="31" s="1"/>
  <c r="H375" i="31" s="1"/>
  <c r="H376" i="31" s="1"/>
  <c r="H377" i="31" s="1"/>
  <c r="H378" i="31" s="1"/>
  <c r="F372" i="31"/>
  <c r="F373" i="31" s="1"/>
  <c r="F374" i="31" s="1"/>
  <c r="F375" i="31" s="1"/>
  <c r="F376" i="31" s="1"/>
  <c r="F377" i="31" s="1"/>
  <c r="F378" i="31" s="1"/>
  <c r="F379" i="31" s="1"/>
  <c r="F380" i="31" s="1"/>
  <c r="F381" i="31" s="1"/>
  <c r="F382" i="31" s="1"/>
  <c r="F383" i="31" s="1"/>
  <c r="F384" i="31" s="1"/>
  <c r="F385" i="31" s="1"/>
  <c r="F386" i="31" s="1"/>
  <c r="N371" i="31"/>
  <c r="O371" i="31" s="1"/>
  <c r="N370" i="31"/>
  <c r="O370" i="31" s="1"/>
  <c r="N369" i="31"/>
  <c r="O369" i="31" s="1"/>
  <c r="N368" i="31"/>
  <c r="O368" i="31" s="1"/>
  <c r="I368" i="31"/>
  <c r="I369" i="31" s="1"/>
  <c r="I370" i="31" s="1"/>
  <c r="N367" i="31"/>
  <c r="O367" i="31" s="1"/>
  <c r="N366" i="31"/>
  <c r="O366" i="31" s="1"/>
  <c r="N365" i="31"/>
  <c r="O365" i="31" s="1"/>
  <c r="N364" i="31"/>
  <c r="O364" i="31" s="1"/>
  <c r="I364" i="31"/>
  <c r="I365" i="31" s="1"/>
  <c r="I366" i="31" s="1"/>
  <c r="H364" i="31"/>
  <c r="H365" i="31" s="1"/>
  <c r="H366" i="31" s="1"/>
  <c r="H367" i="31" s="1"/>
  <c r="H368" i="31" s="1"/>
  <c r="H369" i="31" s="1"/>
  <c r="H370" i="31" s="1"/>
  <c r="N363" i="31"/>
  <c r="O363" i="31" s="1"/>
  <c r="N362" i="31"/>
  <c r="O362" i="31" s="1"/>
  <c r="N361" i="31"/>
  <c r="O361" i="31" s="1"/>
  <c r="N360" i="31"/>
  <c r="O360" i="31" s="1"/>
  <c r="I360" i="31"/>
  <c r="I361" i="31" s="1"/>
  <c r="I362" i="31" s="1"/>
  <c r="N359" i="31"/>
  <c r="O359" i="31" s="1"/>
  <c r="N358" i="31"/>
  <c r="O358" i="31" s="1"/>
  <c r="N357" i="31"/>
  <c r="O357" i="31" s="1"/>
  <c r="N356" i="31"/>
  <c r="O356" i="31" s="1"/>
  <c r="I356" i="31"/>
  <c r="I357" i="31" s="1"/>
  <c r="I358" i="31" s="1"/>
  <c r="H356" i="31"/>
  <c r="H357" i="31" s="1"/>
  <c r="H358" i="31" s="1"/>
  <c r="H359" i="31" s="1"/>
  <c r="H360" i="31" s="1"/>
  <c r="H361" i="31" s="1"/>
  <c r="H362" i="31" s="1"/>
  <c r="F356" i="31"/>
  <c r="F357" i="31" s="1"/>
  <c r="F358" i="31" s="1"/>
  <c r="F359" i="31" s="1"/>
  <c r="F360" i="31" s="1"/>
  <c r="F361" i="31" s="1"/>
  <c r="F362" i="31" s="1"/>
  <c r="F363" i="31" s="1"/>
  <c r="F364" i="31" s="1"/>
  <c r="F365" i="31" s="1"/>
  <c r="F366" i="31" s="1"/>
  <c r="F367" i="31" s="1"/>
  <c r="F368" i="31" s="1"/>
  <c r="F369" i="31" s="1"/>
  <c r="F370" i="31" s="1"/>
  <c r="N355" i="31"/>
  <c r="O355" i="31" s="1"/>
  <c r="N354" i="31"/>
  <c r="O354" i="31" s="1"/>
  <c r="N353" i="31"/>
  <c r="O353" i="31" s="1"/>
  <c r="N352" i="31"/>
  <c r="O352" i="31" s="1"/>
  <c r="I352" i="31"/>
  <c r="I353" i="31" s="1"/>
  <c r="I354" i="31" s="1"/>
  <c r="N351" i="31"/>
  <c r="O351" i="31" s="1"/>
  <c r="N350" i="31"/>
  <c r="O350" i="31" s="1"/>
  <c r="N349" i="31"/>
  <c r="O349" i="31" s="1"/>
  <c r="N348" i="31"/>
  <c r="O348" i="31" s="1"/>
  <c r="I348" i="31"/>
  <c r="I349" i="31" s="1"/>
  <c r="I350" i="31" s="1"/>
  <c r="H348" i="31"/>
  <c r="H349" i="31" s="1"/>
  <c r="H350" i="31" s="1"/>
  <c r="H351" i="31" s="1"/>
  <c r="H352" i="31" s="1"/>
  <c r="H353" i="31" s="1"/>
  <c r="H354" i="31" s="1"/>
  <c r="N347" i="31"/>
  <c r="O347" i="31" s="1"/>
  <c r="N346" i="31"/>
  <c r="O346" i="31" s="1"/>
  <c r="N345" i="31"/>
  <c r="O345" i="31" s="1"/>
  <c r="N344" i="31"/>
  <c r="O344" i="31" s="1"/>
  <c r="I344" i="31"/>
  <c r="I345" i="31" s="1"/>
  <c r="I346" i="31" s="1"/>
  <c r="N343" i="31"/>
  <c r="O343" i="31" s="1"/>
  <c r="N342" i="31"/>
  <c r="O342" i="31" s="1"/>
  <c r="N341" i="31"/>
  <c r="O341" i="31" s="1"/>
  <c r="N340" i="31"/>
  <c r="O340" i="31" s="1"/>
  <c r="I340" i="31"/>
  <c r="I341" i="31" s="1"/>
  <c r="I342" i="31" s="1"/>
  <c r="H340" i="31"/>
  <c r="H341" i="31" s="1"/>
  <c r="H342" i="31" s="1"/>
  <c r="H343" i="31" s="1"/>
  <c r="H344" i="31" s="1"/>
  <c r="H345" i="31" s="1"/>
  <c r="H346" i="31" s="1"/>
  <c r="G340" i="31"/>
  <c r="G341" i="31" s="1"/>
  <c r="G342" i="31" s="1"/>
  <c r="G343" i="31" s="1"/>
  <c r="G344" i="31" s="1"/>
  <c r="G345" i="31" s="1"/>
  <c r="G346" i="31" s="1"/>
  <c r="G347" i="31" s="1"/>
  <c r="G348" i="31" s="1"/>
  <c r="G349" i="31" s="1"/>
  <c r="G350" i="31" s="1"/>
  <c r="G351" i="31" s="1"/>
  <c r="G352" i="31" s="1"/>
  <c r="G353" i="31" s="1"/>
  <c r="G354" i="31" s="1"/>
  <c r="F340" i="31"/>
  <c r="F341" i="31" s="1"/>
  <c r="F342" i="31" s="1"/>
  <c r="F343" i="31" s="1"/>
  <c r="F344" i="31" s="1"/>
  <c r="F345" i="31" s="1"/>
  <c r="F346" i="31" s="1"/>
  <c r="F347" i="31" s="1"/>
  <c r="F348" i="31" s="1"/>
  <c r="F349" i="31" s="1"/>
  <c r="F350" i="31" s="1"/>
  <c r="F351" i="31" s="1"/>
  <c r="F352" i="31" s="1"/>
  <c r="F353" i="31" s="1"/>
  <c r="F354" i="31" s="1"/>
  <c r="N339" i="31"/>
  <c r="O339" i="31" s="1"/>
  <c r="N338" i="31"/>
  <c r="O338" i="31" s="1"/>
  <c r="N337" i="31"/>
  <c r="O337" i="31" s="1"/>
  <c r="N336" i="31"/>
  <c r="O336" i="31" s="1"/>
  <c r="I336" i="31"/>
  <c r="I337" i="31" s="1"/>
  <c r="I338" i="31" s="1"/>
  <c r="N335" i="31"/>
  <c r="O335" i="31" s="1"/>
  <c r="N334" i="31"/>
  <c r="O334" i="31" s="1"/>
  <c r="N333" i="31"/>
  <c r="O333" i="31" s="1"/>
  <c r="N332" i="31"/>
  <c r="O332" i="31" s="1"/>
  <c r="I332" i="31"/>
  <c r="I333" i="31" s="1"/>
  <c r="I334" i="31" s="1"/>
  <c r="H332" i="31"/>
  <c r="H333" i="31" s="1"/>
  <c r="H334" i="31" s="1"/>
  <c r="H335" i="31" s="1"/>
  <c r="H336" i="31" s="1"/>
  <c r="H337" i="31" s="1"/>
  <c r="H338" i="31" s="1"/>
  <c r="N331" i="31"/>
  <c r="O331" i="31" s="1"/>
  <c r="N330" i="31"/>
  <c r="O330" i="31" s="1"/>
  <c r="N329" i="31"/>
  <c r="O329" i="31" s="1"/>
  <c r="N328" i="31"/>
  <c r="O328" i="31" s="1"/>
  <c r="I328" i="31"/>
  <c r="I329" i="31" s="1"/>
  <c r="I330" i="31" s="1"/>
  <c r="N327" i="31"/>
  <c r="O327" i="31" s="1"/>
  <c r="N326" i="31"/>
  <c r="O326" i="31" s="1"/>
  <c r="N325" i="31"/>
  <c r="O325" i="31" s="1"/>
  <c r="N324" i="31"/>
  <c r="O324" i="31" s="1"/>
  <c r="I324" i="31"/>
  <c r="I325" i="31" s="1"/>
  <c r="I326" i="31" s="1"/>
  <c r="H324" i="31"/>
  <c r="H325" i="31" s="1"/>
  <c r="H326" i="31" s="1"/>
  <c r="H327" i="31" s="1"/>
  <c r="H328" i="31" s="1"/>
  <c r="H329" i="31" s="1"/>
  <c r="H330" i="31" s="1"/>
  <c r="G324" i="31"/>
  <c r="G325" i="31" s="1"/>
  <c r="G326" i="31" s="1"/>
  <c r="G327" i="31" s="1"/>
  <c r="G328" i="31" s="1"/>
  <c r="G329" i="31" s="1"/>
  <c r="G330" i="31" s="1"/>
  <c r="G331" i="31" s="1"/>
  <c r="G332" i="31" s="1"/>
  <c r="G333" i="31" s="1"/>
  <c r="G334" i="31" s="1"/>
  <c r="G335" i="31" s="1"/>
  <c r="G336" i="31" s="1"/>
  <c r="G337" i="31" s="1"/>
  <c r="G338" i="31" s="1"/>
  <c r="F324" i="31"/>
  <c r="F325" i="31" s="1"/>
  <c r="F326" i="31" s="1"/>
  <c r="F327" i="31" s="1"/>
  <c r="F328" i="31" s="1"/>
  <c r="F329" i="31" s="1"/>
  <c r="F330" i="31" s="1"/>
  <c r="F331" i="31" s="1"/>
  <c r="F332" i="31" s="1"/>
  <c r="F333" i="31" s="1"/>
  <c r="F334" i="31" s="1"/>
  <c r="F335" i="31" s="1"/>
  <c r="F336" i="31" s="1"/>
  <c r="F337" i="31" s="1"/>
  <c r="F338" i="31" s="1"/>
  <c r="N323" i="31"/>
  <c r="O323" i="31" s="1"/>
  <c r="N322" i="31"/>
  <c r="O322" i="31" s="1"/>
  <c r="N321" i="31"/>
  <c r="O321" i="31" s="1"/>
  <c r="N320" i="31"/>
  <c r="O320" i="31" s="1"/>
  <c r="I320" i="31"/>
  <c r="I321" i="31" s="1"/>
  <c r="I322" i="31" s="1"/>
  <c r="N319" i="31"/>
  <c r="O319" i="31" s="1"/>
  <c r="N318" i="31"/>
  <c r="O318" i="31" s="1"/>
  <c r="N317" i="31"/>
  <c r="O317" i="31" s="1"/>
  <c r="N316" i="31"/>
  <c r="O316" i="31" s="1"/>
  <c r="I316" i="31"/>
  <c r="I317" i="31" s="1"/>
  <c r="I318" i="31" s="1"/>
  <c r="H316" i="31"/>
  <c r="H317" i="31" s="1"/>
  <c r="H318" i="31" s="1"/>
  <c r="H319" i="31" s="1"/>
  <c r="H320" i="31" s="1"/>
  <c r="H321" i="31" s="1"/>
  <c r="H322" i="31" s="1"/>
  <c r="N315" i="31"/>
  <c r="O315" i="31" s="1"/>
  <c r="N314" i="31"/>
  <c r="O314" i="31" s="1"/>
  <c r="N313" i="31"/>
  <c r="O313" i="31" s="1"/>
  <c r="N312" i="31"/>
  <c r="O312" i="31" s="1"/>
  <c r="I312" i="31"/>
  <c r="I313" i="31" s="1"/>
  <c r="I314" i="31" s="1"/>
  <c r="N311" i="31"/>
  <c r="O311" i="31" s="1"/>
  <c r="N310" i="31"/>
  <c r="O310" i="31" s="1"/>
  <c r="N309" i="31"/>
  <c r="O309" i="31" s="1"/>
  <c r="N308" i="31"/>
  <c r="O308" i="31" s="1"/>
  <c r="I308" i="31"/>
  <c r="I309" i="31" s="1"/>
  <c r="I310" i="31" s="1"/>
  <c r="H308" i="31"/>
  <c r="H309" i="31" s="1"/>
  <c r="H310" i="31" s="1"/>
  <c r="H311" i="31" s="1"/>
  <c r="H312" i="31" s="1"/>
  <c r="H313" i="31" s="1"/>
  <c r="H314" i="31" s="1"/>
  <c r="G308" i="31"/>
  <c r="G309" i="31" s="1"/>
  <c r="G310" i="31" s="1"/>
  <c r="G311" i="31" s="1"/>
  <c r="G312" i="31" s="1"/>
  <c r="G313" i="31" s="1"/>
  <c r="G314" i="31" s="1"/>
  <c r="G315" i="31" s="1"/>
  <c r="G316" i="31" s="1"/>
  <c r="G317" i="31" s="1"/>
  <c r="G318" i="31" s="1"/>
  <c r="G319" i="31" s="1"/>
  <c r="G320" i="31" s="1"/>
  <c r="G321" i="31" s="1"/>
  <c r="G322" i="31" s="1"/>
  <c r="F308" i="31"/>
  <c r="F309" i="31" s="1"/>
  <c r="F310" i="31" s="1"/>
  <c r="F311" i="31" s="1"/>
  <c r="F312" i="31" s="1"/>
  <c r="F313" i="31" s="1"/>
  <c r="F314" i="31" s="1"/>
  <c r="F315" i="31" s="1"/>
  <c r="F316" i="31" s="1"/>
  <c r="F317" i="31" s="1"/>
  <c r="F318" i="31" s="1"/>
  <c r="F319" i="31" s="1"/>
  <c r="F320" i="31" s="1"/>
  <c r="F321" i="31" s="1"/>
  <c r="F322" i="31" s="1"/>
  <c r="N307" i="31"/>
  <c r="O307" i="31" s="1"/>
  <c r="N306" i="31"/>
  <c r="O306" i="31" s="1"/>
  <c r="N305" i="31"/>
  <c r="O305" i="31" s="1"/>
  <c r="N304" i="31"/>
  <c r="O304" i="31" s="1"/>
  <c r="I304" i="31"/>
  <c r="I305" i="31" s="1"/>
  <c r="I306" i="31" s="1"/>
  <c r="N303" i="31"/>
  <c r="O303" i="31" s="1"/>
  <c r="N302" i="31"/>
  <c r="O302" i="31" s="1"/>
  <c r="N301" i="31"/>
  <c r="O301" i="31" s="1"/>
  <c r="N300" i="31"/>
  <c r="O300" i="31" s="1"/>
  <c r="I300" i="31"/>
  <c r="I301" i="31" s="1"/>
  <c r="I302" i="31" s="1"/>
  <c r="H300" i="31"/>
  <c r="H301" i="31" s="1"/>
  <c r="H302" i="31" s="1"/>
  <c r="H303" i="31" s="1"/>
  <c r="H304" i="31" s="1"/>
  <c r="H305" i="31" s="1"/>
  <c r="H306" i="31" s="1"/>
  <c r="N299" i="31"/>
  <c r="O299" i="31" s="1"/>
  <c r="N298" i="31"/>
  <c r="O298" i="31" s="1"/>
  <c r="N297" i="31"/>
  <c r="O297" i="31" s="1"/>
  <c r="N296" i="31"/>
  <c r="O296" i="31" s="1"/>
  <c r="I296" i="31"/>
  <c r="I297" i="31" s="1"/>
  <c r="I298" i="31" s="1"/>
  <c r="N295" i="31"/>
  <c r="O295" i="31" s="1"/>
  <c r="N294" i="31"/>
  <c r="O294" i="31" s="1"/>
  <c r="N293" i="31"/>
  <c r="O293" i="31" s="1"/>
  <c r="N292" i="31"/>
  <c r="O292" i="31" s="1"/>
  <c r="I292" i="31"/>
  <c r="I293" i="31" s="1"/>
  <c r="I294" i="31" s="1"/>
  <c r="H292" i="31"/>
  <c r="H293" i="31" s="1"/>
  <c r="H294" i="31" s="1"/>
  <c r="H295" i="31" s="1"/>
  <c r="H296" i="31" s="1"/>
  <c r="H297" i="31" s="1"/>
  <c r="H298" i="31" s="1"/>
  <c r="G292" i="31"/>
  <c r="G293" i="31" s="1"/>
  <c r="G294" i="31" s="1"/>
  <c r="G295" i="31" s="1"/>
  <c r="G296" i="31" s="1"/>
  <c r="G297" i="31" s="1"/>
  <c r="G298" i="31" s="1"/>
  <c r="G299" i="31" s="1"/>
  <c r="G300" i="31" s="1"/>
  <c r="G301" i="31" s="1"/>
  <c r="G302" i="31" s="1"/>
  <c r="G303" i="31" s="1"/>
  <c r="G304" i="31" s="1"/>
  <c r="G305" i="31" s="1"/>
  <c r="G306" i="31" s="1"/>
  <c r="F292" i="31"/>
  <c r="F293" i="31" s="1"/>
  <c r="F294" i="31" s="1"/>
  <c r="F295" i="31" s="1"/>
  <c r="F296" i="31" s="1"/>
  <c r="F297" i="31" s="1"/>
  <c r="F298" i="31" s="1"/>
  <c r="F299" i="31" s="1"/>
  <c r="F300" i="31" s="1"/>
  <c r="F301" i="31" s="1"/>
  <c r="F302" i="31" s="1"/>
  <c r="F303" i="31" s="1"/>
  <c r="F304" i="31" s="1"/>
  <c r="F305" i="31" s="1"/>
  <c r="F306" i="31" s="1"/>
  <c r="N291" i="31"/>
  <c r="O291" i="31" s="1"/>
  <c r="N386" i="32"/>
  <c r="O386" i="32" s="1"/>
  <c r="N385" i="32"/>
  <c r="O385" i="32" s="1"/>
  <c r="N384" i="32"/>
  <c r="O384" i="32" s="1"/>
  <c r="I384" i="32"/>
  <c r="I385" i="32" s="1"/>
  <c r="I386" i="32" s="1"/>
  <c r="N383" i="32"/>
  <c r="O383" i="32" s="1"/>
  <c r="N382" i="32"/>
  <c r="O382" i="32" s="1"/>
  <c r="N381" i="32"/>
  <c r="O381" i="32" s="1"/>
  <c r="N380" i="32"/>
  <c r="O380" i="32" s="1"/>
  <c r="I380" i="32"/>
  <c r="I381" i="32" s="1"/>
  <c r="I382" i="32" s="1"/>
  <c r="H380" i="32"/>
  <c r="H381" i="32" s="1"/>
  <c r="H382" i="32" s="1"/>
  <c r="H383" i="32" s="1"/>
  <c r="H384" i="32" s="1"/>
  <c r="H385" i="32" s="1"/>
  <c r="H386" i="32" s="1"/>
  <c r="N379" i="32"/>
  <c r="O379" i="32" s="1"/>
  <c r="N378" i="32"/>
  <c r="O378" i="32" s="1"/>
  <c r="N377" i="32"/>
  <c r="O377" i="32" s="1"/>
  <c r="N376" i="32"/>
  <c r="O376" i="32" s="1"/>
  <c r="I376" i="32"/>
  <c r="I377" i="32" s="1"/>
  <c r="I378" i="32" s="1"/>
  <c r="N375" i="32"/>
  <c r="O375" i="32" s="1"/>
  <c r="N374" i="32"/>
  <c r="O374" i="32" s="1"/>
  <c r="N373" i="32"/>
  <c r="O373" i="32" s="1"/>
  <c r="N372" i="32"/>
  <c r="O372" i="32" s="1"/>
  <c r="I372" i="32"/>
  <c r="I373" i="32" s="1"/>
  <c r="I374" i="32" s="1"/>
  <c r="H372" i="32"/>
  <c r="H373" i="32" s="1"/>
  <c r="H374" i="32" s="1"/>
  <c r="H375" i="32" s="1"/>
  <c r="H376" i="32" s="1"/>
  <c r="H377" i="32" s="1"/>
  <c r="H378" i="32" s="1"/>
  <c r="G372" i="32"/>
  <c r="G373" i="32" s="1"/>
  <c r="G374" i="32" s="1"/>
  <c r="G375" i="32" s="1"/>
  <c r="G376" i="32" s="1"/>
  <c r="G377" i="32" s="1"/>
  <c r="G378" i="32" s="1"/>
  <c r="G379" i="32" s="1"/>
  <c r="G380" i="32" s="1"/>
  <c r="G381" i="32" s="1"/>
  <c r="G382" i="32" s="1"/>
  <c r="G383" i="32" s="1"/>
  <c r="G384" i="32" s="1"/>
  <c r="G385" i="32" s="1"/>
  <c r="G386" i="32" s="1"/>
  <c r="F372" i="32"/>
  <c r="F373" i="32" s="1"/>
  <c r="F374" i="32" s="1"/>
  <c r="F375" i="32" s="1"/>
  <c r="F376" i="32" s="1"/>
  <c r="F377" i="32" s="1"/>
  <c r="F378" i="32" s="1"/>
  <c r="F379" i="32" s="1"/>
  <c r="F380" i="32" s="1"/>
  <c r="F381" i="32" s="1"/>
  <c r="F382" i="32" s="1"/>
  <c r="F383" i="32" s="1"/>
  <c r="F384" i="32" s="1"/>
  <c r="F385" i="32" s="1"/>
  <c r="F386" i="32" s="1"/>
  <c r="N371" i="32"/>
  <c r="O371" i="32" s="1"/>
  <c r="N370" i="32"/>
  <c r="O370" i="32" s="1"/>
  <c r="N369" i="32"/>
  <c r="O369" i="32" s="1"/>
  <c r="N368" i="32"/>
  <c r="O368" i="32" s="1"/>
  <c r="I368" i="32"/>
  <c r="I369" i="32" s="1"/>
  <c r="I370" i="32" s="1"/>
  <c r="N367" i="32"/>
  <c r="O367" i="32" s="1"/>
  <c r="N366" i="32"/>
  <c r="O366" i="32" s="1"/>
  <c r="N365" i="32"/>
  <c r="O365" i="32" s="1"/>
  <c r="N364" i="32"/>
  <c r="O364" i="32" s="1"/>
  <c r="I364" i="32"/>
  <c r="I365" i="32" s="1"/>
  <c r="I366" i="32" s="1"/>
  <c r="H364" i="32"/>
  <c r="H365" i="32" s="1"/>
  <c r="H366" i="32" s="1"/>
  <c r="H367" i="32" s="1"/>
  <c r="H368" i="32" s="1"/>
  <c r="H369" i="32" s="1"/>
  <c r="H370" i="32" s="1"/>
  <c r="N363" i="32"/>
  <c r="O363" i="32" s="1"/>
  <c r="N362" i="32"/>
  <c r="O362" i="32" s="1"/>
  <c r="N361" i="32"/>
  <c r="O361" i="32" s="1"/>
  <c r="N360" i="32"/>
  <c r="O360" i="32" s="1"/>
  <c r="I360" i="32"/>
  <c r="I361" i="32" s="1"/>
  <c r="I362" i="32" s="1"/>
  <c r="N359" i="32"/>
  <c r="O359" i="32" s="1"/>
  <c r="N358" i="32"/>
  <c r="O358" i="32" s="1"/>
  <c r="N357" i="32"/>
  <c r="O357" i="32" s="1"/>
  <c r="N356" i="32"/>
  <c r="O356" i="32" s="1"/>
  <c r="I356" i="32"/>
  <c r="I357" i="32" s="1"/>
  <c r="I358" i="32" s="1"/>
  <c r="H356" i="32"/>
  <c r="H357" i="32" s="1"/>
  <c r="H358" i="32" s="1"/>
  <c r="H359" i="32" s="1"/>
  <c r="H360" i="32" s="1"/>
  <c r="H361" i="32" s="1"/>
  <c r="H362" i="32" s="1"/>
  <c r="G356" i="32"/>
  <c r="G357" i="32" s="1"/>
  <c r="G358" i="32" s="1"/>
  <c r="G359" i="32" s="1"/>
  <c r="G360" i="32" s="1"/>
  <c r="G361" i="32" s="1"/>
  <c r="G362" i="32" s="1"/>
  <c r="G363" i="32" s="1"/>
  <c r="G364" i="32" s="1"/>
  <c r="G365" i="32" s="1"/>
  <c r="G366" i="32" s="1"/>
  <c r="G367" i="32" s="1"/>
  <c r="G368" i="32" s="1"/>
  <c r="G369" i="32" s="1"/>
  <c r="G370" i="32" s="1"/>
  <c r="F356" i="32"/>
  <c r="F357" i="32" s="1"/>
  <c r="F358" i="32" s="1"/>
  <c r="F359" i="32" s="1"/>
  <c r="F360" i="32" s="1"/>
  <c r="F361" i="32" s="1"/>
  <c r="F362" i="32" s="1"/>
  <c r="F363" i="32" s="1"/>
  <c r="F364" i="32" s="1"/>
  <c r="F365" i="32" s="1"/>
  <c r="F366" i="32" s="1"/>
  <c r="F367" i="32" s="1"/>
  <c r="F368" i="32" s="1"/>
  <c r="F369" i="32" s="1"/>
  <c r="F370" i="32" s="1"/>
  <c r="N355" i="32"/>
  <c r="O355" i="32" s="1"/>
  <c r="N354" i="32"/>
  <c r="O354" i="32" s="1"/>
  <c r="N353" i="32"/>
  <c r="O353" i="32" s="1"/>
  <c r="N352" i="32"/>
  <c r="O352" i="32" s="1"/>
  <c r="I352" i="32"/>
  <c r="I353" i="32" s="1"/>
  <c r="I354" i="32" s="1"/>
  <c r="N351" i="32"/>
  <c r="O351" i="32" s="1"/>
  <c r="N350" i="32"/>
  <c r="O350" i="32" s="1"/>
  <c r="N349" i="32"/>
  <c r="O349" i="32" s="1"/>
  <c r="N348" i="32"/>
  <c r="O348" i="32" s="1"/>
  <c r="I348" i="32"/>
  <c r="I349" i="32" s="1"/>
  <c r="I350" i="32" s="1"/>
  <c r="H348" i="32"/>
  <c r="H349" i="32" s="1"/>
  <c r="H350" i="32" s="1"/>
  <c r="H351" i="32" s="1"/>
  <c r="H352" i="32" s="1"/>
  <c r="H353" i="32" s="1"/>
  <c r="H354" i="32" s="1"/>
  <c r="N347" i="32"/>
  <c r="O347" i="32" s="1"/>
  <c r="N346" i="32"/>
  <c r="O346" i="32" s="1"/>
  <c r="N345" i="32"/>
  <c r="O345" i="32" s="1"/>
  <c r="N344" i="32"/>
  <c r="O344" i="32" s="1"/>
  <c r="I344" i="32"/>
  <c r="I345" i="32" s="1"/>
  <c r="I346" i="32" s="1"/>
  <c r="N343" i="32"/>
  <c r="O343" i="32" s="1"/>
  <c r="N342" i="32"/>
  <c r="O342" i="32" s="1"/>
  <c r="N341" i="32"/>
  <c r="O341" i="32" s="1"/>
  <c r="N340" i="32"/>
  <c r="O340" i="32" s="1"/>
  <c r="I340" i="32"/>
  <c r="I341" i="32" s="1"/>
  <c r="I342" i="32" s="1"/>
  <c r="H340" i="32"/>
  <c r="H341" i="32" s="1"/>
  <c r="H342" i="32" s="1"/>
  <c r="H343" i="32" s="1"/>
  <c r="H344" i="32" s="1"/>
  <c r="H345" i="32" s="1"/>
  <c r="H346" i="32" s="1"/>
  <c r="G340" i="32"/>
  <c r="G341" i="32" s="1"/>
  <c r="G342" i="32" s="1"/>
  <c r="G343" i="32" s="1"/>
  <c r="G344" i="32" s="1"/>
  <c r="G345" i="32" s="1"/>
  <c r="G346" i="32" s="1"/>
  <c r="G347" i="32" s="1"/>
  <c r="G348" i="32" s="1"/>
  <c r="G349" i="32" s="1"/>
  <c r="G350" i="32" s="1"/>
  <c r="G351" i="32" s="1"/>
  <c r="G352" i="32" s="1"/>
  <c r="G353" i="32" s="1"/>
  <c r="G354" i="32" s="1"/>
  <c r="F340" i="32"/>
  <c r="F341" i="32" s="1"/>
  <c r="F342" i="32" s="1"/>
  <c r="F343" i="32" s="1"/>
  <c r="F344" i="32" s="1"/>
  <c r="F345" i="32" s="1"/>
  <c r="F346" i="32" s="1"/>
  <c r="F347" i="32" s="1"/>
  <c r="F348" i="32" s="1"/>
  <c r="F349" i="32" s="1"/>
  <c r="F350" i="32" s="1"/>
  <c r="F351" i="32" s="1"/>
  <c r="F352" i="32" s="1"/>
  <c r="F353" i="32" s="1"/>
  <c r="F354" i="32" s="1"/>
  <c r="N339" i="32"/>
  <c r="O339" i="32" s="1"/>
  <c r="N338" i="32"/>
  <c r="O338" i="32" s="1"/>
  <c r="N337" i="32"/>
  <c r="O337" i="32" s="1"/>
  <c r="N336" i="32"/>
  <c r="O336" i="32" s="1"/>
  <c r="I336" i="32"/>
  <c r="I337" i="32" s="1"/>
  <c r="I338" i="32" s="1"/>
  <c r="N335" i="32"/>
  <c r="O335" i="32" s="1"/>
  <c r="N334" i="32"/>
  <c r="O334" i="32" s="1"/>
  <c r="N333" i="32"/>
  <c r="O333" i="32" s="1"/>
  <c r="N332" i="32"/>
  <c r="O332" i="32" s="1"/>
  <c r="I332" i="32"/>
  <c r="I333" i="32" s="1"/>
  <c r="I334" i="32" s="1"/>
  <c r="H332" i="32"/>
  <c r="H333" i="32" s="1"/>
  <c r="H334" i="32" s="1"/>
  <c r="H335" i="32" s="1"/>
  <c r="H336" i="32" s="1"/>
  <c r="H337" i="32" s="1"/>
  <c r="H338" i="32" s="1"/>
  <c r="N331" i="32"/>
  <c r="O331" i="32" s="1"/>
  <c r="N330" i="32"/>
  <c r="O330" i="32" s="1"/>
  <c r="N329" i="32"/>
  <c r="O329" i="32" s="1"/>
  <c r="N328" i="32"/>
  <c r="O328" i="32" s="1"/>
  <c r="I328" i="32"/>
  <c r="I329" i="32" s="1"/>
  <c r="I330" i="32" s="1"/>
  <c r="N327" i="32"/>
  <c r="O327" i="32" s="1"/>
  <c r="N326" i="32"/>
  <c r="O326" i="32" s="1"/>
  <c r="N325" i="32"/>
  <c r="O325" i="32" s="1"/>
  <c r="N324" i="32"/>
  <c r="O324" i="32" s="1"/>
  <c r="I324" i="32"/>
  <c r="I325" i="32" s="1"/>
  <c r="I326" i="32" s="1"/>
  <c r="H324" i="32"/>
  <c r="H325" i="32" s="1"/>
  <c r="H326" i="32" s="1"/>
  <c r="H327" i="32" s="1"/>
  <c r="H328" i="32" s="1"/>
  <c r="H329" i="32" s="1"/>
  <c r="H330" i="32" s="1"/>
  <c r="G324" i="32"/>
  <c r="G325" i="32" s="1"/>
  <c r="G326" i="32" s="1"/>
  <c r="G327" i="32" s="1"/>
  <c r="G328" i="32" s="1"/>
  <c r="G329" i="32" s="1"/>
  <c r="G330" i="32" s="1"/>
  <c r="G331" i="32" s="1"/>
  <c r="G332" i="32" s="1"/>
  <c r="G333" i="32" s="1"/>
  <c r="G334" i="32" s="1"/>
  <c r="G335" i="32" s="1"/>
  <c r="G336" i="32" s="1"/>
  <c r="G337" i="32" s="1"/>
  <c r="G338" i="32" s="1"/>
  <c r="F324" i="32"/>
  <c r="F325" i="32" s="1"/>
  <c r="F326" i="32" s="1"/>
  <c r="F327" i="32" s="1"/>
  <c r="F328" i="32" s="1"/>
  <c r="F329" i="32" s="1"/>
  <c r="F330" i="32" s="1"/>
  <c r="F331" i="32" s="1"/>
  <c r="F332" i="32" s="1"/>
  <c r="F333" i="32" s="1"/>
  <c r="F334" i="32" s="1"/>
  <c r="F335" i="32" s="1"/>
  <c r="F336" i="32" s="1"/>
  <c r="F337" i="32" s="1"/>
  <c r="F338" i="32" s="1"/>
  <c r="N323" i="32"/>
  <c r="O323" i="32" s="1"/>
  <c r="N322" i="32"/>
  <c r="O322" i="32" s="1"/>
  <c r="N321" i="32"/>
  <c r="O321" i="32" s="1"/>
  <c r="N320" i="32"/>
  <c r="O320" i="32" s="1"/>
  <c r="I320" i="32"/>
  <c r="I321" i="32" s="1"/>
  <c r="I322" i="32" s="1"/>
  <c r="N319" i="32"/>
  <c r="O319" i="32" s="1"/>
  <c r="N318" i="32"/>
  <c r="O318" i="32" s="1"/>
  <c r="N317" i="32"/>
  <c r="O317" i="32" s="1"/>
  <c r="N316" i="32"/>
  <c r="O316" i="32" s="1"/>
  <c r="I316" i="32"/>
  <c r="I317" i="32" s="1"/>
  <c r="I318" i="32" s="1"/>
  <c r="H316" i="32"/>
  <c r="H317" i="32" s="1"/>
  <c r="H318" i="32" s="1"/>
  <c r="H319" i="32" s="1"/>
  <c r="H320" i="32" s="1"/>
  <c r="H321" i="32" s="1"/>
  <c r="H322" i="32" s="1"/>
  <c r="N315" i="32"/>
  <c r="O315" i="32" s="1"/>
  <c r="N314" i="32"/>
  <c r="O314" i="32" s="1"/>
  <c r="N313" i="32"/>
  <c r="O313" i="32" s="1"/>
  <c r="N312" i="32"/>
  <c r="O312" i="32" s="1"/>
  <c r="I312" i="32"/>
  <c r="I313" i="32" s="1"/>
  <c r="I314" i="32" s="1"/>
  <c r="N311" i="32"/>
  <c r="O311" i="32" s="1"/>
  <c r="N310" i="32"/>
  <c r="O310" i="32" s="1"/>
  <c r="N309" i="32"/>
  <c r="O309" i="32" s="1"/>
  <c r="N308" i="32"/>
  <c r="O308" i="32" s="1"/>
  <c r="I308" i="32"/>
  <c r="I309" i="32" s="1"/>
  <c r="I310" i="32" s="1"/>
  <c r="H308" i="32"/>
  <c r="H309" i="32" s="1"/>
  <c r="H310" i="32" s="1"/>
  <c r="H311" i="32" s="1"/>
  <c r="H312" i="32" s="1"/>
  <c r="H313" i="32" s="1"/>
  <c r="H314" i="32" s="1"/>
  <c r="G308" i="32"/>
  <c r="G309" i="32" s="1"/>
  <c r="G310" i="32" s="1"/>
  <c r="G311" i="32" s="1"/>
  <c r="G312" i="32" s="1"/>
  <c r="G313" i="32" s="1"/>
  <c r="G314" i="32" s="1"/>
  <c r="G315" i="32" s="1"/>
  <c r="G316" i="32" s="1"/>
  <c r="G317" i="32" s="1"/>
  <c r="G318" i="32" s="1"/>
  <c r="G319" i="32" s="1"/>
  <c r="G320" i="32" s="1"/>
  <c r="G321" i="32" s="1"/>
  <c r="G322" i="32" s="1"/>
  <c r="F308" i="32"/>
  <c r="F309" i="32" s="1"/>
  <c r="F310" i="32" s="1"/>
  <c r="F311" i="32" s="1"/>
  <c r="F312" i="32" s="1"/>
  <c r="F313" i="32" s="1"/>
  <c r="F314" i="32" s="1"/>
  <c r="F315" i="32" s="1"/>
  <c r="F316" i="32" s="1"/>
  <c r="F317" i="32" s="1"/>
  <c r="F318" i="32" s="1"/>
  <c r="F319" i="32" s="1"/>
  <c r="F320" i="32" s="1"/>
  <c r="F321" i="32" s="1"/>
  <c r="F322" i="32" s="1"/>
  <c r="N307" i="32"/>
  <c r="O307" i="32" s="1"/>
  <c r="N306" i="32"/>
  <c r="O306" i="32" s="1"/>
  <c r="N305" i="32"/>
  <c r="O305" i="32" s="1"/>
  <c r="N304" i="32"/>
  <c r="O304" i="32" s="1"/>
  <c r="I304" i="32"/>
  <c r="I305" i="32" s="1"/>
  <c r="I306" i="32" s="1"/>
  <c r="N303" i="32"/>
  <c r="O303" i="32" s="1"/>
  <c r="N302" i="32"/>
  <c r="O302" i="32" s="1"/>
  <c r="N301" i="32"/>
  <c r="O301" i="32" s="1"/>
  <c r="N300" i="32"/>
  <c r="O300" i="32" s="1"/>
  <c r="I300" i="32"/>
  <c r="I301" i="32" s="1"/>
  <c r="I302" i="32" s="1"/>
  <c r="H300" i="32"/>
  <c r="H301" i="32" s="1"/>
  <c r="H302" i="32" s="1"/>
  <c r="H303" i="32" s="1"/>
  <c r="H304" i="32" s="1"/>
  <c r="H305" i="32" s="1"/>
  <c r="H306" i="32" s="1"/>
  <c r="N299" i="32"/>
  <c r="O299" i="32" s="1"/>
  <c r="N298" i="32"/>
  <c r="O298" i="32" s="1"/>
  <c r="N297" i="32"/>
  <c r="O297" i="32" s="1"/>
  <c r="N296" i="32"/>
  <c r="O296" i="32" s="1"/>
  <c r="I296" i="32"/>
  <c r="I297" i="32" s="1"/>
  <c r="I298" i="32" s="1"/>
  <c r="N295" i="32"/>
  <c r="O295" i="32" s="1"/>
  <c r="N294" i="32"/>
  <c r="O294" i="32" s="1"/>
  <c r="N293" i="32"/>
  <c r="O293" i="32" s="1"/>
  <c r="N292" i="32"/>
  <c r="O292" i="32" s="1"/>
  <c r="I292" i="32"/>
  <c r="I293" i="32" s="1"/>
  <c r="I294" i="32" s="1"/>
  <c r="H292" i="32"/>
  <c r="H293" i="32" s="1"/>
  <c r="H294" i="32" s="1"/>
  <c r="H295" i="32" s="1"/>
  <c r="H296" i="32" s="1"/>
  <c r="H297" i="32" s="1"/>
  <c r="H298" i="32" s="1"/>
  <c r="G292" i="32"/>
  <c r="G293" i="32" s="1"/>
  <c r="G294" i="32" s="1"/>
  <c r="G295" i="32" s="1"/>
  <c r="G296" i="32" s="1"/>
  <c r="G297" i="32" s="1"/>
  <c r="G298" i="32" s="1"/>
  <c r="G299" i="32" s="1"/>
  <c r="G300" i="32" s="1"/>
  <c r="G301" i="32" s="1"/>
  <c r="G302" i="32" s="1"/>
  <c r="G303" i="32" s="1"/>
  <c r="G304" i="32" s="1"/>
  <c r="G305" i="32" s="1"/>
  <c r="G306" i="32" s="1"/>
  <c r="F292" i="32"/>
  <c r="F293" i="32" s="1"/>
  <c r="F294" i="32" s="1"/>
  <c r="F295" i="32" s="1"/>
  <c r="F296" i="32" s="1"/>
  <c r="F297" i="32" s="1"/>
  <c r="F298" i="32" s="1"/>
  <c r="F299" i="32" s="1"/>
  <c r="F300" i="32" s="1"/>
  <c r="F301" i="32" s="1"/>
  <c r="F302" i="32" s="1"/>
  <c r="F303" i="32" s="1"/>
  <c r="F304" i="32" s="1"/>
  <c r="F305" i="32" s="1"/>
  <c r="F306" i="32" s="1"/>
  <c r="N291" i="32"/>
  <c r="O291" i="32" s="1"/>
  <c r="N195" i="31"/>
  <c r="O195" i="31" s="1"/>
  <c r="F196" i="31"/>
  <c r="F197" i="31" s="1"/>
  <c r="F198" i="31" s="1"/>
  <c r="F199" i="31" s="1"/>
  <c r="F200" i="31" s="1"/>
  <c r="F201" i="31" s="1"/>
  <c r="F202" i="31" s="1"/>
  <c r="F203" i="31" s="1"/>
  <c r="F204" i="31" s="1"/>
  <c r="F205" i="31" s="1"/>
  <c r="F206" i="31" s="1"/>
  <c r="F207" i="31" s="1"/>
  <c r="F208" i="31" s="1"/>
  <c r="F209" i="31" s="1"/>
  <c r="F210" i="31" s="1"/>
  <c r="G196" i="31"/>
  <c r="G197" i="31" s="1"/>
  <c r="G198" i="31" s="1"/>
  <c r="G199" i="31" s="1"/>
  <c r="G200" i="31" s="1"/>
  <c r="G201" i="31" s="1"/>
  <c r="G202" i="31" s="1"/>
  <c r="G203" i="31" s="1"/>
  <c r="G204" i="31" s="1"/>
  <c r="G205" i="31" s="1"/>
  <c r="G206" i="31" s="1"/>
  <c r="G207" i="31" s="1"/>
  <c r="G208" i="31" s="1"/>
  <c r="G209" i="31" s="1"/>
  <c r="G210" i="31" s="1"/>
  <c r="H196" i="31"/>
  <c r="H197" i="31" s="1"/>
  <c r="H198" i="31" s="1"/>
  <c r="H199" i="31" s="1"/>
  <c r="H200" i="31" s="1"/>
  <c r="H201" i="31" s="1"/>
  <c r="H202" i="31" s="1"/>
  <c r="I196" i="31"/>
  <c r="I197" i="31" s="1"/>
  <c r="I198" i="31" s="1"/>
  <c r="N196" i="31"/>
  <c r="O196" i="31" s="1"/>
  <c r="N197" i="31"/>
  <c r="O197" i="31" s="1"/>
  <c r="N198" i="31"/>
  <c r="O198" i="31" s="1"/>
  <c r="N199" i="31"/>
  <c r="O199" i="31" s="1"/>
  <c r="I200" i="31"/>
  <c r="I201" i="31" s="1"/>
  <c r="I202" i="31" s="1"/>
  <c r="N200" i="31"/>
  <c r="O200" i="31" s="1"/>
  <c r="N201" i="31"/>
  <c r="O201" i="31" s="1"/>
  <c r="N202" i="31"/>
  <c r="O202" i="31" s="1"/>
  <c r="N203" i="31"/>
  <c r="O203" i="31" s="1"/>
  <c r="H204" i="31"/>
  <c r="H205" i="31" s="1"/>
  <c r="H206" i="31" s="1"/>
  <c r="H207" i="31" s="1"/>
  <c r="H208" i="31" s="1"/>
  <c r="H209" i="31" s="1"/>
  <c r="H210" i="31" s="1"/>
  <c r="I204" i="31"/>
  <c r="I205" i="31" s="1"/>
  <c r="I206" i="31" s="1"/>
  <c r="N204" i="31"/>
  <c r="O204" i="31" s="1"/>
  <c r="N205" i="31"/>
  <c r="O205" i="31" s="1"/>
  <c r="N206" i="31"/>
  <c r="O206" i="31" s="1"/>
  <c r="N207" i="31"/>
  <c r="O207" i="31" s="1"/>
  <c r="I208" i="31"/>
  <c r="N208" i="31"/>
  <c r="O208" i="31" s="1"/>
  <c r="I209" i="31"/>
  <c r="I210" i="31" s="1"/>
  <c r="N209" i="31"/>
  <c r="O209" i="31" s="1"/>
  <c r="N210" i="31"/>
  <c r="O210" i="31" s="1"/>
  <c r="N211" i="31"/>
  <c r="O211" i="31" s="1"/>
  <c r="F212" i="31"/>
  <c r="F213" i="31" s="1"/>
  <c r="F214" i="31" s="1"/>
  <c r="F215" i="31" s="1"/>
  <c r="F216" i="31" s="1"/>
  <c r="F217" i="31" s="1"/>
  <c r="F218" i="31" s="1"/>
  <c r="F219" i="31" s="1"/>
  <c r="F220" i="31" s="1"/>
  <c r="F221" i="31" s="1"/>
  <c r="F222" i="31" s="1"/>
  <c r="F223" i="31" s="1"/>
  <c r="F224" i="31" s="1"/>
  <c r="F225" i="31" s="1"/>
  <c r="F226" i="31" s="1"/>
  <c r="G212" i="31"/>
  <c r="G213" i="31" s="1"/>
  <c r="G214" i="31" s="1"/>
  <c r="G215" i="31" s="1"/>
  <c r="G216" i="31" s="1"/>
  <c r="G217" i="31" s="1"/>
  <c r="G218" i="31" s="1"/>
  <c r="G219" i="31" s="1"/>
  <c r="G220" i="31" s="1"/>
  <c r="G221" i="31" s="1"/>
  <c r="G222" i="31" s="1"/>
  <c r="G223" i="31" s="1"/>
  <c r="G224" i="31" s="1"/>
  <c r="G225" i="31" s="1"/>
  <c r="G226" i="31" s="1"/>
  <c r="H212" i="31"/>
  <c r="H213" i="31" s="1"/>
  <c r="H214" i="31" s="1"/>
  <c r="H215" i="31" s="1"/>
  <c r="H216" i="31" s="1"/>
  <c r="H217" i="31" s="1"/>
  <c r="H218" i="31" s="1"/>
  <c r="I212" i="31"/>
  <c r="I213" i="31" s="1"/>
  <c r="I214" i="31" s="1"/>
  <c r="N212" i="31"/>
  <c r="O212" i="31" s="1"/>
  <c r="N213" i="31"/>
  <c r="O213" i="31" s="1"/>
  <c r="N214" i="31"/>
  <c r="O214" i="31" s="1"/>
  <c r="N215" i="31"/>
  <c r="O215" i="31" s="1"/>
  <c r="I216" i="31"/>
  <c r="I217" i="31" s="1"/>
  <c r="I218" i="31" s="1"/>
  <c r="N216" i="31"/>
  <c r="O216" i="31" s="1"/>
  <c r="N217" i="31"/>
  <c r="O217" i="31" s="1"/>
  <c r="N218" i="31"/>
  <c r="O218" i="31" s="1"/>
  <c r="N219" i="31"/>
  <c r="O219" i="31" s="1"/>
  <c r="H220" i="31"/>
  <c r="I220" i="31"/>
  <c r="I221" i="31" s="1"/>
  <c r="I222" i="31" s="1"/>
  <c r="N220" i="31"/>
  <c r="O220" i="31" s="1"/>
  <c r="H221" i="31"/>
  <c r="H222" i="31" s="1"/>
  <c r="H223" i="31" s="1"/>
  <c r="H224" i="31" s="1"/>
  <c r="H225" i="31" s="1"/>
  <c r="H226" i="31" s="1"/>
  <c r="N221" i="31"/>
  <c r="O221" i="31" s="1"/>
  <c r="N222" i="31"/>
  <c r="O222" i="31" s="1"/>
  <c r="N223" i="31"/>
  <c r="O223" i="31" s="1"/>
  <c r="I224" i="31"/>
  <c r="N224" i="31"/>
  <c r="O224" i="31" s="1"/>
  <c r="I225" i="31"/>
  <c r="I226" i="31" s="1"/>
  <c r="N225" i="31"/>
  <c r="O225" i="31" s="1"/>
  <c r="N226" i="31"/>
  <c r="O226" i="31" s="1"/>
  <c r="N227" i="31"/>
  <c r="O227" i="31" s="1"/>
  <c r="F228" i="31"/>
  <c r="F229" i="31" s="1"/>
  <c r="F230" i="31" s="1"/>
  <c r="F231" i="31" s="1"/>
  <c r="F232" i="31" s="1"/>
  <c r="F233" i="31" s="1"/>
  <c r="F234" i="31" s="1"/>
  <c r="F235" i="31" s="1"/>
  <c r="F236" i="31" s="1"/>
  <c r="F237" i="31" s="1"/>
  <c r="F238" i="31" s="1"/>
  <c r="F239" i="31" s="1"/>
  <c r="F240" i="31" s="1"/>
  <c r="F241" i="31" s="1"/>
  <c r="F242" i="31" s="1"/>
  <c r="G228" i="31"/>
  <c r="G229" i="31" s="1"/>
  <c r="G230" i="31" s="1"/>
  <c r="G231" i="31" s="1"/>
  <c r="G232" i="31" s="1"/>
  <c r="G233" i="31" s="1"/>
  <c r="G234" i="31" s="1"/>
  <c r="G235" i="31" s="1"/>
  <c r="G236" i="31" s="1"/>
  <c r="G237" i="31" s="1"/>
  <c r="G238" i="31" s="1"/>
  <c r="G239" i="31" s="1"/>
  <c r="G240" i="31" s="1"/>
  <c r="G241" i="31" s="1"/>
  <c r="G242" i="31" s="1"/>
  <c r="H228" i="31"/>
  <c r="I228" i="31"/>
  <c r="I229" i="31" s="1"/>
  <c r="I230" i="31" s="1"/>
  <c r="N228" i="31"/>
  <c r="O228" i="31" s="1"/>
  <c r="H229" i="31"/>
  <c r="H230" i="31" s="1"/>
  <c r="H231" i="31" s="1"/>
  <c r="H232" i="31" s="1"/>
  <c r="H233" i="31" s="1"/>
  <c r="H234" i="31" s="1"/>
  <c r="N229" i="31"/>
  <c r="O229" i="31" s="1"/>
  <c r="N230" i="31"/>
  <c r="O230" i="31" s="1"/>
  <c r="N231" i="31"/>
  <c r="O231" i="31" s="1"/>
  <c r="I232" i="31"/>
  <c r="I233" i="31" s="1"/>
  <c r="I234" i="31" s="1"/>
  <c r="N232" i="31"/>
  <c r="O232" i="31" s="1"/>
  <c r="N233" i="31"/>
  <c r="O233" i="31" s="1"/>
  <c r="N234" i="31"/>
  <c r="O234" i="31" s="1"/>
  <c r="N235" i="31"/>
  <c r="O235" i="31" s="1"/>
  <c r="H236" i="31"/>
  <c r="H237" i="31" s="1"/>
  <c r="H238" i="31" s="1"/>
  <c r="H239" i="31" s="1"/>
  <c r="H240" i="31" s="1"/>
  <c r="H241" i="31" s="1"/>
  <c r="H242" i="31" s="1"/>
  <c r="I236" i="31"/>
  <c r="I237" i="31" s="1"/>
  <c r="I238" i="31" s="1"/>
  <c r="N236" i="31"/>
  <c r="O236" i="31" s="1"/>
  <c r="N237" i="31"/>
  <c r="O237" i="31" s="1"/>
  <c r="N238" i="31"/>
  <c r="O238" i="31" s="1"/>
  <c r="N239" i="31"/>
  <c r="O239" i="31" s="1"/>
  <c r="I240" i="31"/>
  <c r="I241" i="31" s="1"/>
  <c r="I242" i="31" s="1"/>
  <c r="N240" i="31"/>
  <c r="O240" i="31" s="1"/>
  <c r="N241" i="31"/>
  <c r="O241" i="31" s="1"/>
  <c r="N242" i="31"/>
  <c r="O242" i="31" s="1"/>
  <c r="N243" i="31"/>
  <c r="O243" i="31" s="1"/>
  <c r="F244" i="31"/>
  <c r="F245" i="31" s="1"/>
  <c r="F246" i="31" s="1"/>
  <c r="F247" i="31" s="1"/>
  <c r="F248" i="31" s="1"/>
  <c r="F249" i="31" s="1"/>
  <c r="F250" i="31" s="1"/>
  <c r="F251" i="31" s="1"/>
  <c r="F252" i="31" s="1"/>
  <c r="F253" i="31" s="1"/>
  <c r="F254" i="31" s="1"/>
  <c r="F255" i="31" s="1"/>
  <c r="F256" i="31" s="1"/>
  <c r="F257" i="31" s="1"/>
  <c r="F258" i="31" s="1"/>
  <c r="G244" i="31"/>
  <c r="G245" i="31" s="1"/>
  <c r="G246" i="31" s="1"/>
  <c r="G247" i="31" s="1"/>
  <c r="G248" i="31" s="1"/>
  <c r="G249" i="31" s="1"/>
  <c r="G250" i="31" s="1"/>
  <c r="G251" i="31" s="1"/>
  <c r="G252" i="31" s="1"/>
  <c r="G253" i="31" s="1"/>
  <c r="G254" i="31" s="1"/>
  <c r="G255" i="31" s="1"/>
  <c r="G256" i="31" s="1"/>
  <c r="G257" i="31" s="1"/>
  <c r="G258" i="31" s="1"/>
  <c r="H244" i="31"/>
  <c r="H245" i="31" s="1"/>
  <c r="H246" i="31" s="1"/>
  <c r="H247" i="31" s="1"/>
  <c r="H248" i="31" s="1"/>
  <c r="H249" i="31" s="1"/>
  <c r="H250" i="31" s="1"/>
  <c r="I244" i="31"/>
  <c r="I245" i="31" s="1"/>
  <c r="I246" i="31" s="1"/>
  <c r="N244" i="31"/>
  <c r="O244" i="31" s="1"/>
  <c r="N245" i="31"/>
  <c r="O245" i="31" s="1"/>
  <c r="N246" i="31"/>
  <c r="O246" i="31" s="1"/>
  <c r="N247" i="31"/>
  <c r="O247" i="31" s="1"/>
  <c r="I248" i="31"/>
  <c r="I249" i="31" s="1"/>
  <c r="I250" i="31" s="1"/>
  <c r="N248" i="31"/>
  <c r="O248" i="31" s="1"/>
  <c r="N249" i="31"/>
  <c r="O249" i="31" s="1"/>
  <c r="N250" i="31"/>
  <c r="O250" i="31" s="1"/>
  <c r="N251" i="31"/>
  <c r="O251" i="31" s="1"/>
  <c r="H252" i="31"/>
  <c r="H253" i="31" s="1"/>
  <c r="H254" i="31" s="1"/>
  <c r="H255" i="31" s="1"/>
  <c r="H256" i="31" s="1"/>
  <c r="H257" i="31" s="1"/>
  <c r="H258" i="31" s="1"/>
  <c r="I252" i="31"/>
  <c r="I253" i="31" s="1"/>
  <c r="I254" i="31" s="1"/>
  <c r="N252" i="31"/>
  <c r="O252" i="31" s="1"/>
  <c r="N253" i="31"/>
  <c r="O253" i="31" s="1"/>
  <c r="N254" i="31"/>
  <c r="O254" i="31" s="1"/>
  <c r="N255" i="31"/>
  <c r="O255" i="31" s="1"/>
  <c r="I256" i="31"/>
  <c r="N256" i="31"/>
  <c r="O256" i="31" s="1"/>
  <c r="I257" i="31"/>
  <c r="I258" i="31" s="1"/>
  <c r="N257" i="31"/>
  <c r="O257" i="31" s="1"/>
  <c r="N258" i="31"/>
  <c r="O258" i="31" s="1"/>
  <c r="N259" i="31"/>
  <c r="O259" i="31" s="1"/>
  <c r="F260" i="31"/>
  <c r="F261" i="31" s="1"/>
  <c r="F262" i="31" s="1"/>
  <c r="F263" i="31" s="1"/>
  <c r="F264" i="31" s="1"/>
  <c r="F265" i="31" s="1"/>
  <c r="F266" i="31" s="1"/>
  <c r="F267" i="31" s="1"/>
  <c r="F268" i="31" s="1"/>
  <c r="F269" i="31" s="1"/>
  <c r="F270" i="31" s="1"/>
  <c r="F271" i="31" s="1"/>
  <c r="F272" i="31" s="1"/>
  <c r="F273" i="31" s="1"/>
  <c r="F274" i="31" s="1"/>
  <c r="H260" i="31"/>
  <c r="H261" i="31" s="1"/>
  <c r="H262" i="31" s="1"/>
  <c r="H263" i="31" s="1"/>
  <c r="H264" i="31" s="1"/>
  <c r="H265" i="31" s="1"/>
  <c r="H266" i="31" s="1"/>
  <c r="I260" i="31"/>
  <c r="I261" i="31" s="1"/>
  <c r="I262" i="31" s="1"/>
  <c r="N260" i="31"/>
  <c r="O260" i="31" s="1"/>
  <c r="N261" i="31"/>
  <c r="O261" i="31" s="1"/>
  <c r="N262" i="31"/>
  <c r="O262" i="31" s="1"/>
  <c r="N263" i="31"/>
  <c r="O263" i="31" s="1"/>
  <c r="I264" i="31"/>
  <c r="I265" i="31" s="1"/>
  <c r="I266" i="31" s="1"/>
  <c r="N264" i="31"/>
  <c r="O264" i="31" s="1"/>
  <c r="N265" i="31"/>
  <c r="O265" i="31" s="1"/>
  <c r="N266" i="31"/>
  <c r="O266" i="31" s="1"/>
  <c r="N267" i="31"/>
  <c r="O267" i="31" s="1"/>
  <c r="H268" i="31"/>
  <c r="H269" i="31" s="1"/>
  <c r="H270" i="31" s="1"/>
  <c r="H271" i="31" s="1"/>
  <c r="H272" i="31" s="1"/>
  <c r="H273" i="31" s="1"/>
  <c r="H274" i="31" s="1"/>
  <c r="I268" i="31"/>
  <c r="I269" i="31" s="1"/>
  <c r="I270" i="31" s="1"/>
  <c r="N268" i="31"/>
  <c r="O268" i="31" s="1"/>
  <c r="N269" i="31"/>
  <c r="O269" i="31" s="1"/>
  <c r="N270" i="31"/>
  <c r="O270" i="31" s="1"/>
  <c r="N271" i="31"/>
  <c r="O271" i="31" s="1"/>
  <c r="I272" i="31"/>
  <c r="I273" i="31" s="1"/>
  <c r="I274" i="31" s="1"/>
  <c r="N272" i="31"/>
  <c r="O272" i="31" s="1"/>
  <c r="N273" i="31"/>
  <c r="O273" i="31" s="1"/>
  <c r="N274" i="31"/>
  <c r="O274" i="31" s="1"/>
  <c r="N275" i="31"/>
  <c r="O275" i="31" s="1"/>
  <c r="F276" i="31"/>
  <c r="F277" i="31" s="1"/>
  <c r="F278" i="31" s="1"/>
  <c r="F279" i="31" s="1"/>
  <c r="F280" i="31" s="1"/>
  <c r="F281" i="31" s="1"/>
  <c r="F282" i="31" s="1"/>
  <c r="F283" i="31" s="1"/>
  <c r="F284" i="31" s="1"/>
  <c r="F285" i="31" s="1"/>
  <c r="F286" i="31" s="1"/>
  <c r="F287" i="31" s="1"/>
  <c r="F288" i="31" s="1"/>
  <c r="F289" i="31" s="1"/>
  <c r="F290" i="31" s="1"/>
  <c r="H276" i="31"/>
  <c r="H277" i="31" s="1"/>
  <c r="H278" i="31" s="1"/>
  <c r="H279" i="31" s="1"/>
  <c r="H280" i="31" s="1"/>
  <c r="H281" i="31" s="1"/>
  <c r="H282" i="31" s="1"/>
  <c r="I276" i="31"/>
  <c r="I277" i="31" s="1"/>
  <c r="I278" i="31" s="1"/>
  <c r="N276" i="31"/>
  <c r="O276" i="31" s="1"/>
  <c r="N277" i="31"/>
  <c r="O277" i="31" s="1"/>
  <c r="N278" i="31"/>
  <c r="O278" i="31" s="1"/>
  <c r="N279" i="31"/>
  <c r="O279" i="31" s="1"/>
  <c r="I280" i="31"/>
  <c r="I281" i="31" s="1"/>
  <c r="I282" i="31" s="1"/>
  <c r="N280" i="31"/>
  <c r="O280" i="31" s="1"/>
  <c r="N281" i="31"/>
  <c r="O281" i="31" s="1"/>
  <c r="N282" i="31"/>
  <c r="O282" i="31" s="1"/>
  <c r="N283" i="31"/>
  <c r="O283" i="31" s="1"/>
  <c r="H284" i="31"/>
  <c r="H285" i="31" s="1"/>
  <c r="H286" i="31" s="1"/>
  <c r="H287" i="31" s="1"/>
  <c r="H288" i="31" s="1"/>
  <c r="H289" i="31" s="1"/>
  <c r="H290" i="31" s="1"/>
  <c r="I284" i="31"/>
  <c r="I285" i="31" s="1"/>
  <c r="I286" i="31" s="1"/>
  <c r="N284" i="31"/>
  <c r="O284" i="31" s="1"/>
  <c r="N285" i="31"/>
  <c r="O285" i="31" s="1"/>
  <c r="N286" i="31"/>
  <c r="O286" i="31" s="1"/>
  <c r="N287" i="31"/>
  <c r="O287" i="31" s="1"/>
  <c r="I288" i="31"/>
  <c r="I289" i="31" s="1"/>
  <c r="I290" i="31" s="1"/>
  <c r="N288" i="31"/>
  <c r="O288" i="31" s="1"/>
  <c r="N289" i="31"/>
  <c r="O289" i="31" s="1"/>
  <c r="N290" i="31"/>
  <c r="O290" i="31" s="1"/>
  <c r="I288" i="42"/>
  <c r="I289" i="42" s="1"/>
  <c r="I290" i="42" s="1"/>
  <c r="I284" i="42"/>
  <c r="I285" i="42" s="1"/>
  <c r="I286" i="42" s="1"/>
  <c r="H284" i="42"/>
  <c r="H285" i="42" s="1"/>
  <c r="H286" i="42" s="1"/>
  <c r="H287" i="42" s="1"/>
  <c r="H288" i="42" s="1"/>
  <c r="H289" i="42" s="1"/>
  <c r="H290" i="42" s="1"/>
  <c r="I280" i="42"/>
  <c r="I281" i="42" s="1"/>
  <c r="I282" i="42" s="1"/>
  <c r="I276" i="42"/>
  <c r="I277" i="42" s="1"/>
  <c r="I278" i="42" s="1"/>
  <c r="H276" i="42"/>
  <c r="H277" i="42" s="1"/>
  <c r="H278" i="42" s="1"/>
  <c r="H279" i="42" s="1"/>
  <c r="H280" i="42" s="1"/>
  <c r="H281" i="42" s="1"/>
  <c r="H282" i="42" s="1"/>
  <c r="G276" i="42"/>
  <c r="G277" i="42" s="1"/>
  <c r="G278" i="42" s="1"/>
  <c r="G279" i="42" s="1"/>
  <c r="G280" i="42" s="1"/>
  <c r="G281" i="42" s="1"/>
  <c r="G282" i="42" s="1"/>
  <c r="G283" i="42" s="1"/>
  <c r="G284" i="42" s="1"/>
  <c r="G285" i="42" s="1"/>
  <c r="G286" i="42" s="1"/>
  <c r="G287" i="42" s="1"/>
  <c r="G288" i="42" s="1"/>
  <c r="G289" i="42" s="1"/>
  <c r="G290" i="42" s="1"/>
  <c r="F276" i="42"/>
  <c r="F277" i="42" s="1"/>
  <c r="F278" i="42" s="1"/>
  <c r="F279" i="42" s="1"/>
  <c r="F280" i="42" s="1"/>
  <c r="F281" i="42" s="1"/>
  <c r="F282" i="42" s="1"/>
  <c r="F283" i="42" s="1"/>
  <c r="F284" i="42" s="1"/>
  <c r="F285" i="42" s="1"/>
  <c r="F286" i="42" s="1"/>
  <c r="F287" i="42" s="1"/>
  <c r="F288" i="42" s="1"/>
  <c r="F289" i="42" s="1"/>
  <c r="F290" i="42" s="1"/>
  <c r="I272" i="42"/>
  <c r="I273" i="42" s="1"/>
  <c r="I274" i="42" s="1"/>
  <c r="I268" i="42"/>
  <c r="I269" i="42" s="1"/>
  <c r="I270" i="42" s="1"/>
  <c r="H269" i="42"/>
  <c r="I264" i="42"/>
  <c r="I265" i="42" s="1"/>
  <c r="I266" i="42" s="1"/>
  <c r="I260" i="42"/>
  <c r="I261" i="42" s="1"/>
  <c r="I262" i="42" s="1"/>
  <c r="H260" i="42"/>
  <c r="H261" i="42" s="1"/>
  <c r="H262" i="42" s="1"/>
  <c r="H263" i="42" s="1"/>
  <c r="H264" i="42" s="1"/>
  <c r="H265" i="42" s="1"/>
  <c r="H266" i="42" s="1"/>
  <c r="G260" i="42"/>
  <c r="G261" i="42" s="1"/>
  <c r="G262" i="42" s="1"/>
  <c r="G263" i="42" s="1"/>
  <c r="G264" i="42" s="1"/>
  <c r="G265" i="42" s="1"/>
  <c r="G266" i="42" s="1"/>
  <c r="G267" i="42" s="1"/>
  <c r="G268" i="42" s="1"/>
  <c r="G269" i="42" s="1"/>
  <c r="G270" i="42" s="1"/>
  <c r="G271" i="42" s="1"/>
  <c r="G272" i="42" s="1"/>
  <c r="G273" i="42" s="1"/>
  <c r="G274" i="42" s="1"/>
  <c r="F260" i="42"/>
  <c r="F261" i="42" s="1"/>
  <c r="F262" i="42" s="1"/>
  <c r="F263" i="42" s="1"/>
  <c r="F264" i="42" s="1"/>
  <c r="F265" i="42" s="1"/>
  <c r="F266" i="42" s="1"/>
  <c r="F267" i="42" s="1"/>
  <c r="F268" i="42" s="1"/>
  <c r="F269" i="42" s="1"/>
  <c r="F270" i="42" s="1"/>
  <c r="F271" i="42" s="1"/>
  <c r="F272" i="42" s="1"/>
  <c r="F273" i="42" s="1"/>
  <c r="F274" i="42" s="1"/>
  <c r="I256" i="42"/>
  <c r="I257" i="42" s="1"/>
  <c r="I258" i="42" s="1"/>
  <c r="I252" i="42"/>
  <c r="I253" i="42" s="1"/>
  <c r="I254" i="42" s="1"/>
  <c r="H252" i="42"/>
  <c r="H253" i="42" s="1"/>
  <c r="H254" i="42" s="1"/>
  <c r="H255" i="42" s="1"/>
  <c r="H256" i="42" s="1"/>
  <c r="H257" i="42" s="1"/>
  <c r="H258" i="42" s="1"/>
  <c r="I248" i="42"/>
  <c r="I249" i="42" s="1"/>
  <c r="I250" i="42" s="1"/>
  <c r="I244" i="42"/>
  <c r="I245" i="42" s="1"/>
  <c r="I246" i="42" s="1"/>
  <c r="H244" i="42"/>
  <c r="H245" i="42" s="1"/>
  <c r="H246" i="42" s="1"/>
  <c r="H247" i="42" s="1"/>
  <c r="H248" i="42" s="1"/>
  <c r="H249" i="42" s="1"/>
  <c r="H250" i="42" s="1"/>
  <c r="G244" i="42"/>
  <c r="G245" i="42" s="1"/>
  <c r="G246" i="42" s="1"/>
  <c r="G247" i="42" s="1"/>
  <c r="G248" i="42" s="1"/>
  <c r="G249" i="42" s="1"/>
  <c r="G250" i="42" s="1"/>
  <c r="G251" i="42" s="1"/>
  <c r="G252" i="42" s="1"/>
  <c r="G253" i="42" s="1"/>
  <c r="G254" i="42" s="1"/>
  <c r="G255" i="42" s="1"/>
  <c r="G256" i="42" s="1"/>
  <c r="G257" i="42" s="1"/>
  <c r="G258" i="42" s="1"/>
  <c r="F244" i="42"/>
  <c r="F245" i="42" s="1"/>
  <c r="F246" i="42" s="1"/>
  <c r="F247" i="42" s="1"/>
  <c r="F248" i="42" s="1"/>
  <c r="F249" i="42" s="1"/>
  <c r="F250" i="42" s="1"/>
  <c r="F251" i="42" s="1"/>
  <c r="F252" i="42" s="1"/>
  <c r="F253" i="42" s="1"/>
  <c r="F254" i="42" s="1"/>
  <c r="F255" i="42" s="1"/>
  <c r="F256" i="42" s="1"/>
  <c r="F257" i="42" s="1"/>
  <c r="F258" i="42" s="1"/>
  <c r="I240" i="42"/>
  <c r="I241" i="42" s="1"/>
  <c r="I242" i="42" s="1"/>
  <c r="I236" i="42"/>
  <c r="I237" i="42" s="1"/>
  <c r="I238" i="42" s="1"/>
  <c r="H236" i="42"/>
  <c r="H237" i="42" s="1"/>
  <c r="H238" i="42" s="1"/>
  <c r="H239" i="42" s="1"/>
  <c r="H240" i="42" s="1"/>
  <c r="H241" i="42" s="1"/>
  <c r="H242" i="42" s="1"/>
  <c r="I232" i="42"/>
  <c r="I233" i="42" s="1"/>
  <c r="I234" i="42" s="1"/>
  <c r="I228" i="42"/>
  <c r="I229" i="42" s="1"/>
  <c r="I230" i="42" s="1"/>
  <c r="H228" i="42"/>
  <c r="H229" i="42" s="1"/>
  <c r="H230" i="42" s="1"/>
  <c r="H231" i="42" s="1"/>
  <c r="H232" i="42" s="1"/>
  <c r="H233" i="42" s="1"/>
  <c r="H234" i="42" s="1"/>
  <c r="G228" i="42"/>
  <c r="G229" i="42" s="1"/>
  <c r="G230" i="42" s="1"/>
  <c r="G231" i="42" s="1"/>
  <c r="G232" i="42" s="1"/>
  <c r="G233" i="42" s="1"/>
  <c r="G234" i="42" s="1"/>
  <c r="G235" i="42" s="1"/>
  <c r="G236" i="42" s="1"/>
  <c r="G237" i="42" s="1"/>
  <c r="G238" i="42" s="1"/>
  <c r="G239" i="42" s="1"/>
  <c r="G240" i="42" s="1"/>
  <c r="G241" i="42" s="1"/>
  <c r="G242" i="42" s="1"/>
  <c r="F228" i="42"/>
  <c r="F229" i="42" s="1"/>
  <c r="F230" i="42" s="1"/>
  <c r="F231" i="42" s="1"/>
  <c r="F232" i="42" s="1"/>
  <c r="F233" i="42" s="1"/>
  <c r="F234" i="42" s="1"/>
  <c r="F235" i="42" s="1"/>
  <c r="F236" i="42" s="1"/>
  <c r="F237" i="42" s="1"/>
  <c r="F238" i="42" s="1"/>
  <c r="F239" i="42" s="1"/>
  <c r="F240" i="42" s="1"/>
  <c r="F241" i="42" s="1"/>
  <c r="F242" i="42" s="1"/>
  <c r="I224" i="42"/>
  <c r="I225" i="42" s="1"/>
  <c r="I226" i="42" s="1"/>
  <c r="I220" i="42"/>
  <c r="I221" i="42" s="1"/>
  <c r="I222" i="42" s="1"/>
  <c r="H220" i="42"/>
  <c r="H221" i="42" s="1"/>
  <c r="H222" i="42" s="1"/>
  <c r="H223" i="42" s="1"/>
  <c r="H224" i="42" s="1"/>
  <c r="H225" i="42" s="1"/>
  <c r="H226" i="42" s="1"/>
  <c r="I216" i="42"/>
  <c r="I217" i="42" s="1"/>
  <c r="I218" i="42" s="1"/>
  <c r="I212" i="42"/>
  <c r="I213" i="42" s="1"/>
  <c r="I214" i="42" s="1"/>
  <c r="H212" i="42"/>
  <c r="H213" i="42" s="1"/>
  <c r="H214" i="42" s="1"/>
  <c r="H215" i="42" s="1"/>
  <c r="H216" i="42" s="1"/>
  <c r="H217" i="42" s="1"/>
  <c r="H218" i="42" s="1"/>
  <c r="G212" i="42"/>
  <c r="G213" i="42" s="1"/>
  <c r="G214" i="42" s="1"/>
  <c r="G215" i="42" s="1"/>
  <c r="G216" i="42" s="1"/>
  <c r="G217" i="42" s="1"/>
  <c r="G218" i="42" s="1"/>
  <c r="G219" i="42" s="1"/>
  <c r="G220" i="42" s="1"/>
  <c r="G221" i="42" s="1"/>
  <c r="G222" i="42" s="1"/>
  <c r="G223" i="42" s="1"/>
  <c r="G224" i="42" s="1"/>
  <c r="G225" i="42" s="1"/>
  <c r="G226" i="42" s="1"/>
  <c r="F212" i="42"/>
  <c r="F213" i="42" s="1"/>
  <c r="F214" i="42" s="1"/>
  <c r="F215" i="42" s="1"/>
  <c r="F216" i="42" s="1"/>
  <c r="F217" i="42" s="1"/>
  <c r="F218" i="42" s="1"/>
  <c r="F219" i="42" s="1"/>
  <c r="F220" i="42" s="1"/>
  <c r="F221" i="42" s="1"/>
  <c r="F222" i="42" s="1"/>
  <c r="F223" i="42" s="1"/>
  <c r="F224" i="42" s="1"/>
  <c r="F225" i="42" s="1"/>
  <c r="F226" i="42" s="1"/>
  <c r="I208" i="42"/>
  <c r="I209" i="42" s="1"/>
  <c r="I210" i="42" s="1"/>
  <c r="I204" i="42"/>
  <c r="I205" i="42" s="1"/>
  <c r="I206" i="42" s="1"/>
  <c r="H204" i="42"/>
  <c r="H205" i="42" s="1"/>
  <c r="H206" i="42" s="1"/>
  <c r="H207" i="42" s="1"/>
  <c r="H208" i="42" s="1"/>
  <c r="H209" i="42" s="1"/>
  <c r="H210" i="42" s="1"/>
  <c r="I200" i="42"/>
  <c r="I201" i="42" s="1"/>
  <c r="I202" i="42" s="1"/>
  <c r="I196" i="42"/>
  <c r="I197" i="42" s="1"/>
  <c r="I198" i="42" s="1"/>
  <c r="H196" i="42"/>
  <c r="H197" i="42" s="1"/>
  <c r="H198" i="42" s="1"/>
  <c r="H199" i="42" s="1"/>
  <c r="H200" i="42" s="1"/>
  <c r="H201" i="42" s="1"/>
  <c r="H202" i="42" s="1"/>
  <c r="G196" i="42"/>
  <c r="G197" i="42" s="1"/>
  <c r="G198" i="42" s="1"/>
  <c r="G199" i="42" s="1"/>
  <c r="G200" i="42" s="1"/>
  <c r="G201" i="42" s="1"/>
  <c r="G202" i="42" s="1"/>
  <c r="G203" i="42" s="1"/>
  <c r="G204" i="42" s="1"/>
  <c r="G205" i="42" s="1"/>
  <c r="G206" i="42" s="1"/>
  <c r="G207" i="42" s="1"/>
  <c r="G208" i="42" s="1"/>
  <c r="G209" i="42" s="1"/>
  <c r="G210" i="42" s="1"/>
  <c r="F196" i="42"/>
  <c r="F197" i="42" s="1"/>
  <c r="F198" i="42" s="1"/>
  <c r="F199" i="42" s="1"/>
  <c r="F200" i="42" s="1"/>
  <c r="F201" i="42" s="1"/>
  <c r="F202" i="42" s="1"/>
  <c r="F203" i="42" s="1"/>
  <c r="F204" i="42" s="1"/>
  <c r="F205" i="42" s="1"/>
  <c r="F206" i="42" s="1"/>
  <c r="F207" i="42" s="1"/>
  <c r="F208" i="42" s="1"/>
  <c r="F209" i="42" s="1"/>
  <c r="F210" i="42" s="1"/>
  <c r="N291" i="30"/>
  <c r="F292" i="30"/>
  <c r="F293" i="30" s="1"/>
  <c r="F294" i="30" s="1"/>
  <c r="F295" i="30" s="1"/>
  <c r="F296" i="30" s="1"/>
  <c r="F297" i="30" s="1"/>
  <c r="F298" i="30" s="1"/>
  <c r="F299" i="30" s="1"/>
  <c r="F300" i="30" s="1"/>
  <c r="F301" i="30" s="1"/>
  <c r="F302" i="30" s="1"/>
  <c r="F303" i="30" s="1"/>
  <c r="F304" i="30" s="1"/>
  <c r="F305" i="30" s="1"/>
  <c r="F306" i="30" s="1"/>
  <c r="G292" i="30"/>
  <c r="G293" i="30" s="1"/>
  <c r="G294" i="30" s="1"/>
  <c r="G295" i="30" s="1"/>
  <c r="G296" i="30" s="1"/>
  <c r="G297" i="30" s="1"/>
  <c r="G298" i="30" s="1"/>
  <c r="G299" i="30" s="1"/>
  <c r="G300" i="30" s="1"/>
  <c r="G301" i="30" s="1"/>
  <c r="G302" i="30" s="1"/>
  <c r="G303" i="30" s="1"/>
  <c r="G304" i="30" s="1"/>
  <c r="G305" i="30" s="1"/>
  <c r="G306" i="30" s="1"/>
  <c r="H292" i="30"/>
  <c r="H293" i="30" s="1"/>
  <c r="H294" i="30" s="1"/>
  <c r="H295" i="30" s="1"/>
  <c r="H296" i="30" s="1"/>
  <c r="H297" i="30" s="1"/>
  <c r="H298" i="30" s="1"/>
  <c r="I292" i="30"/>
  <c r="N292" i="30"/>
  <c r="I293" i="30"/>
  <c r="I294" i="30" s="1"/>
  <c r="N293" i="30"/>
  <c r="N294" i="30"/>
  <c r="N295" i="30"/>
  <c r="I296" i="30"/>
  <c r="I297" i="30" s="1"/>
  <c r="I298" i="30" s="1"/>
  <c r="N296" i="30"/>
  <c r="N297" i="30"/>
  <c r="N298" i="30"/>
  <c r="N299" i="30"/>
  <c r="H300" i="30"/>
  <c r="H301" i="30" s="1"/>
  <c r="H302" i="30" s="1"/>
  <c r="H303" i="30" s="1"/>
  <c r="H304" i="30" s="1"/>
  <c r="H305" i="30" s="1"/>
  <c r="H306" i="30" s="1"/>
  <c r="I300" i="30"/>
  <c r="I301" i="30" s="1"/>
  <c r="I302" i="30" s="1"/>
  <c r="N300" i="30"/>
  <c r="N301" i="30"/>
  <c r="N302" i="30"/>
  <c r="N303" i="30"/>
  <c r="I304" i="30"/>
  <c r="I305" i="30" s="1"/>
  <c r="I306" i="30" s="1"/>
  <c r="N304" i="30"/>
  <c r="N305" i="30"/>
  <c r="N306" i="30"/>
  <c r="N307" i="30"/>
  <c r="F308" i="30"/>
  <c r="F309" i="30" s="1"/>
  <c r="F310" i="30" s="1"/>
  <c r="F311" i="30" s="1"/>
  <c r="F312" i="30" s="1"/>
  <c r="F313" i="30" s="1"/>
  <c r="F314" i="30" s="1"/>
  <c r="F315" i="30" s="1"/>
  <c r="F316" i="30" s="1"/>
  <c r="F317" i="30" s="1"/>
  <c r="F318" i="30" s="1"/>
  <c r="F319" i="30" s="1"/>
  <c r="F320" i="30" s="1"/>
  <c r="F321" i="30" s="1"/>
  <c r="F322" i="30" s="1"/>
  <c r="G308" i="30"/>
  <c r="G309" i="30" s="1"/>
  <c r="G310" i="30" s="1"/>
  <c r="G311" i="30" s="1"/>
  <c r="G312" i="30" s="1"/>
  <c r="G313" i="30" s="1"/>
  <c r="G314" i="30" s="1"/>
  <c r="G315" i="30" s="1"/>
  <c r="G316" i="30" s="1"/>
  <c r="G317" i="30" s="1"/>
  <c r="G318" i="30" s="1"/>
  <c r="G319" i="30" s="1"/>
  <c r="G320" i="30" s="1"/>
  <c r="G321" i="30" s="1"/>
  <c r="G322" i="30" s="1"/>
  <c r="H308" i="30"/>
  <c r="H309" i="30" s="1"/>
  <c r="H310" i="30" s="1"/>
  <c r="H311" i="30" s="1"/>
  <c r="H312" i="30" s="1"/>
  <c r="H313" i="30" s="1"/>
  <c r="H314" i="30" s="1"/>
  <c r="I308" i="30"/>
  <c r="I309" i="30" s="1"/>
  <c r="I310" i="30" s="1"/>
  <c r="N308" i="30"/>
  <c r="N309" i="30"/>
  <c r="N310" i="30"/>
  <c r="N311" i="30"/>
  <c r="I312" i="30"/>
  <c r="N312" i="30"/>
  <c r="I313" i="30"/>
  <c r="I314" i="30" s="1"/>
  <c r="N313" i="30"/>
  <c r="N314" i="30"/>
  <c r="N315" i="30"/>
  <c r="H316" i="30"/>
  <c r="I316" i="30"/>
  <c r="I317" i="30" s="1"/>
  <c r="I318" i="30" s="1"/>
  <c r="N316" i="30"/>
  <c r="H317" i="30"/>
  <c r="H318" i="30" s="1"/>
  <c r="H319" i="30" s="1"/>
  <c r="H320" i="30" s="1"/>
  <c r="H321" i="30" s="1"/>
  <c r="H322" i="30" s="1"/>
  <c r="N317" i="30"/>
  <c r="N318" i="30"/>
  <c r="N319" i="30"/>
  <c r="I320" i="30"/>
  <c r="I321" i="30" s="1"/>
  <c r="I322" i="30" s="1"/>
  <c r="N320" i="30"/>
  <c r="N321" i="30"/>
  <c r="N322" i="30"/>
  <c r="N323" i="30"/>
  <c r="F324" i="30"/>
  <c r="F325" i="30" s="1"/>
  <c r="F326" i="30" s="1"/>
  <c r="F327" i="30" s="1"/>
  <c r="F328" i="30" s="1"/>
  <c r="F329" i="30" s="1"/>
  <c r="F330" i="30" s="1"/>
  <c r="F331" i="30" s="1"/>
  <c r="F332" i="30" s="1"/>
  <c r="F333" i="30" s="1"/>
  <c r="F334" i="30" s="1"/>
  <c r="F335" i="30" s="1"/>
  <c r="F336" i="30" s="1"/>
  <c r="F337" i="30" s="1"/>
  <c r="F338" i="30" s="1"/>
  <c r="G324" i="30"/>
  <c r="G325" i="30" s="1"/>
  <c r="G326" i="30" s="1"/>
  <c r="G327" i="30" s="1"/>
  <c r="G328" i="30" s="1"/>
  <c r="G329" i="30" s="1"/>
  <c r="G330" i="30" s="1"/>
  <c r="G331" i="30" s="1"/>
  <c r="G332" i="30" s="1"/>
  <c r="G333" i="30" s="1"/>
  <c r="G334" i="30" s="1"/>
  <c r="G335" i="30" s="1"/>
  <c r="G336" i="30" s="1"/>
  <c r="G337" i="30" s="1"/>
  <c r="G338" i="30" s="1"/>
  <c r="H324" i="30"/>
  <c r="H325" i="30" s="1"/>
  <c r="H326" i="30" s="1"/>
  <c r="H327" i="30" s="1"/>
  <c r="H328" i="30" s="1"/>
  <c r="H329" i="30" s="1"/>
  <c r="H330" i="30" s="1"/>
  <c r="I324" i="30"/>
  <c r="I325" i="30" s="1"/>
  <c r="I326" i="30" s="1"/>
  <c r="N324" i="30"/>
  <c r="N325" i="30"/>
  <c r="N326" i="30"/>
  <c r="N327" i="30"/>
  <c r="I328" i="30"/>
  <c r="I329" i="30" s="1"/>
  <c r="I330" i="30" s="1"/>
  <c r="N328" i="30"/>
  <c r="N329" i="30"/>
  <c r="N330" i="30"/>
  <c r="N331" i="30"/>
  <c r="H332" i="30"/>
  <c r="H333" i="30" s="1"/>
  <c r="H334" i="30" s="1"/>
  <c r="H335" i="30" s="1"/>
  <c r="H336" i="30" s="1"/>
  <c r="H337" i="30" s="1"/>
  <c r="H338" i="30" s="1"/>
  <c r="I332" i="30"/>
  <c r="I333" i="30" s="1"/>
  <c r="I334" i="30" s="1"/>
  <c r="N332" i="30"/>
  <c r="N333" i="30"/>
  <c r="N334" i="30"/>
  <c r="N335" i="30"/>
  <c r="I336" i="30"/>
  <c r="I337" i="30" s="1"/>
  <c r="I338" i="30" s="1"/>
  <c r="N336" i="30"/>
  <c r="N337" i="30"/>
  <c r="N338" i="30"/>
  <c r="N339" i="30"/>
  <c r="F340" i="30"/>
  <c r="F341" i="30" s="1"/>
  <c r="F342" i="30" s="1"/>
  <c r="F343" i="30" s="1"/>
  <c r="F344" i="30" s="1"/>
  <c r="F345" i="30" s="1"/>
  <c r="F346" i="30" s="1"/>
  <c r="F347" i="30" s="1"/>
  <c r="F348" i="30" s="1"/>
  <c r="F349" i="30" s="1"/>
  <c r="F350" i="30" s="1"/>
  <c r="F351" i="30" s="1"/>
  <c r="F352" i="30" s="1"/>
  <c r="F353" i="30" s="1"/>
  <c r="F354" i="30" s="1"/>
  <c r="G340" i="30"/>
  <c r="G341" i="30" s="1"/>
  <c r="G342" i="30" s="1"/>
  <c r="G343" i="30" s="1"/>
  <c r="G344" i="30" s="1"/>
  <c r="G345" i="30" s="1"/>
  <c r="G346" i="30" s="1"/>
  <c r="G347" i="30" s="1"/>
  <c r="G348" i="30" s="1"/>
  <c r="G349" i="30" s="1"/>
  <c r="G350" i="30" s="1"/>
  <c r="G351" i="30" s="1"/>
  <c r="G352" i="30" s="1"/>
  <c r="G353" i="30" s="1"/>
  <c r="G354" i="30" s="1"/>
  <c r="H340" i="30"/>
  <c r="I340" i="30"/>
  <c r="N340" i="30"/>
  <c r="H341" i="30"/>
  <c r="H342" i="30" s="1"/>
  <c r="H343" i="30" s="1"/>
  <c r="H344" i="30" s="1"/>
  <c r="H345" i="30" s="1"/>
  <c r="H346" i="30" s="1"/>
  <c r="I341" i="30"/>
  <c r="I342" i="30" s="1"/>
  <c r="N341" i="30"/>
  <c r="N342" i="30"/>
  <c r="N343" i="30"/>
  <c r="I344" i="30"/>
  <c r="N344" i="30"/>
  <c r="I345" i="30"/>
  <c r="I346" i="30" s="1"/>
  <c r="N345" i="30"/>
  <c r="N346" i="30"/>
  <c r="N347" i="30"/>
  <c r="H348" i="30"/>
  <c r="H349" i="30" s="1"/>
  <c r="H350" i="30" s="1"/>
  <c r="H351" i="30" s="1"/>
  <c r="H352" i="30" s="1"/>
  <c r="H353" i="30" s="1"/>
  <c r="H354" i="30" s="1"/>
  <c r="I348" i="30"/>
  <c r="I349" i="30" s="1"/>
  <c r="I350" i="30" s="1"/>
  <c r="N348" i="30"/>
  <c r="N349" i="30"/>
  <c r="N350" i="30"/>
  <c r="N351" i="30"/>
  <c r="I352" i="30"/>
  <c r="I353" i="30" s="1"/>
  <c r="I354" i="30" s="1"/>
  <c r="N352" i="30"/>
  <c r="N353" i="30"/>
  <c r="N354" i="30"/>
  <c r="N355" i="30"/>
  <c r="F356" i="30"/>
  <c r="F357" i="30" s="1"/>
  <c r="F358" i="30" s="1"/>
  <c r="F359" i="30" s="1"/>
  <c r="F360" i="30" s="1"/>
  <c r="F361" i="30" s="1"/>
  <c r="F362" i="30" s="1"/>
  <c r="F363" i="30" s="1"/>
  <c r="F364" i="30" s="1"/>
  <c r="F365" i="30" s="1"/>
  <c r="F366" i="30" s="1"/>
  <c r="F367" i="30" s="1"/>
  <c r="F368" i="30" s="1"/>
  <c r="F369" i="30" s="1"/>
  <c r="F370" i="30" s="1"/>
  <c r="G356" i="30"/>
  <c r="G357" i="30" s="1"/>
  <c r="G358" i="30" s="1"/>
  <c r="G359" i="30" s="1"/>
  <c r="G360" i="30" s="1"/>
  <c r="G361" i="30" s="1"/>
  <c r="G362" i="30" s="1"/>
  <c r="G363" i="30" s="1"/>
  <c r="G364" i="30" s="1"/>
  <c r="G365" i="30" s="1"/>
  <c r="G366" i="30" s="1"/>
  <c r="G367" i="30" s="1"/>
  <c r="G368" i="30" s="1"/>
  <c r="G369" i="30" s="1"/>
  <c r="G370" i="30" s="1"/>
  <c r="H356" i="30"/>
  <c r="H357" i="30" s="1"/>
  <c r="H358" i="30" s="1"/>
  <c r="H359" i="30" s="1"/>
  <c r="H360" i="30" s="1"/>
  <c r="H361" i="30" s="1"/>
  <c r="H362" i="30" s="1"/>
  <c r="I356" i="30"/>
  <c r="I357" i="30" s="1"/>
  <c r="I358" i="30" s="1"/>
  <c r="N356" i="30"/>
  <c r="N357" i="30"/>
  <c r="N358" i="30"/>
  <c r="N359" i="30"/>
  <c r="I360" i="30"/>
  <c r="N360" i="30"/>
  <c r="I361" i="30"/>
  <c r="I362" i="30" s="1"/>
  <c r="N361" i="30"/>
  <c r="N362" i="30"/>
  <c r="N363" i="30"/>
  <c r="H364" i="30"/>
  <c r="H365" i="30" s="1"/>
  <c r="H366" i="30" s="1"/>
  <c r="H367" i="30" s="1"/>
  <c r="H368" i="30" s="1"/>
  <c r="H369" i="30" s="1"/>
  <c r="H370" i="30" s="1"/>
  <c r="I364" i="30"/>
  <c r="I365" i="30" s="1"/>
  <c r="I366" i="30" s="1"/>
  <c r="N364" i="30"/>
  <c r="N365" i="30"/>
  <c r="N366" i="30"/>
  <c r="N367" i="30"/>
  <c r="I368" i="30"/>
  <c r="I369" i="30" s="1"/>
  <c r="I370" i="30" s="1"/>
  <c r="N368" i="30"/>
  <c r="N369" i="30"/>
  <c r="N370" i="30"/>
  <c r="N371" i="30"/>
  <c r="F372" i="30"/>
  <c r="F373" i="30" s="1"/>
  <c r="F374" i="30" s="1"/>
  <c r="F375" i="30" s="1"/>
  <c r="F376" i="30" s="1"/>
  <c r="F377" i="30" s="1"/>
  <c r="F378" i="30" s="1"/>
  <c r="F379" i="30" s="1"/>
  <c r="F380" i="30" s="1"/>
  <c r="F381" i="30" s="1"/>
  <c r="F382" i="30" s="1"/>
  <c r="F383" i="30" s="1"/>
  <c r="F384" i="30" s="1"/>
  <c r="F385" i="30" s="1"/>
  <c r="F386" i="30" s="1"/>
  <c r="G372" i="30"/>
  <c r="G373" i="30" s="1"/>
  <c r="G374" i="30" s="1"/>
  <c r="G375" i="30" s="1"/>
  <c r="G376" i="30" s="1"/>
  <c r="G377" i="30" s="1"/>
  <c r="G378" i="30" s="1"/>
  <c r="G379" i="30" s="1"/>
  <c r="G380" i="30" s="1"/>
  <c r="G381" i="30" s="1"/>
  <c r="G382" i="30" s="1"/>
  <c r="G383" i="30" s="1"/>
  <c r="G384" i="30" s="1"/>
  <c r="G385" i="30" s="1"/>
  <c r="G386" i="30" s="1"/>
  <c r="H372" i="30"/>
  <c r="H373" i="30" s="1"/>
  <c r="H374" i="30" s="1"/>
  <c r="H375" i="30" s="1"/>
  <c r="H376" i="30" s="1"/>
  <c r="H377" i="30" s="1"/>
  <c r="H378" i="30" s="1"/>
  <c r="I372" i="30"/>
  <c r="I373" i="30" s="1"/>
  <c r="I374" i="30" s="1"/>
  <c r="N372" i="30"/>
  <c r="N373" i="30"/>
  <c r="N374" i="30"/>
  <c r="N375" i="30"/>
  <c r="I376" i="30"/>
  <c r="N376" i="30"/>
  <c r="I377" i="30"/>
  <c r="I378" i="30" s="1"/>
  <c r="N377" i="30"/>
  <c r="N378" i="30"/>
  <c r="N379" i="30"/>
  <c r="H380" i="30"/>
  <c r="H381" i="30" s="1"/>
  <c r="H382" i="30" s="1"/>
  <c r="H383" i="30" s="1"/>
  <c r="H384" i="30" s="1"/>
  <c r="H385" i="30" s="1"/>
  <c r="H386" i="30" s="1"/>
  <c r="I380" i="30"/>
  <c r="I381" i="30" s="1"/>
  <c r="I382" i="30" s="1"/>
  <c r="N380" i="30"/>
  <c r="N381" i="30"/>
  <c r="N382" i="30"/>
  <c r="N383" i="30"/>
  <c r="I384" i="30"/>
  <c r="I385" i="30" s="1"/>
  <c r="I386" i="30" s="1"/>
  <c r="N384" i="30"/>
  <c r="N385" i="30"/>
  <c r="N386" i="30"/>
  <c r="I4" i="50"/>
  <c r="I5" i="50" s="1"/>
  <c r="I6" i="50" s="1"/>
  <c r="H4" i="50"/>
  <c r="I8" i="50"/>
  <c r="I9" i="50" s="1"/>
  <c r="I10" i="50" s="1"/>
  <c r="G4" i="50"/>
  <c r="G5" i="50" s="1"/>
  <c r="G6" i="50" s="1"/>
  <c r="G7" i="50" s="1"/>
  <c r="G8" i="50" s="1"/>
  <c r="G9" i="50" s="1"/>
  <c r="G10" i="50" s="1"/>
  <c r="G11" i="50" s="1"/>
  <c r="G12" i="50" s="1"/>
  <c r="G13" i="50" s="1"/>
  <c r="G14" i="50" s="1"/>
  <c r="G15" i="50" s="1"/>
  <c r="G16" i="50" s="1"/>
  <c r="G17" i="50" s="1"/>
  <c r="G18" i="50" s="1"/>
  <c r="H12" i="50"/>
  <c r="H13" i="50" s="1"/>
  <c r="H14" i="50" s="1"/>
  <c r="H15" i="50" s="1"/>
  <c r="H16" i="50" s="1"/>
  <c r="H17" i="50" s="1"/>
  <c r="H18" i="50" s="1"/>
  <c r="I12" i="50"/>
  <c r="I13" i="50" s="1"/>
  <c r="I14" i="50" s="1"/>
  <c r="I16" i="50"/>
  <c r="I17" i="50" s="1"/>
  <c r="I18" i="50" s="1"/>
  <c r="I20" i="50"/>
  <c r="I21" i="50" s="1"/>
  <c r="I22" i="50" s="1"/>
  <c r="H20" i="50"/>
  <c r="H21" i="50" s="1"/>
  <c r="H22" i="50" s="1"/>
  <c r="H23" i="50" s="1"/>
  <c r="H24" i="50" s="1"/>
  <c r="H25" i="50" s="1"/>
  <c r="H26" i="50" s="1"/>
  <c r="I24" i="50"/>
  <c r="I25" i="50" s="1"/>
  <c r="I26" i="50" s="1"/>
  <c r="G20" i="50"/>
  <c r="G21" i="50" s="1"/>
  <c r="G22" i="50" s="1"/>
  <c r="G23" i="50" s="1"/>
  <c r="G24" i="50" s="1"/>
  <c r="G25" i="50" s="1"/>
  <c r="G26" i="50" s="1"/>
  <c r="G27" i="50" s="1"/>
  <c r="G28" i="50" s="1"/>
  <c r="G29" i="50" s="1"/>
  <c r="G30" i="50" s="1"/>
  <c r="G31" i="50" s="1"/>
  <c r="G32" i="50" s="1"/>
  <c r="G33" i="50" s="1"/>
  <c r="G34" i="50" s="1"/>
  <c r="H28" i="50"/>
  <c r="H29" i="50" s="1"/>
  <c r="H30" i="50" s="1"/>
  <c r="H31" i="50" s="1"/>
  <c r="H32" i="50" s="1"/>
  <c r="H33" i="50" s="1"/>
  <c r="H34" i="50" s="1"/>
  <c r="I28" i="50"/>
  <c r="I29" i="50" s="1"/>
  <c r="I30" i="50" s="1"/>
  <c r="I32" i="50"/>
  <c r="I33" i="50" s="1"/>
  <c r="I34" i="50" s="1"/>
  <c r="O34" i="50"/>
  <c r="O33" i="50"/>
  <c r="O32" i="50"/>
  <c r="O31" i="50"/>
  <c r="O30" i="50"/>
  <c r="O29" i="50"/>
  <c r="O28" i="50"/>
  <c r="O27" i="50"/>
  <c r="O26" i="50"/>
  <c r="O25" i="50"/>
  <c r="O24" i="50"/>
  <c r="O23" i="50"/>
  <c r="O22" i="50"/>
  <c r="O21" i="50"/>
  <c r="O20" i="50"/>
  <c r="O19" i="50"/>
  <c r="O18" i="50"/>
  <c r="O17" i="50"/>
  <c r="O16" i="50"/>
  <c r="O15" i="50"/>
  <c r="O14" i="50"/>
  <c r="O13" i="50"/>
  <c r="O12" i="50"/>
  <c r="O11" i="50"/>
  <c r="O10" i="50"/>
  <c r="O9" i="50"/>
  <c r="O8" i="50"/>
  <c r="O7" i="50"/>
  <c r="O6" i="50"/>
  <c r="O5" i="50"/>
  <c r="O4" i="50"/>
  <c r="O3" i="50"/>
  <c r="N194" i="32"/>
  <c r="O194" i="32" s="1"/>
  <c r="N193" i="32"/>
  <c r="O193" i="32" s="1"/>
  <c r="N192" i="32"/>
  <c r="O192" i="32" s="1"/>
  <c r="I192" i="32"/>
  <c r="I193" i="32" s="1"/>
  <c r="I194" i="32" s="1"/>
  <c r="N191" i="32"/>
  <c r="O191" i="32" s="1"/>
  <c r="N190" i="32"/>
  <c r="O190" i="32" s="1"/>
  <c r="N189" i="32"/>
  <c r="O189" i="32" s="1"/>
  <c r="N188" i="32"/>
  <c r="O188" i="32" s="1"/>
  <c r="I188" i="32"/>
  <c r="I189" i="32" s="1"/>
  <c r="I190" i="32" s="1"/>
  <c r="H188" i="32"/>
  <c r="H189" i="32" s="1"/>
  <c r="H190" i="32" s="1"/>
  <c r="H191" i="32" s="1"/>
  <c r="H192" i="32" s="1"/>
  <c r="H193" i="32" s="1"/>
  <c r="H194" i="32" s="1"/>
  <c r="N187" i="32"/>
  <c r="O187" i="32" s="1"/>
  <c r="N186" i="32"/>
  <c r="O186" i="32" s="1"/>
  <c r="N185" i="32"/>
  <c r="O185" i="32" s="1"/>
  <c r="N184" i="32"/>
  <c r="O184" i="32" s="1"/>
  <c r="I184" i="32"/>
  <c r="I185" i="32" s="1"/>
  <c r="I186" i="32" s="1"/>
  <c r="N183" i="32"/>
  <c r="O183" i="32" s="1"/>
  <c r="N182" i="32"/>
  <c r="O182" i="32" s="1"/>
  <c r="N181" i="32"/>
  <c r="O181" i="32" s="1"/>
  <c r="N180" i="32"/>
  <c r="O180" i="32" s="1"/>
  <c r="I180" i="32"/>
  <c r="I181" i="32" s="1"/>
  <c r="I182" i="32" s="1"/>
  <c r="H180" i="32"/>
  <c r="H181" i="32" s="1"/>
  <c r="H182" i="32" s="1"/>
  <c r="H183" i="32" s="1"/>
  <c r="H184" i="32" s="1"/>
  <c r="H185" i="32" s="1"/>
  <c r="H186" i="32" s="1"/>
  <c r="G180" i="32"/>
  <c r="G181" i="32" s="1"/>
  <c r="G182" i="32" s="1"/>
  <c r="G183" i="32" s="1"/>
  <c r="G184" i="32" s="1"/>
  <c r="G185" i="32" s="1"/>
  <c r="G186" i="32" s="1"/>
  <c r="G187" i="32" s="1"/>
  <c r="G188" i="32" s="1"/>
  <c r="G189" i="32" s="1"/>
  <c r="G190" i="32" s="1"/>
  <c r="G191" i="32" s="1"/>
  <c r="G192" i="32" s="1"/>
  <c r="G193" i="32" s="1"/>
  <c r="G194" i="32" s="1"/>
  <c r="F180" i="32"/>
  <c r="F181" i="32" s="1"/>
  <c r="F182" i="32" s="1"/>
  <c r="F183" i="32" s="1"/>
  <c r="F184" i="32" s="1"/>
  <c r="F185" i="32" s="1"/>
  <c r="F186" i="32" s="1"/>
  <c r="F187" i="32" s="1"/>
  <c r="F188" i="32" s="1"/>
  <c r="F189" i="32" s="1"/>
  <c r="F190" i="32" s="1"/>
  <c r="F191" i="32" s="1"/>
  <c r="F192" i="32" s="1"/>
  <c r="F193" i="32" s="1"/>
  <c r="F194" i="32" s="1"/>
  <c r="N179" i="32"/>
  <c r="O179" i="32" s="1"/>
  <c r="N178" i="32"/>
  <c r="O178" i="32" s="1"/>
  <c r="N177" i="32"/>
  <c r="O177" i="32" s="1"/>
  <c r="N176" i="32"/>
  <c r="O176" i="32" s="1"/>
  <c r="I176" i="32"/>
  <c r="I177" i="32" s="1"/>
  <c r="I178" i="32" s="1"/>
  <c r="N175" i="32"/>
  <c r="O175" i="32" s="1"/>
  <c r="N174" i="32"/>
  <c r="O174" i="32" s="1"/>
  <c r="N173" i="32"/>
  <c r="O173" i="32" s="1"/>
  <c r="N172" i="32"/>
  <c r="O172" i="32" s="1"/>
  <c r="I172" i="32"/>
  <c r="I173" i="32" s="1"/>
  <c r="I174" i="32" s="1"/>
  <c r="H172" i="32"/>
  <c r="H173" i="32" s="1"/>
  <c r="H174" i="32" s="1"/>
  <c r="H175" i="32" s="1"/>
  <c r="H176" i="32" s="1"/>
  <c r="H177" i="32" s="1"/>
  <c r="H178" i="32" s="1"/>
  <c r="N171" i="32"/>
  <c r="O171" i="32" s="1"/>
  <c r="N170" i="32"/>
  <c r="O170" i="32" s="1"/>
  <c r="N169" i="32"/>
  <c r="O169" i="32" s="1"/>
  <c r="N168" i="32"/>
  <c r="O168" i="32" s="1"/>
  <c r="I168" i="32"/>
  <c r="I169" i="32" s="1"/>
  <c r="I170" i="32" s="1"/>
  <c r="N167" i="32"/>
  <c r="O167" i="32" s="1"/>
  <c r="N166" i="32"/>
  <c r="O166" i="32" s="1"/>
  <c r="N165" i="32"/>
  <c r="O165" i="32" s="1"/>
  <c r="N164" i="32"/>
  <c r="O164" i="32" s="1"/>
  <c r="I164" i="32"/>
  <c r="I165" i="32" s="1"/>
  <c r="I166" i="32" s="1"/>
  <c r="H164" i="32"/>
  <c r="H165" i="32" s="1"/>
  <c r="H166" i="32" s="1"/>
  <c r="H167" i="32" s="1"/>
  <c r="H168" i="32" s="1"/>
  <c r="H169" i="32" s="1"/>
  <c r="H170" i="32" s="1"/>
  <c r="G164" i="32"/>
  <c r="G165" i="32" s="1"/>
  <c r="G166" i="32" s="1"/>
  <c r="G167" i="32" s="1"/>
  <c r="G168" i="32" s="1"/>
  <c r="G169" i="32" s="1"/>
  <c r="G170" i="32" s="1"/>
  <c r="G171" i="32" s="1"/>
  <c r="G172" i="32" s="1"/>
  <c r="G173" i="32" s="1"/>
  <c r="G174" i="32" s="1"/>
  <c r="G175" i="32" s="1"/>
  <c r="G176" i="32" s="1"/>
  <c r="G177" i="32" s="1"/>
  <c r="G178" i="32" s="1"/>
  <c r="F164" i="32"/>
  <c r="F165" i="32" s="1"/>
  <c r="F166" i="32" s="1"/>
  <c r="F167" i="32" s="1"/>
  <c r="F168" i="32" s="1"/>
  <c r="F169" i="32" s="1"/>
  <c r="F170" i="32" s="1"/>
  <c r="F171" i="32" s="1"/>
  <c r="F172" i="32" s="1"/>
  <c r="F173" i="32" s="1"/>
  <c r="F174" i="32" s="1"/>
  <c r="F175" i="32" s="1"/>
  <c r="F176" i="32" s="1"/>
  <c r="F177" i="32" s="1"/>
  <c r="F178" i="32" s="1"/>
  <c r="N163" i="32"/>
  <c r="O163" i="32" s="1"/>
  <c r="N162" i="32"/>
  <c r="O162" i="32" s="1"/>
  <c r="N161" i="32"/>
  <c r="O161" i="32" s="1"/>
  <c r="N160" i="32"/>
  <c r="O160" i="32" s="1"/>
  <c r="I160" i="32"/>
  <c r="I161" i="32" s="1"/>
  <c r="I162" i="32" s="1"/>
  <c r="N159" i="32"/>
  <c r="O159" i="32" s="1"/>
  <c r="N158" i="32"/>
  <c r="O158" i="32" s="1"/>
  <c r="N157" i="32"/>
  <c r="O157" i="32" s="1"/>
  <c r="N156" i="32"/>
  <c r="O156" i="32" s="1"/>
  <c r="I156" i="32"/>
  <c r="I157" i="32" s="1"/>
  <c r="I158" i="32" s="1"/>
  <c r="H156" i="32"/>
  <c r="H157" i="32" s="1"/>
  <c r="H158" i="32" s="1"/>
  <c r="H159" i="32" s="1"/>
  <c r="H160" i="32" s="1"/>
  <c r="H161" i="32" s="1"/>
  <c r="H162" i="32" s="1"/>
  <c r="N155" i="32"/>
  <c r="O155" i="32" s="1"/>
  <c r="N154" i="32"/>
  <c r="O154" i="32" s="1"/>
  <c r="N153" i="32"/>
  <c r="O153" i="32" s="1"/>
  <c r="N152" i="32"/>
  <c r="O152" i="32" s="1"/>
  <c r="I152" i="32"/>
  <c r="I153" i="32" s="1"/>
  <c r="I154" i="32" s="1"/>
  <c r="N151" i="32"/>
  <c r="O151" i="32" s="1"/>
  <c r="N150" i="32"/>
  <c r="O150" i="32" s="1"/>
  <c r="N149" i="32"/>
  <c r="O149" i="32" s="1"/>
  <c r="N148" i="32"/>
  <c r="O148" i="32" s="1"/>
  <c r="I148" i="32"/>
  <c r="I149" i="32" s="1"/>
  <c r="I150" i="32" s="1"/>
  <c r="H148" i="32"/>
  <c r="H149" i="32" s="1"/>
  <c r="H150" i="32" s="1"/>
  <c r="H151" i="32" s="1"/>
  <c r="H152" i="32" s="1"/>
  <c r="H153" i="32" s="1"/>
  <c r="H154" i="32" s="1"/>
  <c r="G148" i="32"/>
  <c r="G149" i="32" s="1"/>
  <c r="G150" i="32" s="1"/>
  <c r="G151" i="32" s="1"/>
  <c r="G152" i="32" s="1"/>
  <c r="G153" i="32" s="1"/>
  <c r="G154" i="32" s="1"/>
  <c r="G155" i="32" s="1"/>
  <c r="G156" i="32" s="1"/>
  <c r="G157" i="32" s="1"/>
  <c r="G158" i="32" s="1"/>
  <c r="G159" i="32" s="1"/>
  <c r="G160" i="32" s="1"/>
  <c r="G161" i="32" s="1"/>
  <c r="G162" i="32" s="1"/>
  <c r="F148" i="32"/>
  <c r="F149" i="32" s="1"/>
  <c r="F150" i="32" s="1"/>
  <c r="F151" i="32" s="1"/>
  <c r="F152" i="32" s="1"/>
  <c r="F153" i="32" s="1"/>
  <c r="F154" i="32" s="1"/>
  <c r="F155" i="32" s="1"/>
  <c r="F156" i="32" s="1"/>
  <c r="F157" i="32" s="1"/>
  <c r="F158" i="32" s="1"/>
  <c r="F159" i="32" s="1"/>
  <c r="F160" i="32" s="1"/>
  <c r="F161" i="32" s="1"/>
  <c r="F162" i="32" s="1"/>
  <c r="N147" i="32"/>
  <c r="O147" i="32" s="1"/>
  <c r="N146" i="32"/>
  <c r="O146" i="32" s="1"/>
  <c r="N145" i="32"/>
  <c r="O145" i="32" s="1"/>
  <c r="N144" i="32"/>
  <c r="O144" i="32" s="1"/>
  <c r="I144" i="32"/>
  <c r="I145" i="32" s="1"/>
  <c r="I146" i="32" s="1"/>
  <c r="N143" i="32"/>
  <c r="O143" i="32" s="1"/>
  <c r="N142" i="32"/>
  <c r="O142" i="32" s="1"/>
  <c r="N141" i="32"/>
  <c r="O141" i="32" s="1"/>
  <c r="N140" i="32"/>
  <c r="O140" i="32" s="1"/>
  <c r="I140" i="32"/>
  <c r="I141" i="32" s="1"/>
  <c r="I142" i="32" s="1"/>
  <c r="H140" i="32"/>
  <c r="H141" i="32" s="1"/>
  <c r="H142" i="32" s="1"/>
  <c r="H143" i="32" s="1"/>
  <c r="H144" i="32" s="1"/>
  <c r="H145" i="32" s="1"/>
  <c r="H146" i="32" s="1"/>
  <c r="N139" i="32"/>
  <c r="O139" i="32" s="1"/>
  <c r="N138" i="32"/>
  <c r="O138" i="32" s="1"/>
  <c r="N137" i="32"/>
  <c r="O137" i="32" s="1"/>
  <c r="I137" i="32"/>
  <c r="I138" i="32" s="1"/>
  <c r="N136" i="32"/>
  <c r="O136" i="32" s="1"/>
  <c r="I136" i="32"/>
  <c r="N135" i="32"/>
  <c r="O135" i="32" s="1"/>
  <c r="N134" i="32"/>
  <c r="O134" i="32" s="1"/>
  <c r="N133" i="32"/>
  <c r="O133" i="32" s="1"/>
  <c r="F133" i="32"/>
  <c r="F134" i="32" s="1"/>
  <c r="F135" i="32" s="1"/>
  <c r="F136" i="32" s="1"/>
  <c r="F137" i="32" s="1"/>
  <c r="F138" i="32" s="1"/>
  <c r="F139" i="32" s="1"/>
  <c r="F140" i="32" s="1"/>
  <c r="F141" i="32" s="1"/>
  <c r="F142" i="32" s="1"/>
  <c r="F143" i="32" s="1"/>
  <c r="F144" i="32" s="1"/>
  <c r="F145" i="32" s="1"/>
  <c r="F146" i="32" s="1"/>
  <c r="N132" i="32"/>
  <c r="O132" i="32" s="1"/>
  <c r="I132" i="32"/>
  <c r="I133" i="32" s="1"/>
  <c r="I134" i="32" s="1"/>
  <c r="H132" i="32"/>
  <c r="H133" i="32" s="1"/>
  <c r="H134" i="32" s="1"/>
  <c r="H135" i="32" s="1"/>
  <c r="H136" i="32" s="1"/>
  <c r="H137" i="32" s="1"/>
  <c r="H138" i="32" s="1"/>
  <c r="G132" i="32"/>
  <c r="G133" i="32" s="1"/>
  <c r="G134" i="32" s="1"/>
  <c r="G135" i="32" s="1"/>
  <c r="G136" i="32" s="1"/>
  <c r="G137" i="32" s="1"/>
  <c r="G138" i="32" s="1"/>
  <c r="G139" i="32" s="1"/>
  <c r="G140" i="32" s="1"/>
  <c r="G141" i="32" s="1"/>
  <c r="G142" i="32" s="1"/>
  <c r="G143" i="32" s="1"/>
  <c r="G144" i="32" s="1"/>
  <c r="G145" i="32" s="1"/>
  <c r="G146" i="32" s="1"/>
  <c r="F132" i="32"/>
  <c r="N131" i="32"/>
  <c r="O131" i="32" s="1"/>
  <c r="N130" i="32"/>
  <c r="O130" i="32" s="1"/>
  <c r="N129" i="32"/>
  <c r="O129" i="32" s="1"/>
  <c r="N128" i="32"/>
  <c r="O128" i="32" s="1"/>
  <c r="I128" i="32"/>
  <c r="I129" i="32" s="1"/>
  <c r="I130" i="32" s="1"/>
  <c r="N127" i="32"/>
  <c r="O127" i="32" s="1"/>
  <c r="N126" i="32"/>
  <c r="O126" i="32" s="1"/>
  <c r="N125" i="32"/>
  <c r="O125" i="32" s="1"/>
  <c r="N124" i="32"/>
  <c r="O124" i="32" s="1"/>
  <c r="I124" i="32"/>
  <c r="I125" i="32" s="1"/>
  <c r="I126" i="32" s="1"/>
  <c r="H124" i="32"/>
  <c r="H125" i="32" s="1"/>
  <c r="H126" i="32" s="1"/>
  <c r="H127" i="32" s="1"/>
  <c r="H128" i="32" s="1"/>
  <c r="H129" i="32" s="1"/>
  <c r="H130" i="32" s="1"/>
  <c r="N123" i="32"/>
  <c r="O123" i="32" s="1"/>
  <c r="N122" i="32"/>
  <c r="O122" i="32" s="1"/>
  <c r="N121" i="32"/>
  <c r="O121" i="32" s="1"/>
  <c r="N120" i="32"/>
  <c r="O120" i="32" s="1"/>
  <c r="I120" i="32"/>
  <c r="I121" i="32" s="1"/>
  <c r="I122" i="32" s="1"/>
  <c r="N119" i="32"/>
  <c r="O119" i="32" s="1"/>
  <c r="N118" i="32"/>
  <c r="O118" i="32" s="1"/>
  <c r="N117" i="32"/>
  <c r="O117" i="32" s="1"/>
  <c r="G117" i="32"/>
  <c r="G118" i="32" s="1"/>
  <c r="G119" i="32" s="1"/>
  <c r="G120" i="32" s="1"/>
  <c r="G121" i="32" s="1"/>
  <c r="G122" i="32" s="1"/>
  <c r="G123" i="32" s="1"/>
  <c r="G124" i="32" s="1"/>
  <c r="G125" i="32" s="1"/>
  <c r="G126" i="32" s="1"/>
  <c r="G127" i="32" s="1"/>
  <c r="G128" i="32" s="1"/>
  <c r="G129" i="32" s="1"/>
  <c r="G130" i="32" s="1"/>
  <c r="N116" i="32"/>
  <c r="O116" i="32" s="1"/>
  <c r="I116" i="32"/>
  <c r="I117" i="32" s="1"/>
  <c r="I118" i="32" s="1"/>
  <c r="H116" i="32"/>
  <c r="H117" i="32" s="1"/>
  <c r="H118" i="32" s="1"/>
  <c r="H119" i="32" s="1"/>
  <c r="H120" i="32" s="1"/>
  <c r="H121" i="32" s="1"/>
  <c r="H122" i="32" s="1"/>
  <c r="G116" i="32"/>
  <c r="F116" i="32"/>
  <c r="F117" i="32" s="1"/>
  <c r="F118" i="32" s="1"/>
  <c r="F119" i="32" s="1"/>
  <c r="F120" i="32" s="1"/>
  <c r="F121" i="32" s="1"/>
  <c r="F122" i="32" s="1"/>
  <c r="F123" i="32" s="1"/>
  <c r="F124" i="32" s="1"/>
  <c r="F125" i="32" s="1"/>
  <c r="F126" i="32" s="1"/>
  <c r="F127" i="32" s="1"/>
  <c r="F128" i="32" s="1"/>
  <c r="F129" i="32" s="1"/>
  <c r="F130" i="32" s="1"/>
  <c r="N115" i="32"/>
  <c r="O115" i="32" s="1"/>
  <c r="N114" i="32"/>
  <c r="O114" i="32" s="1"/>
  <c r="N113" i="32"/>
  <c r="O113" i="32" s="1"/>
  <c r="N112" i="32"/>
  <c r="O112" i="32" s="1"/>
  <c r="I112" i="32"/>
  <c r="I113" i="32" s="1"/>
  <c r="I114" i="32" s="1"/>
  <c r="N111" i="32"/>
  <c r="O111" i="32" s="1"/>
  <c r="N110" i="32"/>
  <c r="O110" i="32" s="1"/>
  <c r="N109" i="32"/>
  <c r="O109" i="32" s="1"/>
  <c r="N108" i="32"/>
  <c r="O108" i="32" s="1"/>
  <c r="I108" i="32"/>
  <c r="I109" i="32" s="1"/>
  <c r="I110" i="32" s="1"/>
  <c r="H108" i="32"/>
  <c r="H109" i="32" s="1"/>
  <c r="H110" i="32" s="1"/>
  <c r="H111" i="32" s="1"/>
  <c r="H112" i="32" s="1"/>
  <c r="H113" i="32" s="1"/>
  <c r="H114" i="32" s="1"/>
  <c r="N107" i="32"/>
  <c r="O107" i="32" s="1"/>
  <c r="N106" i="32"/>
  <c r="O106" i="32" s="1"/>
  <c r="N105" i="32"/>
  <c r="O105" i="32" s="1"/>
  <c r="N104" i="32"/>
  <c r="O104" i="32" s="1"/>
  <c r="I104" i="32"/>
  <c r="I105" i="32" s="1"/>
  <c r="I106" i="32" s="1"/>
  <c r="N103" i="32"/>
  <c r="O103" i="32" s="1"/>
  <c r="N102" i="32"/>
  <c r="O102" i="32" s="1"/>
  <c r="N101" i="32"/>
  <c r="O101" i="32" s="1"/>
  <c r="N100" i="32"/>
  <c r="O100" i="32" s="1"/>
  <c r="I100" i="32"/>
  <c r="I101" i="32" s="1"/>
  <c r="I102" i="32" s="1"/>
  <c r="H100" i="32"/>
  <c r="H101" i="32" s="1"/>
  <c r="H102" i="32" s="1"/>
  <c r="H103" i="32" s="1"/>
  <c r="H104" i="32" s="1"/>
  <c r="H105" i="32" s="1"/>
  <c r="H106" i="32" s="1"/>
  <c r="G100" i="32"/>
  <c r="G101" i="32" s="1"/>
  <c r="G102" i="32" s="1"/>
  <c r="G103" i="32" s="1"/>
  <c r="G104" i="32" s="1"/>
  <c r="G105" i="32" s="1"/>
  <c r="G106" i="32" s="1"/>
  <c r="G107" i="32" s="1"/>
  <c r="G108" i="32" s="1"/>
  <c r="G109" i="32" s="1"/>
  <c r="G110" i="32" s="1"/>
  <c r="G111" i="32" s="1"/>
  <c r="G112" i="32" s="1"/>
  <c r="G113" i="32" s="1"/>
  <c r="G114" i="32" s="1"/>
  <c r="F100" i="32"/>
  <c r="F101" i="32" s="1"/>
  <c r="F102" i="32" s="1"/>
  <c r="F103" i="32" s="1"/>
  <c r="F104" i="32" s="1"/>
  <c r="F105" i="32" s="1"/>
  <c r="F106" i="32" s="1"/>
  <c r="F107" i="32" s="1"/>
  <c r="F108" i="32" s="1"/>
  <c r="F109" i="32" s="1"/>
  <c r="F110" i="32" s="1"/>
  <c r="F111" i="32" s="1"/>
  <c r="F112" i="32" s="1"/>
  <c r="F113" i="32" s="1"/>
  <c r="F114" i="32" s="1"/>
  <c r="N99" i="32"/>
  <c r="O99" i="32" s="1"/>
  <c r="I288" i="32"/>
  <c r="I289" i="32" s="1"/>
  <c r="I290" i="32" s="1"/>
  <c r="I284" i="32"/>
  <c r="I285" i="32" s="1"/>
  <c r="I286" i="32" s="1"/>
  <c r="H284" i="32"/>
  <c r="H285" i="32" s="1"/>
  <c r="H286" i="32" s="1"/>
  <c r="H287" i="32" s="1"/>
  <c r="H288" i="32" s="1"/>
  <c r="H289" i="32" s="1"/>
  <c r="H290" i="32" s="1"/>
  <c r="I280" i="32"/>
  <c r="I281" i="32" s="1"/>
  <c r="I282" i="32" s="1"/>
  <c r="I276" i="32"/>
  <c r="I277" i="32" s="1"/>
  <c r="I278" i="32" s="1"/>
  <c r="H276" i="32"/>
  <c r="H277" i="32" s="1"/>
  <c r="H278" i="32" s="1"/>
  <c r="H279" i="32" s="1"/>
  <c r="H280" i="32" s="1"/>
  <c r="H281" i="32" s="1"/>
  <c r="H282" i="32" s="1"/>
  <c r="G276" i="32"/>
  <c r="G277" i="32" s="1"/>
  <c r="G278" i="32" s="1"/>
  <c r="G279" i="32" s="1"/>
  <c r="G280" i="32" s="1"/>
  <c r="G281" i="32" s="1"/>
  <c r="G282" i="32" s="1"/>
  <c r="G283" i="32" s="1"/>
  <c r="G284" i="32" s="1"/>
  <c r="G285" i="32" s="1"/>
  <c r="G286" i="32" s="1"/>
  <c r="G287" i="32" s="1"/>
  <c r="G288" i="32" s="1"/>
  <c r="G289" i="32" s="1"/>
  <c r="G290" i="32" s="1"/>
  <c r="F276" i="32"/>
  <c r="F277" i="32" s="1"/>
  <c r="F278" i="32" s="1"/>
  <c r="F279" i="32" s="1"/>
  <c r="F280" i="32" s="1"/>
  <c r="F281" i="32" s="1"/>
  <c r="F282" i="32" s="1"/>
  <c r="F283" i="32" s="1"/>
  <c r="F284" i="32" s="1"/>
  <c r="F285" i="32" s="1"/>
  <c r="F286" i="32" s="1"/>
  <c r="F287" i="32" s="1"/>
  <c r="F288" i="32" s="1"/>
  <c r="F289" i="32" s="1"/>
  <c r="F290" i="32" s="1"/>
  <c r="I272" i="32"/>
  <c r="I273" i="32" s="1"/>
  <c r="I274" i="32" s="1"/>
  <c r="I268" i="32"/>
  <c r="I269" i="32" s="1"/>
  <c r="I270" i="32" s="1"/>
  <c r="H268" i="32"/>
  <c r="H269" i="32" s="1"/>
  <c r="H270" i="32" s="1"/>
  <c r="H271" i="32" s="1"/>
  <c r="H272" i="32" s="1"/>
  <c r="H273" i="32" s="1"/>
  <c r="H274" i="32" s="1"/>
  <c r="I264" i="32"/>
  <c r="I265" i="32" s="1"/>
  <c r="I266" i="32" s="1"/>
  <c r="I260" i="32"/>
  <c r="I261" i="32" s="1"/>
  <c r="I262" i="32" s="1"/>
  <c r="H260" i="32"/>
  <c r="H261" i="32" s="1"/>
  <c r="H262" i="32" s="1"/>
  <c r="H263" i="32" s="1"/>
  <c r="H264" i="32" s="1"/>
  <c r="H265" i="32" s="1"/>
  <c r="H266" i="32" s="1"/>
  <c r="G260" i="32"/>
  <c r="G261" i="32" s="1"/>
  <c r="G262" i="32" s="1"/>
  <c r="G263" i="32" s="1"/>
  <c r="G264" i="32" s="1"/>
  <c r="G265" i="32" s="1"/>
  <c r="G266" i="32" s="1"/>
  <c r="G267" i="32" s="1"/>
  <c r="G268" i="32" s="1"/>
  <c r="G269" i="32" s="1"/>
  <c r="G270" i="32" s="1"/>
  <c r="G271" i="32" s="1"/>
  <c r="G272" i="32" s="1"/>
  <c r="G273" i="32" s="1"/>
  <c r="G274" i="32" s="1"/>
  <c r="F260" i="32"/>
  <c r="F261" i="32" s="1"/>
  <c r="F262" i="32" s="1"/>
  <c r="F263" i="32" s="1"/>
  <c r="F264" i="32" s="1"/>
  <c r="F265" i="32" s="1"/>
  <c r="F266" i="32" s="1"/>
  <c r="F267" i="32" s="1"/>
  <c r="F268" i="32" s="1"/>
  <c r="F269" i="32" s="1"/>
  <c r="F270" i="32" s="1"/>
  <c r="F271" i="32" s="1"/>
  <c r="F272" i="32" s="1"/>
  <c r="F273" i="32" s="1"/>
  <c r="F274" i="32" s="1"/>
  <c r="I256" i="32"/>
  <c r="I257" i="32" s="1"/>
  <c r="I258" i="32" s="1"/>
  <c r="I252" i="32"/>
  <c r="I253" i="32" s="1"/>
  <c r="I254" i="32" s="1"/>
  <c r="H252" i="32"/>
  <c r="H253" i="32" s="1"/>
  <c r="H254" i="32" s="1"/>
  <c r="H255" i="32" s="1"/>
  <c r="H256" i="32" s="1"/>
  <c r="H257" i="32" s="1"/>
  <c r="H258" i="32" s="1"/>
  <c r="I248" i="32"/>
  <c r="I249" i="32" s="1"/>
  <c r="I250" i="32" s="1"/>
  <c r="I244" i="32"/>
  <c r="I245" i="32" s="1"/>
  <c r="I246" i="32" s="1"/>
  <c r="H244" i="32"/>
  <c r="H245" i="32" s="1"/>
  <c r="H246" i="32" s="1"/>
  <c r="H247" i="32" s="1"/>
  <c r="H248" i="32" s="1"/>
  <c r="H249" i="32" s="1"/>
  <c r="H250" i="32" s="1"/>
  <c r="G244" i="32"/>
  <c r="G245" i="32" s="1"/>
  <c r="G246" i="32" s="1"/>
  <c r="G247" i="32" s="1"/>
  <c r="G248" i="32" s="1"/>
  <c r="G249" i="32" s="1"/>
  <c r="G250" i="32" s="1"/>
  <c r="G251" i="32" s="1"/>
  <c r="G252" i="32" s="1"/>
  <c r="G253" i="32" s="1"/>
  <c r="G254" i="32" s="1"/>
  <c r="G255" i="32" s="1"/>
  <c r="G256" i="32" s="1"/>
  <c r="G257" i="32" s="1"/>
  <c r="G258" i="32" s="1"/>
  <c r="F244" i="32"/>
  <c r="F245" i="32" s="1"/>
  <c r="F246" i="32" s="1"/>
  <c r="F247" i="32" s="1"/>
  <c r="F248" i="32" s="1"/>
  <c r="F249" i="32" s="1"/>
  <c r="F250" i="32" s="1"/>
  <c r="F251" i="32" s="1"/>
  <c r="F252" i="32" s="1"/>
  <c r="F253" i="32" s="1"/>
  <c r="F254" i="32" s="1"/>
  <c r="F255" i="32" s="1"/>
  <c r="F256" i="32" s="1"/>
  <c r="F257" i="32" s="1"/>
  <c r="F258" i="32" s="1"/>
  <c r="I240" i="32"/>
  <c r="I241" i="32" s="1"/>
  <c r="I242" i="32" s="1"/>
  <c r="I236" i="32"/>
  <c r="I237" i="32" s="1"/>
  <c r="I238" i="32" s="1"/>
  <c r="H236" i="32"/>
  <c r="H237" i="32" s="1"/>
  <c r="H238" i="32" s="1"/>
  <c r="H239" i="32" s="1"/>
  <c r="H240" i="32" s="1"/>
  <c r="H241" i="32" s="1"/>
  <c r="H242" i="32" s="1"/>
  <c r="I232" i="32"/>
  <c r="I233" i="32" s="1"/>
  <c r="I234" i="32" s="1"/>
  <c r="I228" i="32"/>
  <c r="I229" i="32" s="1"/>
  <c r="I230" i="32" s="1"/>
  <c r="H228" i="32"/>
  <c r="H229" i="32" s="1"/>
  <c r="H230" i="32" s="1"/>
  <c r="H231" i="32" s="1"/>
  <c r="H232" i="32" s="1"/>
  <c r="H233" i="32" s="1"/>
  <c r="H234" i="32" s="1"/>
  <c r="G228" i="32"/>
  <c r="G229" i="32" s="1"/>
  <c r="G230" i="32" s="1"/>
  <c r="G231" i="32" s="1"/>
  <c r="G232" i="32" s="1"/>
  <c r="G233" i="32" s="1"/>
  <c r="G234" i="32" s="1"/>
  <c r="G235" i="32" s="1"/>
  <c r="G236" i="32" s="1"/>
  <c r="G237" i="32" s="1"/>
  <c r="G238" i="32" s="1"/>
  <c r="G239" i="32" s="1"/>
  <c r="G240" i="32" s="1"/>
  <c r="G241" i="32" s="1"/>
  <c r="G242" i="32" s="1"/>
  <c r="F228" i="32"/>
  <c r="F229" i="32" s="1"/>
  <c r="F230" i="32" s="1"/>
  <c r="F231" i="32" s="1"/>
  <c r="F232" i="32" s="1"/>
  <c r="F233" i="32" s="1"/>
  <c r="F234" i="32" s="1"/>
  <c r="F235" i="32" s="1"/>
  <c r="F236" i="32" s="1"/>
  <c r="F237" i="32" s="1"/>
  <c r="F238" i="32" s="1"/>
  <c r="F239" i="32" s="1"/>
  <c r="F240" i="32" s="1"/>
  <c r="F241" i="32" s="1"/>
  <c r="F242" i="32" s="1"/>
  <c r="I224" i="32"/>
  <c r="I225" i="32" s="1"/>
  <c r="I226" i="32" s="1"/>
  <c r="I220" i="32"/>
  <c r="I221" i="32" s="1"/>
  <c r="I222" i="32" s="1"/>
  <c r="H220" i="32"/>
  <c r="H221" i="32" s="1"/>
  <c r="H222" i="32" s="1"/>
  <c r="H223" i="32" s="1"/>
  <c r="H224" i="32" s="1"/>
  <c r="H225" i="32" s="1"/>
  <c r="H226" i="32" s="1"/>
  <c r="I216" i="32"/>
  <c r="I217" i="32" s="1"/>
  <c r="I218" i="32" s="1"/>
  <c r="I212" i="32"/>
  <c r="I213" i="32" s="1"/>
  <c r="I214" i="32" s="1"/>
  <c r="H212" i="32"/>
  <c r="H213" i="32" s="1"/>
  <c r="H214" i="32" s="1"/>
  <c r="H215" i="32" s="1"/>
  <c r="H216" i="32" s="1"/>
  <c r="H217" i="32" s="1"/>
  <c r="H218" i="32" s="1"/>
  <c r="G212" i="32"/>
  <c r="G213" i="32" s="1"/>
  <c r="G214" i="32" s="1"/>
  <c r="G215" i="32" s="1"/>
  <c r="G216" i="32" s="1"/>
  <c r="G217" i="32" s="1"/>
  <c r="G218" i="32" s="1"/>
  <c r="G219" i="32" s="1"/>
  <c r="G220" i="32" s="1"/>
  <c r="G221" i="32" s="1"/>
  <c r="G222" i="32" s="1"/>
  <c r="G223" i="32" s="1"/>
  <c r="G224" i="32" s="1"/>
  <c r="G225" i="32" s="1"/>
  <c r="G226" i="32" s="1"/>
  <c r="F212" i="32"/>
  <c r="F213" i="32" s="1"/>
  <c r="F214" i="32" s="1"/>
  <c r="F215" i="32" s="1"/>
  <c r="F216" i="32" s="1"/>
  <c r="F217" i="32" s="1"/>
  <c r="F218" i="32" s="1"/>
  <c r="F219" i="32" s="1"/>
  <c r="F220" i="32" s="1"/>
  <c r="F221" i="32" s="1"/>
  <c r="F222" i="32" s="1"/>
  <c r="F223" i="32" s="1"/>
  <c r="F224" i="32" s="1"/>
  <c r="F225" i="32" s="1"/>
  <c r="F226" i="32" s="1"/>
  <c r="I208" i="32"/>
  <c r="I209" i="32" s="1"/>
  <c r="I210" i="32" s="1"/>
  <c r="I204" i="32"/>
  <c r="I205" i="32" s="1"/>
  <c r="I206" i="32" s="1"/>
  <c r="H204" i="32"/>
  <c r="H205" i="32" s="1"/>
  <c r="H206" i="32" s="1"/>
  <c r="H207" i="32" s="1"/>
  <c r="H208" i="32" s="1"/>
  <c r="H209" i="32" s="1"/>
  <c r="H210" i="32" s="1"/>
  <c r="I200" i="32"/>
  <c r="I201" i="32" s="1"/>
  <c r="I202" i="32" s="1"/>
  <c r="I196" i="32"/>
  <c r="I197" i="32" s="1"/>
  <c r="I198" i="32" s="1"/>
  <c r="H196" i="32"/>
  <c r="H197" i="32" s="1"/>
  <c r="H198" i="32" s="1"/>
  <c r="H199" i="32" s="1"/>
  <c r="H200" i="32" s="1"/>
  <c r="H201" i="32" s="1"/>
  <c r="H202" i="32" s="1"/>
  <c r="G196" i="32"/>
  <c r="G197" i="32" s="1"/>
  <c r="G198" i="32" s="1"/>
  <c r="G199" i="32" s="1"/>
  <c r="G200" i="32" s="1"/>
  <c r="G201" i="32" s="1"/>
  <c r="G202" i="32" s="1"/>
  <c r="G203" i="32" s="1"/>
  <c r="G204" i="32" s="1"/>
  <c r="G205" i="32" s="1"/>
  <c r="G206" i="32" s="1"/>
  <c r="G207" i="32" s="1"/>
  <c r="G208" i="32" s="1"/>
  <c r="G209" i="32" s="1"/>
  <c r="G210" i="32" s="1"/>
  <c r="F196" i="32"/>
  <c r="F197" i="32" s="1"/>
  <c r="F198" i="32" s="1"/>
  <c r="F199" i="32" s="1"/>
  <c r="F200" i="32" s="1"/>
  <c r="F201" i="32" s="1"/>
  <c r="F202" i="32" s="1"/>
  <c r="F203" i="32" s="1"/>
  <c r="F204" i="32" s="1"/>
  <c r="F205" i="32" s="1"/>
  <c r="F206" i="32" s="1"/>
  <c r="F207" i="32" s="1"/>
  <c r="F208" i="32" s="1"/>
  <c r="F209" i="32" s="1"/>
  <c r="F210" i="32" s="1"/>
  <c r="I96" i="32"/>
  <c r="I97" i="32" s="1"/>
  <c r="I98" i="32" s="1"/>
  <c r="I92" i="32"/>
  <c r="I93" i="32" s="1"/>
  <c r="I94" i="32" s="1"/>
  <c r="H92" i="32"/>
  <c r="H93" i="32" s="1"/>
  <c r="H94" i="32" s="1"/>
  <c r="H95" i="32" s="1"/>
  <c r="H96" i="32" s="1"/>
  <c r="H97" i="32" s="1"/>
  <c r="H98" i="32" s="1"/>
  <c r="I88" i="32"/>
  <c r="I89" i="32" s="1"/>
  <c r="I90" i="32" s="1"/>
  <c r="I84" i="32"/>
  <c r="I85" i="32" s="1"/>
  <c r="I86" i="32" s="1"/>
  <c r="H84" i="32"/>
  <c r="H85" i="32" s="1"/>
  <c r="H86" i="32" s="1"/>
  <c r="H87" i="32" s="1"/>
  <c r="H88" i="32" s="1"/>
  <c r="H89" i="32" s="1"/>
  <c r="H90" i="32" s="1"/>
  <c r="G84" i="32"/>
  <c r="G85" i="32" s="1"/>
  <c r="G86" i="32" s="1"/>
  <c r="G87" i="32" s="1"/>
  <c r="G88" i="32" s="1"/>
  <c r="G89" i="32" s="1"/>
  <c r="G90" i="32" s="1"/>
  <c r="G91" i="32" s="1"/>
  <c r="G92" i="32" s="1"/>
  <c r="G93" i="32" s="1"/>
  <c r="G94" i="32" s="1"/>
  <c r="G95" i="32" s="1"/>
  <c r="G96" i="32" s="1"/>
  <c r="G97" i="32" s="1"/>
  <c r="G98" i="32" s="1"/>
  <c r="I80" i="32"/>
  <c r="I81" i="32" s="1"/>
  <c r="I82" i="32" s="1"/>
  <c r="I76" i="32"/>
  <c r="I77" i="32" s="1"/>
  <c r="I78" i="32" s="1"/>
  <c r="H76" i="32"/>
  <c r="H77" i="32" s="1"/>
  <c r="H78" i="32" s="1"/>
  <c r="H79" i="32" s="1"/>
  <c r="H80" i="32" s="1"/>
  <c r="H81" i="32" s="1"/>
  <c r="H82" i="32" s="1"/>
  <c r="I72" i="32"/>
  <c r="I73" i="32" s="1"/>
  <c r="I74" i="32" s="1"/>
  <c r="I68" i="32"/>
  <c r="I69" i="32" s="1"/>
  <c r="I70" i="32" s="1"/>
  <c r="H68" i="32"/>
  <c r="H69" i="32" s="1"/>
  <c r="H70" i="32" s="1"/>
  <c r="H71" i="32" s="1"/>
  <c r="H72" i="32" s="1"/>
  <c r="H73" i="32" s="1"/>
  <c r="H74" i="32" s="1"/>
  <c r="G68" i="32"/>
  <c r="G69" i="32" s="1"/>
  <c r="G70" i="32" s="1"/>
  <c r="G71" i="32" s="1"/>
  <c r="G72" i="32" s="1"/>
  <c r="G73" i="32" s="1"/>
  <c r="G74" i="32" s="1"/>
  <c r="G75" i="32" s="1"/>
  <c r="G76" i="32" s="1"/>
  <c r="G77" i="32" s="1"/>
  <c r="G78" i="32" s="1"/>
  <c r="G79" i="32" s="1"/>
  <c r="G80" i="32" s="1"/>
  <c r="G81" i="32" s="1"/>
  <c r="G82" i="32" s="1"/>
  <c r="I64" i="32"/>
  <c r="I65" i="32" s="1"/>
  <c r="I66" i="32" s="1"/>
  <c r="I60" i="32"/>
  <c r="I61" i="32" s="1"/>
  <c r="I62" i="32" s="1"/>
  <c r="H60" i="32"/>
  <c r="H61" i="32" s="1"/>
  <c r="H62" i="32" s="1"/>
  <c r="H63" i="32" s="1"/>
  <c r="H64" i="32" s="1"/>
  <c r="H65" i="32" s="1"/>
  <c r="H66" i="32" s="1"/>
  <c r="I56" i="32"/>
  <c r="I57" i="32" s="1"/>
  <c r="I58" i="32" s="1"/>
  <c r="I52" i="32"/>
  <c r="I53" i="32" s="1"/>
  <c r="I54" i="32" s="1"/>
  <c r="H52" i="32"/>
  <c r="H53" i="32" s="1"/>
  <c r="H54" i="32" s="1"/>
  <c r="H55" i="32" s="1"/>
  <c r="H56" i="32" s="1"/>
  <c r="H57" i="32" s="1"/>
  <c r="H58" i="32" s="1"/>
  <c r="G52" i="32"/>
  <c r="G53" i="32" s="1"/>
  <c r="G54" i="32" s="1"/>
  <c r="G55" i="32" s="1"/>
  <c r="G56" i="32" s="1"/>
  <c r="G57" i="32" s="1"/>
  <c r="G58" i="32" s="1"/>
  <c r="G59" i="32" s="1"/>
  <c r="G60" i="32" s="1"/>
  <c r="G61" i="32" s="1"/>
  <c r="G62" i="32" s="1"/>
  <c r="G63" i="32" s="1"/>
  <c r="G64" i="32" s="1"/>
  <c r="G65" i="32" s="1"/>
  <c r="G66" i="32" s="1"/>
  <c r="I48" i="32"/>
  <c r="I49" i="32" s="1"/>
  <c r="I50" i="32" s="1"/>
  <c r="I44" i="32"/>
  <c r="I45" i="32" s="1"/>
  <c r="I46" i="32" s="1"/>
  <c r="H44" i="32"/>
  <c r="H45" i="32" s="1"/>
  <c r="H46" i="32" s="1"/>
  <c r="H47" i="32" s="1"/>
  <c r="H48" i="32" s="1"/>
  <c r="H49" i="32" s="1"/>
  <c r="H50" i="32" s="1"/>
  <c r="I40" i="32"/>
  <c r="I41" i="32" s="1"/>
  <c r="I42" i="32" s="1"/>
  <c r="I36" i="32"/>
  <c r="I37" i="32" s="1"/>
  <c r="I38" i="32" s="1"/>
  <c r="H36" i="32"/>
  <c r="H37" i="32" s="1"/>
  <c r="H38" i="32" s="1"/>
  <c r="H39" i="32" s="1"/>
  <c r="H40" i="32" s="1"/>
  <c r="H41" i="32" s="1"/>
  <c r="H42" i="32" s="1"/>
  <c r="G36" i="32"/>
  <c r="G37" i="32" s="1"/>
  <c r="G38" i="32" s="1"/>
  <c r="G39" i="32" s="1"/>
  <c r="G40" i="32" s="1"/>
  <c r="G41" i="32" s="1"/>
  <c r="G42" i="32" s="1"/>
  <c r="G43" i="32" s="1"/>
  <c r="G44" i="32" s="1"/>
  <c r="G45" i="32" s="1"/>
  <c r="G46" i="32" s="1"/>
  <c r="G47" i="32" s="1"/>
  <c r="G48" i="32" s="1"/>
  <c r="G49" i="32" s="1"/>
  <c r="G50" i="32" s="1"/>
  <c r="I32" i="32"/>
  <c r="I33" i="32" s="1"/>
  <c r="I34" i="32" s="1"/>
  <c r="I28" i="32"/>
  <c r="I29" i="32" s="1"/>
  <c r="I30" i="32" s="1"/>
  <c r="H28" i="32"/>
  <c r="H29" i="32" s="1"/>
  <c r="H30" i="32" s="1"/>
  <c r="H31" i="32" s="1"/>
  <c r="H32" i="32" s="1"/>
  <c r="H33" i="32" s="1"/>
  <c r="H34" i="32" s="1"/>
  <c r="I24" i="32"/>
  <c r="I25" i="32" s="1"/>
  <c r="I26" i="32" s="1"/>
  <c r="I20" i="32"/>
  <c r="I21" i="32" s="1"/>
  <c r="I22" i="32" s="1"/>
  <c r="H20" i="32"/>
  <c r="H21" i="32" s="1"/>
  <c r="H22" i="32" s="1"/>
  <c r="H23" i="32" s="1"/>
  <c r="H24" i="32" s="1"/>
  <c r="H25" i="32" s="1"/>
  <c r="H26" i="32" s="1"/>
  <c r="G20" i="32"/>
  <c r="G21" i="32" s="1"/>
  <c r="G22" i="32" s="1"/>
  <c r="G23" i="32" s="1"/>
  <c r="G24" i="32" s="1"/>
  <c r="G25" i="32" s="1"/>
  <c r="G26" i="32" s="1"/>
  <c r="G27" i="32" s="1"/>
  <c r="G28" i="32" s="1"/>
  <c r="G29" i="32" s="1"/>
  <c r="G30" i="32" s="1"/>
  <c r="G31" i="32" s="1"/>
  <c r="G32" i="32" s="1"/>
  <c r="G33" i="32" s="1"/>
  <c r="G34" i="32" s="1"/>
  <c r="I16" i="32"/>
  <c r="I17" i="32" s="1"/>
  <c r="I18" i="32" s="1"/>
  <c r="I12" i="32"/>
  <c r="I13" i="32" s="1"/>
  <c r="I14" i="32" s="1"/>
  <c r="H12" i="32"/>
  <c r="H13" i="32" s="1"/>
  <c r="H14" i="32" s="1"/>
  <c r="H15" i="32" s="1"/>
  <c r="H16" i="32" s="1"/>
  <c r="H17" i="32" s="1"/>
  <c r="H18" i="32" s="1"/>
  <c r="I8" i="32"/>
  <c r="I9" i="32" s="1"/>
  <c r="I10" i="32" s="1"/>
  <c r="I4" i="32"/>
  <c r="I5" i="32" s="1"/>
  <c r="I6" i="32" s="1"/>
  <c r="H4" i="32"/>
  <c r="H5" i="32" s="1"/>
  <c r="H6" i="32" s="1"/>
  <c r="H7" i="32" s="1"/>
  <c r="H8" i="32" s="1"/>
  <c r="H9" i="32" s="1"/>
  <c r="H10" i="32" s="1"/>
  <c r="G4" i="32"/>
  <c r="G5" i="32" s="1"/>
  <c r="G6" i="32" s="1"/>
  <c r="G7" i="32" s="1"/>
  <c r="G8" i="32" s="1"/>
  <c r="G9" i="32" s="1"/>
  <c r="G10" i="32" s="1"/>
  <c r="G11" i="32" s="1"/>
  <c r="G12" i="32" s="1"/>
  <c r="G13" i="32" s="1"/>
  <c r="G14" i="32" s="1"/>
  <c r="G15" i="32" s="1"/>
  <c r="G16" i="32" s="1"/>
  <c r="G17" i="32" s="1"/>
  <c r="G18" i="32" s="1"/>
  <c r="F84" i="32"/>
  <c r="F85" i="32" s="1"/>
  <c r="F86" i="32" s="1"/>
  <c r="F87" i="32" s="1"/>
  <c r="F88" i="32" s="1"/>
  <c r="F89" i="32" s="1"/>
  <c r="F90" i="32" s="1"/>
  <c r="F91" i="32" s="1"/>
  <c r="F92" i="32" s="1"/>
  <c r="F93" i="32" s="1"/>
  <c r="F94" i="32" s="1"/>
  <c r="F95" i="32" s="1"/>
  <c r="F96" i="32" s="1"/>
  <c r="F97" i="32" s="1"/>
  <c r="F98" i="32" s="1"/>
  <c r="F68" i="32"/>
  <c r="F69" i="32" s="1"/>
  <c r="F70" i="32" s="1"/>
  <c r="F71" i="32" s="1"/>
  <c r="F72" i="32" s="1"/>
  <c r="F73" i="32" s="1"/>
  <c r="F74" i="32" s="1"/>
  <c r="F75" i="32" s="1"/>
  <c r="F76" i="32" s="1"/>
  <c r="F77" i="32" s="1"/>
  <c r="F78" i="32" s="1"/>
  <c r="F79" i="32" s="1"/>
  <c r="F80" i="32" s="1"/>
  <c r="F81" i="32" s="1"/>
  <c r="F82" i="32" s="1"/>
  <c r="F52" i="32"/>
  <c r="F53" i="32" s="1"/>
  <c r="F54" i="32" s="1"/>
  <c r="F55" i="32" s="1"/>
  <c r="F56" i="32" s="1"/>
  <c r="F57" i="32" s="1"/>
  <c r="F58" i="32" s="1"/>
  <c r="F59" i="32" s="1"/>
  <c r="F60" i="32" s="1"/>
  <c r="F61" i="32" s="1"/>
  <c r="F62" i="32" s="1"/>
  <c r="F63" i="32" s="1"/>
  <c r="F64" i="32" s="1"/>
  <c r="F65" i="32" s="1"/>
  <c r="F66" i="32" s="1"/>
  <c r="F36" i="32"/>
  <c r="F37" i="32" s="1"/>
  <c r="F38" i="32" s="1"/>
  <c r="F39" i="32" s="1"/>
  <c r="F40" i="32" s="1"/>
  <c r="F41" i="32" s="1"/>
  <c r="F42" i="32" s="1"/>
  <c r="F43" i="32" s="1"/>
  <c r="F44" i="32" s="1"/>
  <c r="F45" i="32" s="1"/>
  <c r="F46" i="32" s="1"/>
  <c r="F47" i="32" s="1"/>
  <c r="F48" i="32" s="1"/>
  <c r="F49" i="32" s="1"/>
  <c r="F50" i="32" s="1"/>
  <c r="F20" i="32"/>
  <c r="F21" i="32" s="1"/>
  <c r="F22" i="32" s="1"/>
  <c r="F23" i="32" s="1"/>
  <c r="F24" i="32" s="1"/>
  <c r="F25" i="32" s="1"/>
  <c r="F26" i="32" s="1"/>
  <c r="F27" i="32" s="1"/>
  <c r="F28" i="32" s="1"/>
  <c r="F29" i="32" s="1"/>
  <c r="F30" i="32" s="1"/>
  <c r="F31" i="32" s="1"/>
  <c r="F32" i="32" s="1"/>
  <c r="F33" i="32" s="1"/>
  <c r="F34" i="32" s="1"/>
  <c r="F4" i="32"/>
  <c r="N100" i="46"/>
  <c r="N101" i="46"/>
  <c r="N102" i="46"/>
  <c r="N103" i="46"/>
  <c r="N104" i="46"/>
  <c r="N105" i="46"/>
  <c r="N106" i="46"/>
  <c r="N107" i="46"/>
  <c r="N108" i="46"/>
  <c r="N109" i="46"/>
  <c r="N110" i="46"/>
  <c r="N111" i="46"/>
  <c r="N112" i="46"/>
  <c r="N113" i="46"/>
  <c r="N114" i="46"/>
  <c r="N115" i="46"/>
  <c r="N116" i="46"/>
  <c r="N117" i="46"/>
  <c r="N118" i="46"/>
  <c r="N119" i="46"/>
  <c r="N120" i="46"/>
  <c r="N121" i="46"/>
  <c r="N122" i="46"/>
  <c r="N123" i="46"/>
  <c r="N124" i="46"/>
  <c r="N125" i="46"/>
  <c r="N126" i="46"/>
  <c r="N127" i="46"/>
  <c r="N128" i="46"/>
  <c r="N129" i="46"/>
  <c r="N130" i="46"/>
  <c r="N131" i="46"/>
  <c r="N132" i="46"/>
  <c r="N133" i="46"/>
  <c r="N134" i="46"/>
  <c r="N135" i="46"/>
  <c r="N136" i="46"/>
  <c r="N137" i="46"/>
  <c r="N138" i="46"/>
  <c r="N139" i="46"/>
  <c r="N140" i="46"/>
  <c r="N141" i="46"/>
  <c r="N142" i="46"/>
  <c r="N143" i="46"/>
  <c r="N144" i="46"/>
  <c r="N145" i="46"/>
  <c r="N146" i="46"/>
  <c r="N147" i="46"/>
  <c r="N148" i="46"/>
  <c r="N149" i="46"/>
  <c r="N150" i="46"/>
  <c r="N151" i="46"/>
  <c r="N152" i="46"/>
  <c r="N153" i="46"/>
  <c r="N154" i="46"/>
  <c r="N155" i="46"/>
  <c r="N156" i="46"/>
  <c r="N157" i="46"/>
  <c r="N158" i="46"/>
  <c r="N159" i="46"/>
  <c r="N160" i="46"/>
  <c r="N161" i="46"/>
  <c r="N162" i="46"/>
  <c r="N163" i="46"/>
  <c r="N164" i="46"/>
  <c r="N165" i="46"/>
  <c r="N166" i="46"/>
  <c r="N167" i="46"/>
  <c r="N168" i="46"/>
  <c r="N169" i="46"/>
  <c r="N170" i="46"/>
  <c r="N171" i="46"/>
  <c r="N172" i="46"/>
  <c r="N173" i="46"/>
  <c r="N174" i="46"/>
  <c r="N175" i="46"/>
  <c r="N176" i="46"/>
  <c r="N177" i="46"/>
  <c r="N178" i="46"/>
  <c r="N179" i="46"/>
  <c r="N180" i="46"/>
  <c r="N181" i="46"/>
  <c r="N182" i="46"/>
  <c r="N183" i="46"/>
  <c r="N184" i="46"/>
  <c r="N185" i="46"/>
  <c r="N186" i="46"/>
  <c r="N187" i="46"/>
  <c r="N188" i="46"/>
  <c r="N189" i="46"/>
  <c r="N190" i="46"/>
  <c r="N191" i="46"/>
  <c r="N192" i="46"/>
  <c r="N193" i="46"/>
  <c r="N194" i="46"/>
  <c r="N99" i="46"/>
  <c r="N4" i="46"/>
  <c r="N5" i="46"/>
  <c r="N6" i="46"/>
  <c r="N7" i="46"/>
  <c r="N8" i="46"/>
  <c r="N9" i="46"/>
  <c r="N10" i="46"/>
  <c r="N11" i="46"/>
  <c r="N12" i="46"/>
  <c r="N13" i="46"/>
  <c r="N14" i="46"/>
  <c r="N15" i="46"/>
  <c r="N16" i="46"/>
  <c r="N17" i="46"/>
  <c r="N18" i="46"/>
  <c r="N19" i="46"/>
  <c r="N20" i="46"/>
  <c r="N21" i="46"/>
  <c r="N22" i="46"/>
  <c r="N23" i="46"/>
  <c r="N24" i="46"/>
  <c r="N25" i="46"/>
  <c r="N26" i="46"/>
  <c r="N27" i="46"/>
  <c r="N28" i="46"/>
  <c r="N29" i="46"/>
  <c r="N30" i="46"/>
  <c r="N31" i="46"/>
  <c r="N32" i="46"/>
  <c r="N33" i="46"/>
  <c r="N34" i="46"/>
  <c r="N35" i="46"/>
  <c r="N36" i="46"/>
  <c r="N37" i="46"/>
  <c r="N38" i="46"/>
  <c r="N39" i="46"/>
  <c r="N40" i="46"/>
  <c r="N41" i="46"/>
  <c r="N42" i="46"/>
  <c r="N43" i="46"/>
  <c r="N44" i="46"/>
  <c r="N45" i="46"/>
  <c r="N46" i="46"/>
  <c r="N47" i="46"/>
  <c r="N48" i="46"/>
  <c r="N49" i="46"/>
  <c r="N50" i="46"/>
  <c r="N51" i="46"/>
  <c r="N52" i="46"/>
  <c r="N53" i="46"/>
  <c r="N54" i="46"/>
  <c r="N55" i="46"/>
  <c r="N56" i="46"/>
  <c r="N57" i="46"/>
  <c r="N58" i="46"/>
  <c r="N59" i="46"/>
  <c r="N60" i="46"/>
  <c r="N61" i="46"/>
  <c r="N62" i="46"/>
  <c r="N63" i="46"/>
  <c r="N64" i="46"/>
  <c r="N65" i="46"/>
  <c r="N66" i="46"/>
  <c r="N67" i="46"/>
  <c r="N68" i="46"/>
  <c r="N69" i="46"/>
  <c r="N70" i="46"/>
  <c r="N71" i="46"/>
  <c r="N72" i="46"/>
  <c r="N73" i="46"/>
  <c r="N74" i="46"/>
  <c r="N75" i="46"/>
  <c r="N76" i="46"/>
  <c r="N77" i="46"/>
  <c r="N78" i="46"/>
  <c r="N79" i="46"/>
  <c r="N80" i="46"/>
  <c r="N81" i="46"/>
  <c r="N82" i="46"/>
  <c r="N83" i="46"/>
  <c r="N84" i="46"/>
  <c r="N85" i="46"/>
  <c r="N86" i="46"/>
  <c r="N87" i="46"/>
  <c r="N88" i="46"/>
  <c r="N89" i="46"/>
  <c r="N90" i="46"/>
  <c r="N91" i="46"/>
  <c r="N92" i="46"/>
  <c r="N93" i="46"/>
  <c r="N94" i="46"/>
  <c r="N95" i="46"/>
  <c r="N96" i="46"/>
  <c r="N97" i="46"/>
  <c r="N98" i="46"/>
  <c r="N3" i="46"/>
  <c r="I192" i="46"/>
  <c r="I193" i="46" s="1"/>
  <c r="I194" i="46" s="1"/>
  <c r="I188" i="46"/>
  <c r="I189" i="46" s="1"/>
  <c r="I190" i="46" s="1"/>
  <c r="H188" i="46"/>
  <c r="H189" i="46" s="1"/>
  <c r="H190" i="46" s="1"/>
  <c r="H191" i="46" s="1"/>
  <c r="H192" i="46" s="1"/>
  <c r="H193" i="46" s="1"/>
  <c r="H194" i="46" s="1"/>
  <c r="I184" i="46"/>
  <c r="I185" i="46" s="1"/>
  <c r="I186" i="46" s="1"/>
  <c r="I181" i="46"/>
  <c r="I182" i="46" s="1"/>
  <c r="I180" i="46"/>
  <c r="H180" i="46"/>
  <c r="H181" i="46" s="1"/>
  <c r="H182" i="46" s="1"/>
  <c r="H183" i="46" s="1"/>
  <c r="H184" i="46" s="1"/>
  <c r="H185" i="46" s="1"/>
  <c r="H186" i="46" s="1"/>
  <c r="G180" i="46"/>
  <c r="G181" i="46" s="1"/>
  <c r="G182" i="46" s="1"/>
  <c r="G183" i="46" s="1"/>
  <c r="G184" i="46" s="1"/>
  <c r="G185" i="46" s="1"/>
  <c r="G186" i="46" s="1"/>
  <c r="G187" i="46" s="1"/>
  <c r="G188" i="46" s="1"/>
  <c r="G189" i="46" s="1"/>
  <c r="G190" i="46" s="1"/>
  <c r="G191" i="46" s="1"/>
  <c r="G192" i="46" s="1"/>
  <c r="G193" i="46" s="1"/>
  <c r="G194" i="46" s="1"/>
  <c r="F180" i="46"/>
  <c r="F181" i="46" s="1"/>
  <c r="F182" i="46" s="1"/>
  <c r="F183" i="46" s="1"/>
  <c r="F184" i="46" s="1"/>
  <c r="F185" i="46" s="1"/>
  <c r="F186" i="46" s="1"/>
  <c r="F187" i="46" s="1"/>
  <c r="F188" i="46" s="1"/>
  <c r="F189" i="46" s="1"/>
  <c r="F190" i="46" s="1"/>
  <c r="F191" i="46" s="1"/>
  <c r="F192" i="46" s="1"/>
  <c r="F193" i="46" s="1"/>
  <c r="F194" i="46" s="1"/>
  <c r="I176" i="46"/>
  <c r="I177" i="46" s="1"/>
  <c r="I178" i="46" s="1"/>
  <c r="I172" i="46"/>
  <c r="I173" i="46" s="1"/>
  <c r="I174" i="46" s="1"/>
  <c r="H172" i="46"/>
  <c r="H173" i="46" s="1"/>
  <c r="H174" i="46" s="1"/>
  <c r="H175" i="46" s="1"/>
  <c r="H176" i="46" s="1"/>
  <c r="H177" i="46" s="1"/>
  <c r="H178" i="46" s="1"/>
  <c r="I168" i="46"/>
  <c r="I169" i="46" s="1"/>
  <c r="I170" i="46" s="1"/>
  <c r="I164" i="46"/>
  <c r="I165" i="46" s="1"/>
  <c r="I166" i="46" s="1"/>
  <c r="H164" i="46"/>
  <c r="H165" i="46" s="1"/>
  <c r="H166" i="46" s="1"/>
  <c r="H167" i="46" s="1"/>
  <c r="H168" i="46" s="1"/>
  <c r="H169" i="46" s="1"/>
  <c r="H170" i="46" s="1"/>
  <c r="G164" i="46"/>
  <c r="G165" i="46" s="1"/>
  <c r="G166" i="46" s="1"/>
  <c r="G167" i="46" s="1"/>
  <c r="G168" i="46" s="1"/>
  <c r="G169" i="46" s="1"/>
  <c r="G170" i="46" s="1"/>
  <c r="G171" i="46" s="1"/>
  <c r="G172" i="46" s="1"/>
  <c r="G173" i="46" s="1"/>
  <c r="G174" i="46" s="1"/>
  <c r="G175" i="46" s="1"/>
  <c r="G176" i="46" s="1"/>
  <c r="G177" i="46" s="1"/>
  <c r="G178" i="46" s="1"/>
  <c r="F164" i="46"/>
  <c r="F165" i="46" s="1"/>
  <c r="F166" i="46" s="1"/>
  <c r="F167" i="46" s="1"/>
  <c r="F168" i="46" s="1"/>
  <c r="F169" i="46" s="1"/>
  <c r="F170" i="46" s="1"/>
  <c r="F171" i="46" s="1"/>
  <c r="F172" i="46" s="1"/>
  <c r="F173" i="46" s="1"/>
  <c r="F174" i="46" s="1"/>
  <c r="F175" i="46" s="1"/>
  <c r="F176" i="46" s="1"/>
  <c r="F177" i="46" s="1"/>
  <c r="F178" i="46" s="1"/>
  <c r="I160" i="46"/>
  <c r="I161" i="46" s="1"/>
  <c r="I162" i="46" s="1"/>
  <c r="I156" i="46"/>
  <c r="I157" i="46" s="1"/>
  <c r="I158" i="46" s="1"/>
  <c r="H156" i="46"/>
  <c r="H157" i="46" s="1"/>
  <c r="H158" i="46" s="1"/>
  <c r="H159" i="46" s="1"/>
  <c r="H160" i="46" s="1"/>
  <c r="H161" i="46" s="1"/>
  <c r="H162" i="46" s="1"/>
  <c r="I152" i="46"/>
  <c r="I153" i="46" s="1"/>
  <c r="I154" i="46" s="1"/>
  <c r="I149" i="46"/>
  <c r="I150" i="46" s="1"/>
  <c r="I148" i="46"/>
  <c r="H148" i="46"/>
  <c r="H149" i="46" s="1"/>
  <c r="H150" i="46" s="1"/>
  <c r="H151" i="46" s="1"/>
  <c r="H152" i="46" s="1"/>
  <c r="H153" i="46" s="1"/>
  <c r="H154" i="46" s="1"/>
  <c r="G148" i="46"/>
  <c r="G149" i="46" s="1"/>
  <c r="G150" i="46" s="1"/>
  <c r="G151" i="46" s="1"/>
  <c r="G152" i="46" s="1"/>
  <c r="G153" i="46" s="1"/>
  <c r="G154" i="46" s="1"/>
  <c r="G155" i="46" s="1"/>
  <c r="G156" i="46" s="1"/>
  <c r="G157" i="46" s="1"/>
  <c r="G158" i="46" s="1"/>
  <c r="G159" i="46" s="1"/>
  <c r="G160" i="46" s="1"/>
  <c r="G161" i="46" s="1"/>
  <c r="G162" i="46" s="1"/>
  <c r="F148" i="46"/>
  <c r="F149" i="46" s="1"/>
  <c r="F150" i="46" s="1"/>
  <c r="F151" i="46" s="1"/>
  <c r="F152" i="46" s="1"/>
  <c r="F153" i="46" s="1"/>
  <c r="F154" i="46" s="1"/>
  <c r="F155" i="46" s="1"/>
  <c r="F156" i="46" s="1"/>
  <c r="F157" i="46" s="1"/>
  <c r="F158" i="46" s="1"/>
  <c r="F159" i="46" s="1"/>
  <c r="F160" i="46" s="1"/>
  <c r="F161" i="46" s="1"/>
  <c r="F162" i="46" s="1"/>
  <c r="I144" i="46"/>
  <c r="I145" i="46" s="1"/>
  <c r="I146" i="46" s="1"/>
  <c r="I140" i="46"/>
  <c r="I141" i="46" s="1"/>
  <c r="I142" i="46" s="1"/>
  <c r="H140" i="46"/>
  <c r="H141" i="46" s="1"/>
  <c r="H142" i="46" s="1"/>
  <c r="H143" i="46" s="1"/>
  <c r="H144" i="46" s="1"/>
  <c r="H145" i="46" s="1"/>
  <c r="H146" i="46" s="1"/>
  <c r="I136" i="46"/>
  <c r="I137" i="46" s="1"/>
  <c r="I138" i="46" s="1"/>
  <c r="I132" i="46"/>
  <c r="I133" i="46" s="1"/>
  <c r="I134" i="46" s="1"/>
  <c r="H132" i="46"/>
  <c r="H133" i="46" s="1"/>
  <c r="H134" i="46" s="1"/>
  <c r="H135" i="46" s="1"/>
  <c r="H136" i="46" s="1"/>
  <c r="H137" i="46" s="1"/>
  <c r="H138" i="46" s="1"/>
  <c r="G132" i="46"/>
  <c r="G133" i="46" s="1"/>
  <c r="G134" i="46" s="1"/>
  <c r="G135" i="46" s="1"/>
  <c r="G136" i="46" s="1"/>
  <c r="G137" i="46" s="1"/>
  <c r="G138" i="46" s="1"/>
  <c r="G139" i="46" s="1"/>
  <c r="G140" i="46" s="1"/>
  <c r="G141" i="46" s="1"/>
  <c r="G142" i="46" s="1"/>
  <c r="G143" i="46" s="1"/>
  <c r="G144" i="46" s="1"/>
  <c r="G145" i="46" s="1"/>
  <c r="G146" i="46" s="1"/>
  <c r="F132" i="46"/>
  <c r="F133" i="46" s="1"/>
  <c r="F134" i="46" s="1"/>
  <c r="F135" i="46" s="1"/>
  <c r="F136" i="46" s="1"/>
  <c r="F137" i="46" s="1"/>
  <c r="F138" i="46" s="1"/>
  <c r="F139" i="46" s="1"/>
  <c r="F140" i="46" s="1"/>
  <c r="F141" i="46" s="1"/>
  <c r="F142" i="46" s="1"/>
  <c r="F143" i="46" s="1"/>
  <c r="F144" i="46" s="1"/>
  <c r="F145" i="46" s="1"/>
  <c r="F146" i="46" s="1"/>
  <c r="I128" i="46"/>
  <c r="I129" i="46" s="1"/>
  <c r="I130" i="46" s="1"/>
  <c r="I124" i="46"/>
  <c r="I125" i="46" s="1"/>
  <c r="I126" i="46" s="1"/>
  <c r="H124" i="46"/>
  <c r="H125" i="46" s="1"/>
  <c r="H126" i="46" s="1"/>
  <c r="H127" i="46" s="1"/>
  <c r="H128" i="46" s="1"/>
  <c r="H129" i="46" s="1"/>
  <c r="H130" i="46" s="1"/>
  <c r="I120" i="46"/>
  <c r="I121" i="46" s="1"/>
  <c r="I122" i="46" s="1"/>
  <c r="I116" i="46"/>
  <c r="I117" i="46" s="1"/>
  <c r="I118" i="46" s="1"/>
  <c r="H116" i="46"/>
  <c r="H117" i="46" s="1"/>
  <c r="H118" i="46" s="1"/>
  <c r="H119" i="46" s="1"/>
  <c r="H120" i="46" s="1"/>
  <c r="H121" i="46" s="1"/>
  <c r="H122" i="46" s="1"/>
  <c r="G116" i="46"/>
  <c r="G117" i="46" s="1"/>
  <c r="G118" i="46" s="1"/>
  <c r="G119" i="46" s="1"/>
  <c r="G120" i="46" s="1"/>
  <c r="G121" i="46" s="1"/>
  <c r="G122" i="46" s="1"/>
  <c r="G123" i="46" s="1"/>
  <c r="G124" i="46" s="1"/>
  <c r="G125" i="46" s="1"/>
  <c r="G126" i="46" s="1"/>
  <c r="G127" i="46" s="1"/>
  <c r="G128" i="46" s="1"/>
  <c r="G129" i="46" s="1"/>
  <c r="G130" i="46" s="1"/>
  <c r="F116" i="46"/>
  <c r="F117" i="46" s="1"/>
  <c r="F118" i="46" s="1"/>
  <c r="F119" i="46" s="1"/>
  <c r="F120" i="46" s="1"/>
  <c r="F121" i="46" s="1"/>
  <c r="F122" i="46" s="1"/>
  <c r="F123" i="46" s="1"/>
  <c r="F124" i="46" s="1"/>
  <c r="F125" i="46" s="1"/>
  <c r="F126" i="46" s="1"/>
  <c r="F127" i="46" s="1"/>
  <c r="F128" i="46" s="1"/>
  <c r="F129" i="46" s="1"/>
  <c r="F130" i="46" s="1"/>
  <c r="I112" i="46"/>
  <c r="I113" i="46" s="1"/>
  <c r="I114" i="46" s="1"/>
  <c r="I108" i="46"/>
  <c r="I109" i="46" s="1"/>
  <c r="I110" i="46" s="1"/>
  <c r="H108" i="46"/>
  <c r="H109" i="46" s="1"/>
  <c r="H110" i="46" s="1"/>
  <c r="H111" i="46" s="1"/>
  <c r="H112" i="46" s="1"/>
  <c r="H113" i="46" s="1"/>
  <c r="H114" i="46" s="1"/>
  <c r="I104" i="46"/>
  <c r="I105" i="46" s="1"/>
  <c r="I106" i="46" s="1"/>
  <c r="I100" i="46"/>
  <c r="I101" i="46" s="1"/>
  <c r="I102" i="46" s="1"/>
  <c r="H100" i="46"/>
  <c r="H101" i="46" s="1"/>
  <c r="H102" i="46" s="1"/>
  <c r="H103" i="46" s="1"/>
  <c r="H104" i="46" s="1"/>
  <c r="H105" i="46" s="1"/>
  <c r="H106" i="46" s="1"/>
  <c r="G100" i="46"/>
  <c r="G101" i="46" s="1"/>
  <c r="G102" i="46" s="1"/>
  <c r="G103" i="46" s="1"/>
  <c r="G104" i="46" s="1"/>
  <c r="G105" i="46" s="1"/>
  <c r="G106" i="46" s="1"/>
  <c r="G107" i="46" s="1"/>
  <c r="G108" i="46" s="1"/>
  <c r="G109" i="46" s="1"/>
  <c r="G110" i="46" s="1"/>
  <c r="G111" i="46" s="1"/>
  <c r="G112" i="46" s="1"/>
  <c r="G113" i="46" s="1"/>
  <c r="G114" i="46" s="1"/>
  <c r="F100" i="46"/>
  <c r="F101" i="46" s="1"/>
  <c r="F102" i="46" s="1"/>
  <c r="F103" i="46" s="1"/>
  <c r="F104" i="46" s="1"/>
  <c r="F105" i="46" s="1"/>
  <c r="F106" i="46" s="1"/>
  <c r="F107" i="46" s="1"/>
  <c r="F108" i="46" s="1"/>
  <c r="F109" i="46" s="1"/>
  <c r="F110" i="46" s="1"/>
  <c r="F111" i="46" s="1"/>
  <c r="F112" i="46" s="1"/>
  <c r="F113" i="46" s="1"/>
  <c r="F114" i="46" s="1"/>
  <c r="F5" i="32" l="1"/>
  <c r="F6" i="32" s="1"/>
  <c r="F7" i="32" s="1"/>
  <c r="F8" i="32" s="1"/>
  <c r="F9" i="32" s="1"/>
  <c r="F10" i="32" s="1"/>
  <c r="F11" i="32" s="1"/>
  <c r="F12" i="32" s="1"/>
  <c r="F13" i="32" s="1"/>
  <c r="F14" i="32" s="1"/>
  <c r="F15" i="32" s="1"/>
  <c r="F16" i="32" s="1"/>
  <c r="F17" i="32" s="1"/>
  <c r="F18" i="32" s="1"/>
  <c r="H5" i="50"/>
  <c r="H6" i="50" s="1"/>
  <c r="H7" i="50" s="1"/>
  <c r="H8" i="50" s="1"/>
  <c r="H9" i="50" s="1"/>
  <c r="H10" i="50" s="1"/>
  <c r="H270" i="42"/>
  <c r="H271" i="42" s="1"/>
  <c r="H272" i="42" s="1"/>
  <c r="H273" i="42" s="1"/>
  <c r="H274" i="42" s="1"/>
  <c r="N194" i="30"/>
  <c r="N193" i="30"/>
  <c r="N192" i="30"/>
  <c r="I192" i="30"/>
  <c r="I193" i="30" s="1"/>
  <c r="I194" i="30" s="1"/>
  <c r="N191" i="30"/>
  <c r="N190" i="30"/>
  <c r="N189" i="30"/>
  <c r="I189" i="30"/>
  <c r="I190" i="30" s="1"/>
  <c r="N188" i="30"/>
  <c r="I188" i="30"/>
  <c r="H188" i="30"/>
  <c r="H189" i="30" s="1"/>
  <c r="H190" i="30" s="1"/>
  <c r="H191" i="30" s="1"/>
  <c r="H192" i="30" s="1"/>
  <c r="H193" i="30" s="1"/>
  <c r="H194" i="30" s="1"/>
  <c r="N187" i="30"/>
  <c r="N186" i="30"/>
  <c r="N185" i="30"/>
  <c r="N184" i="30"/>
  <c r="I184" i="30"/>
  <c r="I185" i="30" s="1"/>
  <c r="I186" i="30" s="1"/>
  <c r="N183" i="30"/>
  <c r="N182" i="30"/>
  <c r="N181" i="30"/>
  <c r="N180" i="30"/>
  <c r="I180" i="30"/>
  <c r="I181" i="30" s="1"/>
  <c r="I182" i="30" s="1"/>
  <c r="H180" i="30"/>
  <c r="H181" i="30" s="1"/>
  <c r="H182" i="30" s="1"/>
  <c r="H183" i="30" s="1"/>
  <c r="H184" i="30" s="1"/>
  <c r="H185" i="30" s="1"/>
  <c r="H186" i="30" s="1"/>
  <c r="G180" i="30"/>
  <c r="G181" i="30" s="1"/>
  <c r="G182" i="30" s="1"/>
  <c r="G183" i="30" s="1"/>
  <c r="G184" i="30" s="1"/>
  <c r="G185" i="30" s="1"/>
  <c r="G186" i="30" s="1"/>
  <c r="G187" i="30" s="1"/>
  <c r="G188" i="30" s="1"/>
  <c r="G189" i="30" s="1"/>
  <c r="G190" i="30" s="1"/>
  <c r="G191" i="30" s="1"/>
  <c r="G192" i="30" s="1"/>
  <c r="G193" i="30" s="1"/>
  <c r="G194" i="30" s="1"/>
  <c r="F180" i="30"/>
  <c r="F181" i="30" s="1"/>
  <c r="F182" i="30" s="1"/>
  <c r="F183" i="30" s="1"/>
  <c r="F184" i="30" s="1"/>
  <c r="F185" i="30" s="1"/>
  <c r="F186" i="30" s="1"/>
  <c r="F187" i="30" s="1"/>
  <c r="F188" i="30" s="1"/>
  <c r="F189" i="30" s="1"/>
  <c r="F190" i="30" s="1"/>
  <c r="F191" i="30" s="1"/>
  <c r="F192" i="30" s="1"/>
  <c r="F193" i="30" s="1"/>
  <c r="F194" i="30" s="1"/>
  <c r="N179" i="30"/>
  <c r="N178" i="30"/>
  <c r="N177" i="30"/>
  <c r="N176" i="30"/>
  <c r="I176" i="30"/>
  <c r="I177" i="30" s="1"/>
  <c r="I178" i="30" s="1"/>
  <c r="N175" i="30"/>
  <c r="N174" i="30"/>
  <c r="N173" i="30"/>
  <c r="N172" i="30"/>
  <c r="I172" i="30"/>
  <c r="I173" i="30" s="1"/>
  <c r="I174" i="30" s="1"/>
  <c r="H172" i="30"/>
  <c r="H173" i="30" s="1"/>
  <c r="H174" i="30" s="1"/>
  <c r="H175" i="30" s="1"/>
  <c r="H176" i="30" s="1"/>
  <c r="H177" i="30" s="1"/>
  <c r="H178" i="30" s="1"/>
  <c r="N171" i="30"/>
  <c r="N170" i="30"/>
  <c r="N169" i="30"/>
  <c r="N168" i="30"/>
  <c r="I168" i="30"/>
  <c r="I169" i="30" s="1"/>
  <c r="I170" i="30" s="1"/>
  <c r="N167" i="30"/>
  <c r="N166" i="30"/>
  <c r="N165" i="30"/>
  <c r="I165" i="30"/>
  <c r="I166" i="30" s="1"/>
  <c r="N164" i="30"/>
  <c r="I164" i="30"/>
  <c r="H164" i="30"/>
  <c r="H165" i="30" s="1"/>
  <c r="H166" i="30" s="1"/>
  <c r="H167" i="30" s="1"/>
  <c r="H168" i="30" s="1"/>
  <c r="H169" i="30" s="1"/>
  <c r="H170" i="30" s="1"/>
  <c r="G164" i="30"/>
  <c r="G165" i="30" s="1"/>
  <c r="G166" i="30" s="1"/>
  <c r="G167" i="30" s="1"/>
  <c r="G168" i="30" s="1"/>
  <c r="G169" i="30" s="1"/>
  <c r="G170" i="30" s="1"/>
  <c r="G171" i="30" s="1"/>
  <c r="G172" i="30" s="1"/>
  <c r="G173" i="30" s="1"/>
  <c r="G174" i="30" s="1"/>
  <c r="G175" i="30" s="1"/>
  <c r="G176" i="30" s="1"/>
  <c r="G177" i="30" s="1"/>
  <c r="G178" i="30" s="1"/>
  <c r="F164" i="30"/>
  <c r="F165" i="30" s="1"/>
  <c r="F166" i="30" s="1"/>
  <c r="F167" i="30" s="1"/>
  <c r="F168" i="30" s="1"/>
  <c r="F169" i="30" s="1"/>
  <c r="F170" i="30" s="1"/>
  <c r="F171" i="30" s="1"/>
  <c r="F172" i="30" s="1"/>
  <c r="F173" i="30" s="1"/>
  <c r="F174" i="30" s="1"/>
  <c r="F175" i="30" s="1"/>
  <c r="F176" i="30" s="1"/>
  <c r="F177" i="30" s="1"/>
  <c r="F178" i="30" s="1"/>
  <c r="N163" i="30"/>
  <c r="N162" i="30"/>
  <c r="N161" i="30"/>
  <c r="N160" i="30"/>
  <c r="I160" i="30"/>
  <c r="I161" i="30" s="1"/>
  <c r="I162" i="30" s="1"/>
  <c r="N159" i="30"/>
  <c r="N158" i="30"/>
  <c r="N157" i="30"/>
  <c r="N156" i="30"/>
  <c r="I156" i="30"/>
  <c r="I157" i="30" s="1"/>
  <c r="I158" i="30" s="1"/>
  <c r="H156" i="30"/>
  <c r="H157" i="30" s="1"/>
  <c r="H158" i="30" s="1"/>
  <c r="H159" i="30" s="1"/>
  <c r="H160" i="30" s="1"/>
  <c r="H161" i="30" s="1"/>
  <c r="H162" i="30" s="1"/>
  <c r="N155" i="30"/>
  <c r="N154" i="30"/>
  <c r="N153" i="30"/>
  <c r="N152" i="30"/>
  <c r="I152" i="30"/>
  <c r="I153" i="30" s="1"/>
  <c r="I154" i="30" s="1"/>
  <c r="N151" i="30"/>
  <c r="N150" i="30"/>
  <c r="N149" i="30"/>
  <c r="N148" i="30"/>
  <c r="I148" i="30"/>
  <c r="I149" i="30" s="1"/>
  <c r="I150" i="30" s="1"/>
  <c r="H148" i="30"/>
  <c r="H149" i="30" s="1"/>
  <c r="H150" i="30" s="1"/>
  <c r="H151" i="30" s="1"/>
  <c r="H152" i="30" s="1"/>
  <c r="H153" i="30" s="1"/>
  <c r="H154" i="30" s="1"/>
  <c r="G148" i="30"/>
  <c r="G149" i="30" s="1"/>
  <c r="G150" i="30" s="1"/>
  <c r="G151" i="30" s="1"/>
  <c r="G152" i="30" s="1"/>
  <c r="G153" i="30" s="1"/>
  <c r="G154" i="30" s="1"/>
  <c r="G155" i="30" s="1"/>
  <c r="G156" i="30" s="1"/>
  <c r="G157" i="30" s="1"/>
  <c r="G158" i="30" s="1"/>
  <c r="G159" i="30" s="1"/>
  <c r="G160" i="30" s="1"/>
  <c r="G161" i="30" s="1"/>
  <c r="G162" i="30" s="1"/>
  <c r="F148" i="30"/>
  <c r="F149" i="30" s="1"/>
  <c r="F150" i="30" s="1"/>
  <c r="F151" i="30" s="1"/>
  <c r="F152" i="30" s="1"/>
  <c r="F153" i="30" s="1"/>
  <c r="F154" i="30" s="1"/>
  <c r="F155" i="30" s="1"/>
  <c r="F156" i="30" s="1"/>
  <c r="F157" i="30" s="1"/>
  <c r="F158" i="30" s="1"/>
  <c r="F159" i="30" s="1"/>
  <c r="F160" i="30" s="1"/>
  <c r="F161" i="30" s="1"/>
  <c r="F162" i="30" s="1"/>
  <c r="N147" i="30"/>
  <c r="N146" i="30"/>
  <c r="N145" i="30"/>
  <c r="N144" i="30"/>
  <c r="I144" i="30"/>
  <c r="I145" i="30" s="1"/>
  <c r="I146" i="30" s="1"/>
  <c r="N143" i="30"/>
  <c r="N142" i="30"/>
  <c r="N141" i="30"/>
  <c r="N140" i="30"/>
  <c r="I140" i="30"/>
  <c r="I141" i="30" s="1"/>
  <c r="I142" i="30" s="1"/>
  <c r="H140" i="30"/>
  <c r="H141" i="30" s="1"/>
  <c r="H142" i="30" s="1"/>
  <c r="H143" i="30" s="1"/>
  <c r="H144" i="30" s="1"/>
  <c r="H145" i="30" s="1"/>
  <c r="H146" i="30" s="1"/>
  <c r="N139" i="30"/>
  <c r="N138" i="30"/>
  <c r="N137" i="30"/>
  <c r="N136" i="30"/>
  <c r="I136" i="30"/>
  <c r="I137" i="30" s="1"/>
  <c r="I138" i="30" s="1"/>
  <c r="N135" i="30"/>
  <c r="N134" i="30"/>
  <c r="N133" i="30"/>
  <c r="G133" i="30"/>
  <c r="G134" i="30" s="1"/>
  <c r="G135" i="30" s="1"/>
  <c r="G136" i="30" s="1"/>
  <c r="G137" i="30" s="1"/>
  <c r="G138" i="30" s="1"/>
  <c r="G139" i="30" s="1"/>
  <c r="G140" i="30" s="1"/>
  <c r="G141" i="30" s="1"/>
  <c r="G142" i="30" s="1"/>
  <c r="G143" i="30" s="1"/>
  <c r="G144" i="30" s="1"/>
  <c r="G145" i="30" s="1"/>
  <c r="G146" i="30" s="1"/>
  <c r="N132" i="30"/>
  <c r="I132" i="30"/>
  <c r="I133" i="30" s="1"/>
  <c r="I134" i="30" s="1"/>
  <c r="H132" i="30"/>
  <c r="H133" i="30" s="1"/>
  <c r="H134" i="30" s="1"/>
  <c r="H135" i="30" s="1"/>
  <c r="H136" i="30" s="1"/>
  <c r="H137" i="30" s="1"/>
  <c r="H138" i="30" s="1"/>
  <c r="G132" i="30"/>
  <c r="F132" i="30"/>
  <c r="F133" i="30" s="1"/>
  <c r="F134" i="30" s="1"/>
  <c r="F135" i="30" s="1"/>
  <c r="F136" i="30" s="1"/>
  <c r="F137" i="30" s="1"/>
  <c r="F138" i="30" s="1"/>
  <c r="F139" i="30" s="1"/>
  <c r="F140" i="30" s="1"/>
  <c r="F141" i="30" s="1"/>
  <c r="F142" i="30" s="1"/>
  <c r="F143" i="30" s="1"/>
  <c r="F144" i="30" s="1"/>
  <c r="F145" i="30" s="1"/>
  <c r="F146" i="30" s="1"/>
  <c r="N131" i="30"/>
  <c r="N130" i="30"/>
  <c r="N129" i="30"/>
  <c r="N128" i="30"/>
  <c r="I128" i="30"/>
  <c r="I129" i="30" s="1"/>
  <c r="I130" i="30" s="1"/>
  <c r="N127" i="30"/>
  <c r="N126" i="30"/>
  <c r="N125" i="30"/>
  <c r="N124" i="30"/>
  <c r="I124" i="30"/>
  <c r="I125" i="30" s="1"/>
  <c r="I126" i="30" s="1"/>
  <c r="H124" i="30"/>
  <c r="H125" i="30" s="1"/>
  <c r="H126" i="30" s="1"/>
  <c r="H127" i="30" s="1"/>
  <c r="H128" i="30" s="1"/>
  <c r="H129" i="30" s="1"/>
  <c r="H130" i="30" s="1"/>
  <c r="N123" i="30"/>
  <c r="N122" i="30"/>
  <c r="N121" i="30"/>
  <c r="N120" i="30"/>
  <c r="I120" i="30"/>
  <c r="I121" i="30" s="1"/>
  <c r="I122" i="30" s="1"/>
  <c r="N119" i="30"/>
  <c r="N118" i="30"/>
  <c r="N117" i="30"/>
  <c r="N116" i="30"/>
  <c r="I116" i="30"/>
  <c r="I117" i="30" s="1"/>
  <c r="I118" i="30" s="1"/>
  <c r="H116" i="30"/>
  <c r="H117" i="30" s="1"/>
  <c r="H118" i="30" s="1"/>
  <c r="H119" i="30" s="1"/>
  <c r="H120" i="30" s="1"/>
  <c r="H121" i="30" s="1"/>
  <c r="H122" i="30" s="1"/>
  <c r="G116" i="30"/>
  <c r="G117" i="30" s="1"/>
  <c r="G118" i="30" s="1"/>
  <c r="G119" i="30" s="1"/>
  <c r="G120" i="30" s="1"/>
  <c r="G121" i="30" s="1"/>
  <c r="G122" i="30" s="1"/>
  <c r="G123" i="30" s="1"/>
  <c r="G124" i="30" s="1"/>
  <c r="G125" i="30" s="1"/>
  <c r="G126" i="30" s="1"/>
  <c r="G127" i="30" s="1"/>
  <c r="G128" i="30" s="1"/>
  <c r="G129" i="30" s="1"/>
  <c r="G130" i="30" s="1"/>
  <c r="F116" i="30"/>
  <c r="F117" i="30" s="1"/>
  <c r="F118" i="30" s="1"/>
  <c r="F119" i="30" s="1"/>
  <c r="F120" i="30" s="1"/>
  <c r="F121" i="30" s="1"/>
  <c r="F122" i="30" s="1"/>
  <c r="F123" i="30" s="1"/>
  <c r="F124" i="30" s="1"/>
  <c r="F125" i="30" s="1"/>
  <c r="F126" i="30" s="1"/>
  <c r="F127" i="30" s="1"/>
  <c r="F128" i="30" s="1"/>
  <c r="F129" i="30" s="1"/>
  <c r="F130" i="30" s="1"/>
  <c r="N115" i="30"/>
  <c r="N114" i="30"/>
  <c r="N113" i="30"/>
  <c r="N112" i="30"/>
  <c r="I112" i="30"/>
  <c r="I113" i="30" s="1"/>
  <c r="I114" i="30" s="1"/>
  <c r="N111" i="30"/>
  <c r="N110" i="30"/>
  <c r="N109" i="30"/>
  <c r="N108" i="30"/>
  <c r="I108" i="30"/>
  <c r="I109" i="30" s="1"/>
  <c r="I110" i="30" s="1"/>
  <c r="H108" i="30"/>
  <c r="H109" i="30" s="1"/>
  <c r="H110" i="30" s="1"/>
  <c r="H111" i="30" s="1"/>
  <c r="H112" i="30" s="1"/>
  <c r="H113" i="30" s="1"/>
  <c r="H114" i="30" s="1"/>
  <c r="N107" i="30"/>
  <c r="N106" i="30"/>
  <c r="N105" i="30"/>
  <c r="N104" i="30"/>
  <c r="I104" i="30"/>
  <c r="I105" i="30" s="1"/>
  <c r="I106" i="30" s="1"/>
  <c r="N103" i="30"/>
  <c r="N102" i="30"/>
  <c r="N101" i="30"/>
  <c r="N100" i="30"/>
  <c r="I100" i="30"/>
  <c r="I101" i="30" s="1"/>
  <c r="I102" i="30" s="1"/>
  <c r="H100" i="30"/>
  <c r="H101" i="30" s="1"/>
  <c r="H102" i="30" s="1"/>
  <c r="H103" i="30" s="1"/>
  <c r="H104" i="30" s="1"/>
  <c r="H105" i="30" s="1"/>
  <c r="H106" i="30" s="1"/>
  <c r="G100" i="30"/>
  <c r="G101" i="30" s="1"/>
  <c r="G102" i="30" s="1"/>
  <c r="G103" i="30" s="1"/>
  <c r="G104" i="30" s="1"/>
  <c r="G105" i="30" s="1"/>
  <c r="G106" i="30" s="1"/>
  <c r="G107" i="30" s="1"/>
  <c r="G108" i="30" s="1"/>
  <c r="G109" i="30" s="1"/>
  <c r="G110" i="30" s="1"/>
  <c r="G111" i="30" s="1"/>
  <c r="G112" i="30" s="1"/>
  <c r="G113" i="30" s="1"/>
  <c r="G114" i="30" s="1"/>
  <c r="F100" i="30"/>
  <c r="F101" i="30" s="1"/>
  <c r="F102" i="30" s="1"/>
  <c r="F103" i="30" s="1"/>
  <c r="F104" i="30" s="1"/>
  <c r="F105" i="30" s="1"/>
  <c r="F106" i="30" s="1"/>
  <c r="F107" i="30" s="1"/>
  <c r="F108" i="30" s="1"/>
  <c r="F109" i="30" s="1"/>
  <c r="F110" i="30" s="1"/>
  <c r="F111" i="30" s="1"/>
  <c r="F112" i="30" s="1"/>
  <c r="F113" i="30" s="1"/>
  <c r="F114" i="30" s="1"/>
  <c r="N99" i="30"/>
  <c r="I96" i="46"/>
  <c r="I97" i="46" s="1"/>
  <c r="I98" i="46" s="1"/>
  <c r="I92" i="46"/>
  <c r="I93" i="46" s="1"/>
  <c r="I94" i="46" s="1"/>
  <c r="H92" i="46"/>
  <c r="H93" i="46" s="1"/>
  <c r="H94" i="46" s="1"/>
  <c r="H95" i="46" s="1"/>
  <c r="H96" i="46" s="1"/>
  <c r="H97" i="46" s="1"/>
  <c r="H98" i="46" s="1"/>
  <c r="I88" i="46"/>
  <c r="I89" i="46" s="1"/>
  <c r="I90" i="46" s="1"/>
  <c r="I84" i="46"/>
  <c r="I85" i="46" s="1"/>
  <c r="I86" i="46" s="1"/>
  <c r="H84" i="46"/>
  <c r="H85" i="46" s="1"/>
  <c r="H86" i="46" s="1"/>
  <c r="H87" i="46" s="1"/>
  <c r="H88" i="46" s="1"/>
  <c r="H89" i="46" s="1"/>
  <c r="H90" i="46" s="1"/>
  <c r="G84" i="46"/>
  <c r="G85" i="46" s="1"/>
  <c r="G86" i="46" s="1"/>
  <c r="G87" i="46" s="1"/>
  <c r="G88" i="46" s="1"/>
  <c r="G89" i="46" s="1"/>
  <c r="G90" i="46" s="1"/>
  <c r="G91" i="46" s="1"/>
  <c r="G92" i="46" s="1"/>
  <c r="G93" i="46" s="1"/>
  <c r="G94" i="46" s="1"/>
  <c r="G95" i="46" s="1"/>
  <c r="G96" i="46" s="1"/>
  <c r="G97" i="46" s="1"/>
  <c r="G98" i="46" s="1"/>
  <c r="I80" i="46"/>
  <c r="I81" i="46" s="1"/>
  <c r="I82" i="46" s="1"/>
  <c r="I76" i="46"/>
  <c r="I77" i="46" s="1"/>
  <c r="I78" i="46" s="1"/>
  <c r="H76" i="46"/>
  <c r="H77" i="46" s="1"/>
  <c r="H78" i="46" s="1"/>
  <c r="H79" i="46" s="1"/>
  <c r="H80" i="46" s="1"/>
  <c r="H81" i="46" s="1"/>
  <c r="H82" i="46" s="1"/>
  <c r="I72" i="46"/>
  <c r="I73" i="46" s="1"/>
  <c r="I74" i="46" s="1"/>
  <c r="I68" i="46"/>
  <c r="I69" i="46" s="1"/>
  <c r="I70" i="46" s="1"/>
  <c r="H68" i="46"/>
  <c r="H69" i="46" s="1"/>
  <c r="H70" i="46" s="1"/>
  <c r="H71" i="46" s="1"/>
  <c r="H72" i="46" s="1"/>
  <c r="H73" i="46" s="1"/>
  <c r="H74" i="46" s="1"/>
  <c r="G68" i="46"/>
  <c r="G69" i="46" s="1"/>
  <c r="G70" i="46" s="1"/>
  <c r="G71" i="46" s="1"/>
  <c r="G72" i="46" s="1"/>
  <c r="G73" i="46" s="1"/>
  <c r="G74" i="46" s="1"/>
  <c r="G75" i="46" s="1"/>
  <c r="G76" i="46" s="1"/>
  <c r="G77" i="46" s="1"/>
  <c r="G78" i="46" s="1"/>
  <c r="G79" i="46" s="1"/>
  <c r="G80" i="46" s="1"/>
  <c r="G81" i="46" s="1"/>
  <c r="G82" i="46" s="1"/>
  <c r="I64" i="46"/>
  <c r="I65" i="46" s="1"/>
  <c r="I66" i="46" s="1"/>
  <c r="I60" i="46"/>
  <c r="I61" i="46" s="1"/>
  <c r="I62" i="46" s="1"/>
  <c r="H60" i="46"/>
  <c r="H61" i="46" s="1"/>
  <c r="H62" i="46" s="1"/>
  <c r="H63" i="46" s="1"/>
  <c r="H64" i="46" s="1"/>
  <c r="H65" i="46" s="1"/>
  <c r="H66" i="46" s="1"/>
  <c r="I56" i="46"/>
  <c r="I57" i="46" s="1"/>
  <c r="I58" i="46" s="1"/>
  <c r="I52" i="46"/>
  <c r="I53" i="46" s="1"/>
  <c r="I54" i="46" s="1"/>
  <c r="H52" i="46"/>
  <c r="H53" i="46" s="1"/>
  <c r="H54" i="46" s="1"/>
  <c r="H55" i="46" s="1"/>
  <c r="H56" i="46" s="1"/>
  <c r="H57" i="46" s="1"/>
  <c r="H58" i="46" s="1"/>
  <c r="G52" i="46"/>
  <c r="G53" i="46" s="1"/>
  <c r="G54" i="46" s="1"/>
  <c r="G55" i="46" s="1"/>
  <c r="G56" i="46" s="1"/>
  <c r="G57" i="46" s="1"/>
  <c r="G58" i="46" s="1"/>
  <c r="G59" i="46" s="1"/>
  <c r="G60" i="46" s="1"/>
  <c r="G61" i="46" s="1"/>
  <c r="G62" i="46" s="1"/>
  <c r="G63" i="46" s="1"/>
  <c r="G64" i="46" s="1"/>
  <c r="G65" i="46" s="1"/>
  <c r="G66" i="46" s="1"/>
  <c r="I48" i="46"/>
  <c r="I49" i="46" s="1"/>
  <c r="I50" i="46" s="1"/>
  <c r="I44" i="46"/>
  <c r="I45" i="46" s="1"/>
  <c r="I46" i="46" s="1"/>
  <c r="H44" i="46"/>
  <c r="H45" i="46" s="1"/>
  <c r="H46" i="46" s="1"/>
  <c r="H47" i="46" s="1"/>
  <c r="H48" i="46" s="1"/>
  <c r="H49" i="46" s="1"/>
  <c r="H50" i="46" s="1"/>
  <c r="I40" i="46"/>
  <c r="I41" i="46" s="1"/>
  <c r="I42" i="46" s="1"/>
  <c r="I36" i="46"/>
  <c r="I37" i="46" s="1"/>
  <c r="I38" i="46" s="1"/>
  <c r="H36" i="46"/>
  <c r="H37" i="46" s="1"/>
  <c r="H38" i="46" s="1"/>
  <c r="H39" i="46" s="1"/>
  <c r="H40" i="46" s="1"/>
  <c r="H41" i="46" s="1"/>
  <c r="H42" i="46" s="1"/>
  <c r="G36" i="46"/>
  <c r="G37" i="46" s="1"/>
  <c r="G38" i="46" s="1"/>
  <c r="G39" i="46" s="1"/>
  <c r="G40" i="46" s="1"/>
  <c r="G41" i="46" s="1"/>
  <c r="G42" i="46" s="1"/>
  <c r="G43" i="46" s="1"/>
  <c r="G44" i="46" s="1"/>
  <c r="G45" i="46" s="1"/>
  <c r="G46" i="46" s="1"/>
  <c r="G47" i="46" s="1"/>
  <c r="G48" i="46" s="1"/>
  <c r="G49" i="46" s="1"/>
  <c r="G50" i="46" s="1"/>
  <c r="I32" i="46"/>
  <c r="I33" i="46" s="1"/>
  <c r="I34" i="46" s="1"/>
  <c r="I28" i="46"/>
  <c r="I29" i="46" s="1"/>
  <c r="I30" i="46" s="1"/>
  <c r="H28" i="46"/>
  <c r="H29" i="46" s="1"/>
  <c r="H30" i="46" s="1"/>
  <c r="H31" i="46" s="1"/>
  <c r="H32" i="46" s="1"/>
  <c r="H33" i="46" s="1"/>
  <c r="H34" i="46" s="1"/>
  <c r="I24" i="46"/>
  <c r="I25" i="46" s="1"/>
  <c r="I26" i="46" s="1"/>
  <c r="I20" i="46"/>
  <c r="I21" i="46" s="1"/>
  <c r="I22" i="46" s="1"/>
  <c r="H20" i="46"/>
  <c r="H21" i="46" s="1"/>
  <c r="H22" i="46" s="1"/>
  <c r="H23" i="46" s="1"/>
  <c r="H24" i="46" s="1"/>
  <c r="H25" i="46" s="1"/>
  <c r="H26" i="46" s="1"/>
  <c r="G20" i="46"/>
  <c r="G21" i="46" s="1"/>
  <c r="G22" i="46" s="1"/>
  <c r="G23" i="46" s="1"/>
  <c r="G24" i="46" s="1"/>
  <c r="G25" i="46" s="1"/>
  <c r="G26" i="46" s="1"/>
  <c r="G27" i="46" s="1"/>
  <c r="G28" i="46" s="1"/>
  <c r="G29" i="46" s="1"/>
  <c r="G30" i="46" s="1"/>
  <c r="G31" i="46" s="1"/>
  <c r="G32" i="46" s="1"/>
  <c r="G33" i="46" s="1"/>
  <c r="G34" i="46" s="1"/>
  <c r="I16" i="46"/>
  <c r="I17" i="46" s="1"/>
  <c r="I18" i="46" s="1"/>
  <c r="I12" i="46"/>
  <c r="I13" i="46" s="1"/>
  <c r="I14" i="46" s="1"/>
  <c r="H12" i="46"/>
  <c r="H13" i="46" s="1"/>
  <c r="H14" i="46" s="1"/>
  <c r="H15" i="46" s="1"/>
  <c r="H16" i="46" s="1"/>
  <c r="H17" i="46" s="1"/>
  <c r="H18" i="46" s="1"/>
  <c r="I8" i="46"/>
  <c r="I9" i="46" s="1"/>
  <c r="I10" i="46" s="1"/>
  <c r="I4" i="46"/>
  <c r="I5" i="46" s="1"/>
  <c r="I6" i="46" s="1"/>
  <c r="H4" i="46"/>
  <c r="H5" i="46" s="1"/>
  <c r="H6" i="46" s="1"/>
  <c r="H7" i="46" s="1"/>
  <c r="H8" i="46" s="1"/>
  <c r="H9" i="46" s="1"/>
  <c r="H10" i="46" s="1"/>
  <c r="G4" i="46"/>
  <c r="G5" i="46" s="1"/>
  <c r="G6" i="46" s="1"/>
  <c r="G7" i="46" s="1"/>
  <c r="G8" i="46" s="1"/>
  <c r="G9" i="46" s="1"/>
  <c r="G10" i="46" s="1"/>
  <c r="G11" i="46" s="1"/>
  <c r="G12" i="46" s="1"/>
  <c r="G13" i="46" s="1"/>
  <c r="G14" i="46" s="1"/>
  <c r="G15" i="46" s="1"/>
  <c r="G16" i="46" s="1"/>
  <c r="G17" i="46" s="1"/>
  <c r="G18" i="46" s="1"/>
  <c r="F84" i="46"/>
  <c r="F85" i="46" s="1"/>
  <c r="F86" i="46" s="1"/>
  <c r="F87" i="46" s="1"/>
  <c r="F88" i="46" s="1"/>
  <c r="F89" i="46" s="1"/>
  <c r="F90" i="46" s="1"/>
  <c r="F91" i="46" s="1"/>
  <c r="F92" i="46" s="1"/>
  <c r="F93" i="46" s="1"/>
  <c r="F94" i="46" s="1"/>
  <c r="F95" i="46" s="1"/>
  <c r="F96" i="46" s="1"/>
  <c r="F97" i="46" s="1"/>
  <c r="F98" i="46" s="1"/>
  <c r="F68" i="46"/>
  <c r="F69" i="46" s="1"/>
  <c r="F70" i="46" s="1"/>
  <c r="F71" i="46" s="1"/>
  <c r="F72" i="46" s="1"/>
  <c r="F73" i="46" s="1"/>
  <c r="F74" i="46" s="1"/>
  <c r="F75" i="46" s="1"/>
  <c r="F76" i="46" s="1"/>
  <c r="F77" i="46" s="1"/>
  <c r="F78" i="46" s="1"/>
  <c r="F79" i="46" s="1"/>
  <c r="F80" i="46" s="1"/>
  <c r="F81" i="46" s="1"/>
  <c r="F82" i="46" s="1"/>
  <c r="F52" i="46"/>
  <c r="F53" i="46" s="1"/>
  <c r="F54" i="46" s="1"/>
  <c r="F55" i="46" s="1"/>
  <c r="F56" i="46" s="1"/>
  <c r="F57" i="46" s="1"/>
  <c r="F58" i="46" s="1"/>
  <c r="F59" i="46" s="1"/>
  <c r="F60" i="46" s="1"/>
  <c r="F61" i="46" s="1"/>
  <c r="F62" i="46" s="1"/>
  <c r="F63" i="46" s="1"/>
  <c r="F64" i="46" s="1"/>
  <c r="F65" i="46" s="1"/>
  <c r="F66" i="46" s="1"/>
  <c r="F36" i="46"/>
  <c r="F37" i="46" s="1"/>
  <c r="F38" i="46" s="1"/>
  <c r="F39" i="46" s="1"/>
  <c r="F40" i="46" s="1"/>
  <c r="F41" i="46" s="1"/>
  <c r="F42" i="46" s="1"/>
  <c r="F43" i="46" s="1"/>
  <c r="F44" i="46" s="1"/>
  <c r="F45" i="46" s="1"/>
  <c r="F46" i="46" s="1"/>
  <c r="F47" i="46" s="1"/>
  <c r="F48" i="46" s="1"/>
  <c r="F49" i="46" s="1"/>
  <c r="F50" i="46" s="1"/>
  <c r="F20" i="46"/>
  <c r="F21" i="46" s="1"/>
  <c r="F22" i="46" s="1"/>
  <c r="F23" i="46" s="1"/>
  <c r="F24" i="46" s="1"/>
  <c r="F25" i="46" s="1"/>
  <c r="F26" i="46" s="1"/>
  <c r="F27" i="46" s="1"/>
  <c r="F28" i="46" s="1"/>
  <c r="F29" i="46" s="1"/>
  <c r="F30" i="46" s="1"/>
  <c r="F31" i="46" s="1"/>
  <c r="F32" i="46" s="1"/>
  <c r="F33" i="46" s="1"/>
  <c r="F34" i="46" s="1"/>
  <c r="F4" i="46"/>
  <c r="F5" i="46" s="1"/>
  <c r="F6" i="46" s="1"/>
  <c r="F7" i="46" s="1"/>
  <c r="F8" i="46" s="1"/>
  <c r="F9" i="46" s="1"/>
  <c r="F10" i="46" s="1"/>
  <c r="F11" i="46" s="1"/>
  <c r="F12" i="46" s="1"/>
  <c r="F13" i="46" s="1"/>
  <c r="F14" i="46" s="1"/>
  <c r="F15" i="46" s="1"/>
  <c r="F16" i="46" s="1"/>
  <c r="F17" i="46" s="1"/>
  <c r="F18" i="46" s="1"/>
  <c r="I288" i="30"/>
  <c r="I289" i="30" s="1"/>
  <c r="I290" i="30" s="1"/>
  <c r="I284" i="30"/>
  <c r="I285" i="30" s="1"/>
  <c r="I286" i="30" s="1"/>
  <c r="H284" i="30"/>
  <c r="H285" i="30" s="1"/>
  <c r="H286" i="30" s="1"/>
  <c r="H287" i="30" s="1"/>
  <c r="H288" i="30" s="1"/>
  <c r="H289" i="30" s="1"/>
  <c r="H290" i="30" s="1"/>
  <c r="I280" i="30"/>
  <c r="I281" i="30" s="1"/>
  <c r="I282" i="30" s="1"/>
  <c r="I276" i="30"/>
  <c r="I277" i="30" s="1"/>
  <c r="I278" i="30" s="1"/>
  <c r="H276" i="30"/>
  <c r="H277" i="30" s="1"/>
  <c r="H278" i="30" s="1"/>
  <c r="H279" i="30" s="1"/>
  <c r="H280" i="30" s="1"/>
  <c r="H281" i="30" s="1"/>
  <c r="H282" i="30" s="1"/>
  <c r="G276" i="30"/>
  <c r="G277" i="30" s="1"/>
  <c r="G278" i="30" s="1"/>
  <c r="G279" i="30" s="1"/>
  <c r="G280" i="30" s="1"/>
  <c r="G281" i="30" s="1"/>
  <c r="G282" i="30" s="1"/>
  <c r="G283" i="30" s="1"/>
  <c r="G284" i="30" s="1"/>
  <c r="G285" i="30" s="1"/>
  <c r="G286" i="30" s="1"/>
  <c r="G287" i="30" s="1"/>
  <c r="G288" i="30" s="1"/>
  <c r="G289" i="30" s="1"/>
  <c r="G290" i="30" s="1"/>
  <c r="F276" i="30"/>
  <c r="F277" i="30" s="1"/>
  <c r="F278" i="30" s="1"/>
  <c r="F279" i="30" s="1"/>
  <c r="F280" i="30" s="1"/>
  <c r="F281" i="30" s="1"/>
  <c r="F282" i="30" s="1"/>
  <c r="F283" i="30" s="1"/>
  <c r="F284" i="30" s="1"/>
  <c r="F285" i="30" s="1"/>
  <c r="F286" i="30" s="1"/>
  <c r="F287" i="30" s="1"/>
  <c r="F288" i="30" s="1"/>
  <c r="F289" i="30" s="1"/>
  <c r="F290" i="30" s="1"/>
  <c r="I272" i="30"/>
  <c r="I273" i="30" s="1"/>
  <c r="I274" i="30" s="1"/>
  <c r="I268" i="30"/>
  <c r="I269" i="30" s="1"/>
  <c r="I270" i="30" s="1"/>
  <c r="H268" i="30"/>
  <c r="H269" i="30" s="1"/>
  <c r="H270" i="30" s="1"/>
  <c r="H271" i="30" s="1"/>
  <c r="H272" i="30" s="1"/>
  <c r="H273" i="30" s="1"/>
  <c r="H274" i="30" s="1"/>
  <c r="I264" i="30"/>
  <c r="I265" i="30" s="1"/>
  <c r="I266" i="30" s="1"/>
  <c r="I260" i="30"/>
  <c r="I261" i="30" s="1"/>
  <c r="I262" i="30" s="1"/>
  <c r="H260" i="30"/>
  <c r="H261" i="30" s="1"/>
  <c r="H262" i="30" s="1"/>
  <c r="H263" i="30" s="1"/>
  <c r="H264" i="30" s="1"/>
  <c r="H265" i="30" s="1"/>
  <c r="H266" i="30" s="1"/>
  <c r="G260" i="30"/>
  <c r="G261" i="30" s="1"/>
  <c r="G262" i="30" s="1"/>
  <c r="G263" i="30" s="1"/>
  <c r="G264" i="30" s="1"/>
  <c r="G265" i="30" s="1"/>
  <c r="G266" i="30" s="1"/>
  <c r="G267" i="30" s="1"/>
  <c r="G268" i="30" s="1"/>
  <c r="G269" i="30" s="1"/>
  <c r="G270" i="30" s="1"/>
  <c r="G271" i="30" s="1"/>
  <c r="G272" i="30" s="1"/>
  <c r="G273" i="30" s="1"/>
  <c r="G274" i="30" s="1"/>
  <c r="F260" i="30"/>
  <c r="F261" i="30" s="1"/>
  <c r="F262" i="30" s="1"/>
  <c r="F263" i="30" s="1"/>
  <c r="F264" i="30" s="1"/>
  <c r="F265" i="30" s="1"/>
  <c r="F266" i="30" s="1"/>
  <c r="F267" i="30" s="1"/>
  <c r="F268" i="30" s="1"/>
  <c r="F269" i="30" s="1"/>
  <c r="F270" i="30" s="1"/>
  <c r="F271" i="30" s="1"/>
  <c r="F272" i="30" s="1"/>
  <c r="F273" i="30" s="1"/>
  <c r="F274" i="30" s="1"/>
  <c r="I256" i="30"/>
  <c r="I257" i="30" s="1"/>
  <c r="I258" i="30" s="1"/>
  <c r="I252" i="30"/>
  <c r="I253" i="30" s="1"/>
  <c r="I254" i="30" s="1"/>
  <c r="H252" i="30"/>
  <c r="H253" i="30" s="1"/>
  <c r="H254" i="30" s="1"/>
  <c r="H255" i="30" s="1"/>
  <c r="H256" i="30" s="1"/>
  <c r="H257" i="30" s="1"/>
  <c r="H258" i="30" s="1"/>
  <c r="I248" i="30"/>
  <c r="I249" i="30" s="1"/>
  <c r="I250" i="30" s="1"/>
  <c r="I244" i="30"/>
  <c r="I245" i="30" s="1"/>
  <c r="I246" i="30" s="1"/>
  <c r="H244" i="30"/>
  <c r="H245" i="30" s="1"/>
  <c r="H246" i="30" s="1"/>
  <c r="H247" i="30" s="1"/>
  <c r="H248" i="30" s="1"/>
  <c r="H249" i="30" s="1"/>
  <c r="H250" i="30" s="1"/>
  <c r="G244" i="30"/>
  <c r="G245" i="30" s="1"/>
  <c r="G246" i="30" s="1"/>
  <c r="G247" i="30" s="1"/>
  <c r="G248" i="30" s="1"/>
  <c r="G249" i="30" s="1"/>
  <c r="G250" i="30" s="1"/>
  <c r="G251" i="30" s="1"/>
  <c r="G252" i="30" s="1"/>
  <c r="G253" i="30" s="1"/>
  <c r="G254" i="30" s="1"/>
  <c r="G255" i="30" s="1"/>
  <c r="G256" i="30" s="1"/>
  <c r="G257" i="30" s="1"/>
  <c r="G258" i="30" s="1"/>
  <c r="F244" i="30"/>
  <c r="F245" i="30" s="1"/>
  <c r="F246" i="30" s="1"/>
  <c r="F247" i="30" s="1"/>
  <c r="F248" i="30" s="1"/>
  <c r="F249" i="30" s="1"/>
  <c r="F250" i="30" s="1"/>
  <c r="F251" i="30" s="1"/>
  <c r="F252" i="30" s="1"/>
  <c r="F253" i="30" s="1"/>
  <c r="F254" i="30" s="1"/>
  <c r="F255" i="30" s="1"/>
  <c r="F256" i="30" s="1"/>
  <c r="F257" i="30" s="1"/>
  <c r="F258" i="30" s="1"/>
  <c r="I240" i="30"/>
  <c r="I241" i="30" s="1"/>
  <c r="I242" i="30" s="1"/>
  <c r="I236" i="30"/>
  <c r="I237" i="30" s="1"/>
  <c r="I238" i="30" s="1"/>
  <c r="H236" i="30"/>
  <c r="H237" i="30" s="1"/>
  <c r="H238" i="30" s="1"/>
  <c r="H239" i="30" s="1"/>
  <c r="H240" i="30" s="1"/>
  <c r="H241" i="30" s="1"/>
  <c r="H242" i="30" s="1"/>
  <c r="I232" i="30"/>
  <c r="I233" i="30" s="1"/>
  <c r="I234" i="30" s="1"/>
  <c r="I228" i="30"/>
  <c r="I229" i="30" s="1"/>
  <c r="I230" i="30" s="1"/>
  <c r="H228" i="30"/>
  <c r="H229" i="30" s="1"/>
  <c r="H230" i="30" s="1"/>
  <c r="H231" i="30" s="1"/>
  <c r="H232" i="30" s="1"/>
  <c r="H233" i="30" s="1"/>
  <c r="H234" i="30" s="1"/>
  <c r="G228" i="30"/>
  <c r="G229" i="30" s="1"/>
  <c r="G230" i="30" s="1"/>
  <c r="G231" i="30" s="1"/>
  <c r="G232" i="30" s="1"/>
  <c r="G233" i="30" s="1"/>
  <c r="G234" i="30" s="1"/>
  <c r="G235" i="30" s="1"/>
  <c r="G236" i="30" s="1"/>
  <c r="G237" i="30" s="1"/>
  <c r="G238" i="30" s="1"/>
  <c r="G239" i="30" s="1"/>
  <c r="G240" i="30" s="1"/>
  <c r="G241" i="30" s="1"/>
  <c r="G242" i="30" s="1"/>
  <c r="F228" i="30"/>
  <c r="F229" i="30" s="1"/>
  <c r="F230" i="30" s="1"/>
  <c r="F231" i="30" s="1"/>
  <c r="F232" i="30" s="1"/>
  <c r="F233" i="30" s="1"/>
  <c r="F234" i="30" s="1"/>
  <c r="F235" i="30" s="1"/>
  <c r="F236" i="30" s="1"/>
  <c r="F237" i="30" s="1"/>
  <c r="F238" i="30" s="1"/>
  <c r="F239" i="30" s="1"/>
  <c r="F240" i="30" s="1"/>
  <c r="F241" i="30" s="1"/>
  <c r="F242" i="30" s="1"/>
  <c r="I224" i="30"/>
  <c r="I225" i="30" s="1"/>
  <c r="I226" i="30" s="1"/>
  <c r="I220" i="30"/>
  <c r="I221" i="30" s="1"/>
  <c r="I222" i="30" s="1"/>
  <c r="H220" i="30"/>
  <c r="H221" i="30" s="1"/>
  <c r="H222" i="30" s="1"/>
  <c r="H223" i="30" s="1"/>
  <c r="H224" i="30" s="1"/>
  <c r="H225" i="30" s="1"/>
  <c r="H226" i="30" s="1"/>
  <c r="I216" i="30"/>
  <c r="I217" i="30" s="1"/>
  <c r="I218" i="30" s="1"/>
  <c r="I212" i="30"/>
  <c r="I213" i="30" s="1"/>
  <c r="I214" i="30" s="1"/>
  <c r="H212" i="30"/>
  <c r="H213" i="30" s="1"/>
  <c r="H214" i="30" s="1"/>
  <c r="H215" i="30" s="1"/>
  <c r="H216" i="30" s="1"/>
  <c r="H217" i="30" s="1"/>
  <c r="H218" i="30" s="1"/>
  <c r="G212" i="30"/>
  <c r="G213" i="30" s="1"/>
  <c r="G214" i="30" s="1"/>
  <c r="G215" i="30" s="1"/>
  <c r="G216" i="30" s="1"/>
  <c r="G217" i="30" s="1"/>
  <c r="G218" i="30" s="1"/>
  <c r="G219" i="30" s="1"/>
  <c r="G220" i="30" s="1"/>
  <c r="G221" i="30" s="1"/>
  <c r="G222" i="30" s="1"/>
  <c r="G223" i="30" s="1"/>
  <c r="G224" i="30" s="1"/>
  <c r="G225" i="30" s="1"/>
  <c r="G226" i="30" s="1"/>
  <c r="F212" i="30"/>
  <c r="F213" i="30" s="1"/>
  <c r="F214" i="30" s="1"/>
  <c r="F215" i="30" s="1"/>
  <c r="F216" i="30" s="1"/>
  <c r="F217" i="30" s="1"/>
  <c r="F218" i="30" s="1"/>
  <c r="F219" i="30" s="1"/>
  <c r="F220" i="30" s="1"/>
  <c r="F221" i="30" s="1"/>
  <c r="F222" i="30" s="1"/>
  <c r="F223" i="30" s="1"/>
  <c r="F224" i="30" s="1"/>
  <c r="F225" i="30" s="1"/>
  <c r="F226" i="30" s="1"/>
  <c r="I208" i="30"/>
  <c r="I209" i="30" s="1"/>
  <c r="I210" i="30" s="1"/>
  <c r="I204" i="30"/>
  <c r="I205" i="30" s="1"/>
  <c r="I206" i="30" s="1"/>
  <c r="H204" i="30"/>
  <c r="H205" i="30" s="1"/>
  <c r="H206" i="30" s="1"/>
  <c r="H207" i="30" s="1"/>
  <c r="H208" i="30" s="1"/>
  <c r="H209" i="30" s="1"/>
  <c r="H210" i="30" s="1"/>
  <c r="I200" i="30"/>
  <c r="I201" i="30" s="1"/>
  <c r="I202" i="30" s="1"/>
  <c r="I196" i="30"/>
  <c r="I197" i="30" s="1"/>
  <c r="I198" i="30" s="1"/>
  <c r="H196" i="30"/>
  <c r="H197" i="30" s="1"/>
  <c r="H198" i="30" s="1"/>
  <c r="H199" i="30" s="1"/>
  <c r="H200" i="30" s="1"/>
  <c r="H201" i="30" s="1"/>
  <c r="H202" i="30" s="1"/>
  <c r="G196" i="30"/>
  <c r="G197" i="30" s="1"/>
  <c r="G198" i="30" s="1"/>
  <c r="G199" i="30" s="1"/>
  <c r="G200" i="30" s="1"/>
  <c r="G201" i="30" s="1"/>
  <c r="G202" i="30" s="1"/>
  <c r="G203" i="30" s="1"/>
  <c r="G204" i="30" s="1"/>
  <c r="G205" i="30" s="1"/>
  <c r="G206" i="30" s="1"/>
  <c r="G207" i="30" s="1"/>
  <c r="G208" i="30" s="1"/>
  <c r="G209" i="30" s="1"/>
  <c r="G210" i="30" s="1"/>
  <c r="F196" i="30"/>
  <c r="F197" i="30" s="1"/>
  <c r="F198" i="30" s="1"/>
  <c r="F199" i="30" s="1"/>
  <c r="F200" i="30" s="1"/>
  <c r="F201" i="30" s="1"/>
  <c r="F202" i="30" s="1"/>
  <c r="F203" i="30" s="1"/>
  <c r="F204" i="30" s="1"/>
  <c r="F205" i="30" s="1"/>
  <c r="F206" i="30" s="1"/>
  <c r="F207" i="30" s="1"/>
  <c r="F208" i="30" s="1"/>
  <c r="F209" i="30" s="1"/>
  <c r="F210" i="30" s="1"/>
  <c r="I96" i="30"/>
  <c r="I97" i="30" s="1"/>
  <c r="I98" i="30" s="1"/>
  <c r="I92" i="30"/>
  <c r="I93" i="30" s="1"/>
  <c r="I94" i="30" s="1"/>
  <c r="H92" i="30"/>
  <c r="H93" i="30" s="1"/>
  <c r="H94" i="30" s="1"/>
  <c r="H95" i="30" s="1"/>
  <c r="H96" i="30" s="1"/>
  <c r="H97" i="30" s="1"/>
  <c r="H98" i="30" s="1"/>
  <c r="I88" i="30"/>
  <c r="I89" i="30" s="1"/>
  <c r="I90" i="30" s="1"/>
  <c r="I84" i="30"/>
  <c r="I85" i="30" s="1"/>
  <c r="I86" i="30" s="1"/>
  <c r="H84" i="30"/>
  <c r="H85" i="30" s="1"/>
  <c r="H86" i="30" s="1"/>
  <c r="H87" i="30" s="1"/>
  <c r="H88" i="30" s="1"/>
  <c r="H89" i="30" s="1"/>
  <c r="H90" i="30" s="1"/>
  <c r="G84" i="30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I80" i="30"/>
  <c r="I81" i="30" s="1"/>
  <c r="I82" i="30" s="1"/>
  <c r="I76" i="30"/>
  <c r="I77" i="30" s="1"/>
  <c r="I78" i="30" s="1"/>
  <c r="H76" i="30"/>
  <c r="H77" i="30" s="1"/>
  <c r="H78" i="30" s="1"/>
  <c r="H79" i="30" s="1"/>
  <c r="H80" i="30" s="1"/>
  <c r="H81" i="30" s="1"/>
  <c r="H82" i="30" s="1"/>
  <c r="I72" i="30"/>
  <c r="I73" i="30" s="1"/>
  <c r="I74" i="30" s="1"/>
  <c r="I68" i="30"/>
  <c r="I69" i="30" s="1"/>
  <c r="I70" i="30" s="1"/>
  <c r="H68" i="30"/>
  <c r="H69" i="30" s="1"/>
  <c r="H70" i="30" s="1"/>
  <c r="H71" i="30" s="1"/>
  <c r="H72" i="30" s="1"/>
  <c r="H73" i="30" s="1"/>
  <c r="H74" i="30" s="1"/>
  <c r="G68" i="30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I64" i="30"/>
  <c r="I65" i="30" s="1"/>
  <c r="I66" i="30" s="1"/>
  <c r="I60" i="30"/>
  <c r="I61" i="30" s="1"/>
  <c r="I62" i="30" s="1"/>
  <c r="H60" i="30"/>
  <c r="H61" i="30" s="1"/>
  <c r="H62" i="30" s="1"/>
  <c r="H63" i="30" s="1"/>
  <c r="H64" i="30" s="1"/>
  <c r="H65" i="30" s="1"/>
  <c r="H66" i="30" s="1"/>
  <c r="I56" i="30"/>
  <c r="I57" i="30" s="1"/>
  <c r="I58" i="30" s="1"/>
  <c r="I52" i="30"/>
  <c r="I53" i="30" s="1"/>
  <c r="I54" i="30" s="1"/>
  <c r="H52" i="30"/>
  <c r="H53" i="30" s="1"/>
  <c r="H54" i="30" s="1"/>
  <c r="H55" i="30" s="1"/>
  <c r="H56" i="30" s="1"/>
  <c r="H57" i="30" s="1"/>
  <c r="H58" i="30" s="1"/>
  <c r="G52" i="30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I48" i="30"/>
  <c r="I49" i="30" s="1"/>
  <c r="I50" i="30" s="1"/>
  <c r="I44" i="30"/>
  <c r="I45" i="30" s="1"/>
  <c r="I46" i="30" s="1"/>
  <c r="H44" i="30"/>
  <c r="H45" i="30" s="1"/>
  <c r="H46" i="30" s="1"/>
  <c r="H47" i="30" s="1"/>
  <c r="H48" i="30" s="1"/>
  <c r="H49" i="30" s="1"/>
  <c r="H50" i="30" s="1"/>
  <c r="I40" i="30"/>
  <c r="I41" i="30" s="1"/>
  <c r="I42" i="30" s="1"/>
  <c r="I36" i="30"/>
  <c r="I37" i="30" s="1"/>
  <c r="I38" i="30" s="1"/>
  <c r="H36" i="30"/>
  <c r="H37" i="30" s="1"/>
  <c r="H38" i="30" s="1"/>
  <c r="H39" i="30" s="1"/>
  <c r="H40" i="30" s="1"/>
  <c r="H41" i="30" s="1"/>
  <c r="H42" i="30" s="1"/>
  <c r="G36" i="30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I32" i="30"/>
  <c r="I33" i="30" s="1"/>
  <c r="I34" i="30" s="1"/>
  <c r="I28" i="30"/>
  <c r="I29" i="30" s="1"/>
  <c r="I30" i="30" s="1"/>
  <c r="H28" i="30"/>
  <c r="H29" i="30" s="1"/>
  <c r="H30" i="30" s="1"/>
  <c r="H31" i="30" s="1"/>
  <c r="H32" i="30" s="1"/>
  <c r="H33" i="30" s="1"/>
  <c r="H34" i="30" s="1"/>
  <c r="I24" i="30"/>
  <c r="I25" i="30" s="1"/>
  <c r="I26" i="30" s="1"/>
  <c r="I20" i="30"/>
  <c r="I21" i="30" s="1"/>
  <c r="I22" i="30" s="1"/>
  <c r="H20" i="30"/>
  <c r="H21" i="30" s="1"/>
  <c r="H22" i="30" s="1"/>
  <c r="H23" i="30" s="1"/>
  <c r="H24" i="30" s="1"/>
  <c r="H25" i="30" s="1"/>
  <c r="H26" i="30" s="1"/>
  <c r="G20" i="30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I16" i="30"/>
  <c r="I17" i="30" s="1"/>
  <c r="I18" i="30" s="1"/>
  <c r="I12" i="30"/>
  <c r="I13" i="30" s="1"/>
  <c r="I14" i="30" s="1"/>
  <c r="H12" i="30"/>
  <c r="H13" i="30" s="1"/>
  <c r="H14" i="30" s="1"/>
  <c r="H15" i="30" s="1"/>
  <c r="H16" i="30" s="1"/>
  <c r="H17" i="30" s="1"/>
  <c r="H18" i="30" s="1"/>
  <c r="I8" i="30"/>
  <c r="I9" i="30" s="1"/>
  <c r="I10" i="30" s="1"/>
  <c r="I4" i="30"/>
  <c r="I5" i="30" s="1"/>
  <c r="I6" i="30" s="1"/>
  <c r="H4" i="30"/>
  <c r="H5" i="30" s="1"/>
  <c r="H6" i="30" s="1"/>
  <c r="H7" i="30" s="1"/>
  <c r="H8" i="30" s="1"/>
  <c r="H9" i="30" s="1"/>
  <c r="H10" i="30" s="1"/>
  <c r="G4" i="30"/>
  <c r="G5" i="30" s="1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F84" i="30"/>
  <c r="F85" i="30" s="1"/>
  <c r="F86" i="30" s="1"/>
  <c r="F87" i="30" s="1"/>
  <c r="F88" i="30" s="1"/>
  <c r="F89" i="30" s="1"/>
  <c r="F90" i="30" s="1"/>
  <c r="F91" i="30" s="1"/>
  <c r="F92" i="30" s="1"/>
  <c r="F93" i="30" s="1"/>
  <c r="F94" i="30" s="1"/>
  <c r="F95" i="30" s="1"/>
  <c r="F96" i="30" s="1"/>
  <c r="F97" i="30" s="1"/>
  <c r="F98" i="30" s="1"/>
  <c r="F68" i="30"/>
  <c r="F69" i="30" s="1"/>
  <c r="F70" i="30" s="1"/>
  <c r="F71" i="30" s="1"/>
  <c r="F72" i="30" s="1"/>
  <c r="F73" i="30" s="1"/>
  <c r="F74" i="30" s="1"/>
  <c r="F75" i="30" s="1"/>
  <c r="F76" i="30" s="1"/>
  <c r="F77" i="30" s="1"/>
  <c r="F78" i="30" s="1"/>
  <c r="F79" i="30" s="1"/>
  <c r="F80" i="30" s="1"/>
  <c r="F81" i="30" s="1"/>
  <c r="F82" i="30" s="1"/>
  <c r="F52" i="30"/>
  <c r="F53" i="30" s="1"/>
  <c r="F54" i="30" s="1"/>
  <c r="F55" i="30" s="1"/>
  <c r="F56" i="30" s="1"/>
  <c r="F57" i="30" s="1"/>
  <c r="F58" i="30" s="1"/>
  <c r="F59" i="30" s="1"/>
  <c r="F60" i="30" s="1"/>
  <c r="F61" i="30" s="1"/>
  <c r="F62" i="30" s="1"/>
  <c r="F63" i="30" s="1"/>
  <c r="F64" i="30" s="1"/>
  <c r="F65" i="30" s="1"/>
  <c r="F66" i="30" s="1"/>
  <c r="F36" i="30"/>
  <c r="F37" i="30" s="1"/>
  <c r="F38" i="30" s="1"/>
  <c r="F39" i="30" s="1"/>
  <c r="F40" i="30" s="1"/>
  <c r="F41" i="30" s="1"/>
  <c r="F42" i="30" s="1"/>
  <c r="F43" i="30" s="1"/>
  <c r="F44" i="30" s="1"/>
  <c r="F45" i="30" s="1"/>
  <c r="F46" i="30" s="1"/>
  <c r="F47" i="30" s="1"/>
  <c r="F48" i="30" s="1"/>
  <c r="F49" i="30" s="1"/>
  <c r="F50" i="30" s="1"/>
  <c r="F20" i="30"/>
  <c r="F21" i="30" s="1"/>
  <c r="F22" i="30" s="1"/>
  <c r="F23" i="30" s="1"/>
  <c r="F24" i="30" s="1"/>
  <c r="F25" i="30" s="1"/>
  <c r="F26" i="30" s="1"/>
  <c r="F27" i="30" s="1"/>
  <c r="F28" i="30" s="1"/>
  <c r="F29" i="30" s="1"/>
  <c r="F30" i="30" s="1"/>
  <c r="F31" i="30" s="1"/>
  <c r="F32" i="30" s="1"/>
  <c r="F33" i="30" s="1"/>
  <c r="F34" i="30" s="1"/>
  <c r="F4" i="30"/>
  <c r="I192" i="31"/>
  <c r="I193" i="31" s="1"/>
  <c r="I194" i="31" s="1"/>
  <c r="I188" i="31"/>
  <c r="I189" i="31" s="1"/>
  <c r="I190" i="31" s="1"/>
  <c r="H188" i="31"/>
  <c r="H189" i="31" s="1"/>
  <c r="H190" i="31" s="1"/>
  <c r="H191" i="31" s="1"/>
  <c r="H192" i="31" s="1"/>
  <c r="H193" i="31" s="1"/>
  <c r="H194" i="31" s="1"/>
  <c r="I184" i="31"/>
  <c r="I185" i="31" s="1"/>
  <c r="I186" i="31" s="1"/>
  <c r="I180" i="31"/>
  <c r="I181" i="31" s="1"/>
  <c r="I182" i="31" s="1"/>
  <c r="H180" i="31"/>
  <c r="H181" i="31" s="1"/>
  <c r="H182" i="31" s="1"/>
  <c r="H183" i="31" s="1"/>
  <c r="H184" i="31" s="1"/>
  <c r="H185" i="31" s="1"/>
  <c r="H186" i="31" s="1"/>
  <c r="G180" i="31"/>
  <c r="G181" i="31" s="1"/>
  <c r="G182" i="31" s="1"/>
  <c r="G183" i="31" s="1"/>
  <c r="G184" i="31" s="1"/>
  <c r="G185" i="31" s="1"/>
  <c r="G186" i="31" s="1"/>
  <c r="G187" i="31" s="1"/>
  <c r="G188" i="31" s="1"/>
  <c r="G189" i="31" s="1"/>
  <c r="G190" i="31" s="1"/>
  <c r="G191" i="31" s="1"/>
  <c r="G192" i="31" s="1"/>
  <c r="G193" i="31" s="1"/>
  <c r="G194" i="31" s="1"/>
  <c r="F180" i="31"/>
  <c r="F181" i="31" s="1"/>
  <c r="F182" i="31" s="1"/>
  <c r="F183" i="31" s="1"/>
  <c r="F184" i="31" s="1"/>
  <c r="F185" i="31" s="1"/>
  <c r="F186" i="31" s="1"/>
  <c r="F187" i="31" s="1"/>
  <c r="F188" i="31" s="1"/>
  <c r="F189" i="31" s="1"/>
  <c r="F190" i="31" s="1"/>
  <c r="F191" i="31" s="1"/>
  <c r="F192" i="31" s="1"/>
  <c r="F193" i="31" s="1"/>
  <c r="F194" i="31" s="1"/>
  <c r="I176" i="31"/>
  <c r="I177" i="31" s="1"/>
  <c r="I178" i="31" s="1"/>
  <c r="I172" i="31"/>
  <c r="I173" i="31" s="1"/>
  <c r="I174" i="31" s="1"/>
  <c r="H172" i="31"/>
  <c r="H173" i="31" s="1"/>
  <c r="H174" i="31" s="1"/>
  <c r="H175" i="31" s="1"/>
  <c r="H176" i="31" s="1"/>
  <c r="H177" i="31" s="1"/>
  <c r="H178" i="31" s="1"/>
  <c r="I168" i="31"/>
  <c r="I169" i="31" s="1"/>
  <c r="I170" i="31" s="1"/>
  <c r="I164" i="31"/>
  <c r="I165" i="31" s="1"/>
  <c r="I166" i="31" s="1"/>
  <c r="H164" i="31"/>
  <c r="H165" i="31" s="1"/>
  <c r="H166" i="31" s="1"/>
  <c r="H167" i="31" s="1"/>
  <c r="H168" i="31" s="1"/>
  <c r="H169" i="31" s="1"/>
  <c r="H170" i="31" s="1"/>
  <c r="G164" i="31"/>
  <c r="G165" i="31" s="1"/>
  <c r="G166" i="31" s="1"/>
  <c r="G167" i="31" s="1"/>
  <c r="G168" i="31" s="1"/>
  <c r="G169" i="31" s="1"/>
  <c r="G170" i="31" s="1"/>
  <c r="G171" i="31" s="1"/>
  <c r="G172" i="31" s="1"/>
  <c r="G173" i="31" s="1"/>
  <c r="G174" i="31" s="1"/>
  <c r="G175" i="31" s="1"/>
  <c r="G176" i="31" s="1"/>
  <c r="G177" i="31" s="1"/>
  <c r="G178" i="31" s="1"/>
  <c r="F164" i="31"/>
  <c r="F165" i="31" s="1"/>
  <c r="F166" i="31" s="1"/>
  <c r="F167" i="31" s="1"/>
  <c r="F168" i="31" s="1"/>
  <c r="F169" i="31" s="1"/>
  <c r="F170" i="31" s="1"/>
  <c r="F171" i="31" s="1"/>
  <c r="F172" i="31" s="1"/>
  <c r="F173" i="31" s="1"/>
  <c r="F174" i="31" s="1"/>
  <c r="F175" i="31" s="1"/>
  <c r="F176" i="31" s="1"/>
  <c r="F177" i="31" s="1"/>
  <c r="F178" i="31" s="1"/>
  <c r="I160" i="31"/>
  <c r="I161" i="31" s="1"/>
  <c r="I162" i="31" s="1"/>
  <c r="I156" i="31"/>
  <c r="I157" i="31" s="1"/>
  <c r="I158" i="31" s="1"/>
  <c r="H156" i="31"/>
  <c r="H157" i="31" s="1"/>
  <c r="H158" i="31" s="1"/>
  <c r="H159" i="31" s="1"/>
  <c r="H160" i="31" s="1"/>
  <c r="H161" i="31" s="1"/>
  <c r="H162" i="31" s="1"/>
  <c r="I152" i="31"/>
  <c r="I153" i="31" s="1"/>
  <c r="I154" i="31" s="1"/>
  <c r="I148" i="31"/>
  <c r="I149" i="31" s="1"/>
  <c r="I150" i="31" s="1"/>
  <c r="H148" i="31"/>
  <c r="H149" i="31" s="1"/>
  <c r="H150" i="31" s="1"/>
  <c r="H151" i="31" s="1"/>
  <c r="H152" i="31" s="1"/>
  <c r="H153" i="31" s="1"/>
  <c r="H154" i="31" s="1"/>
  <c r="G148" i="31"/>
  <c r="G149" i="31" s="1"/>
  <c r="G150" i="31" s="1"/>
  <c r="G151" i="31" s="1"/>
  <c r="G152" i="31" s="1"/>
  <c r="G153" i="31" s="1"/>
  <c r="G154" i="31" s="1"/>
  <c r="G155" i="31" s="1"/>
  <c r="G156" i="31" s="1"/>
  <c r="G157" i="31" s="1"/>
  <c r="G158" i="31" s="1"/>
  <c r="G159" i="31" s="1"/>
  <c r="G160" i="31" s="1"/>
  <c r="G161" i="31" s="1"/>
  <c r="G162" i="31" s="1"/>
  <c r="F148" i="31"/>
  <c r="F149" i="31" s="1"/>
  <c r="F150" i="31" s="1"/>
  <c r="F151" i="31" s="1"/>
  <c r="F152" i="31" s="1"/>
  <c r="F153" i="31" s="1"/>
  <c r="F154" i="31" s="1"/>
  <c r="F155" i="31" s="1"/>
  <c r="F156" i="31" s="1"/>
  <c r="F157" i="31" s="1"/>
  <c r="F158" i="31" s="1"/>
  <c r="F159" i="31" s="1"/>
  <c r="F160" i="31" s="1"/>
  <c r="F161" i="31" s="1"/>
  <c r="F162" i="31" s="1"/>
  <c r="I144" i="31"/>
  <c r="I145" i="31" s="1"/>
  <c r="I146" i="31" s="1"/>
  <c r="I140" i="31"/>
  <c r="I141" i="31" s="1"/>
  <c r="I142" i="31" s="1"/>
  <c r="H140" i="31"/>
  <c r="H141" i="31" s="1"/>
  <c r="H142" i="31" s="1"/>
  <c r="H143" i="31" s="1"/>
  <c r="H144" i="31" s="1"/>
  <c r="H145" i="31" s="1"/>
  <c r="H146" i="31" s="1"/>
  <c r="I136" i="31"/>
  <c r="I137" i="31" s="1"/>
  <c r="I138" i="31" s="1"/>
  <c r="I132" i="31"/>
  <c r="I133" i="31" s="1"/>
  <c r="I134" i="31" s="1"/>
  <c r="H132" i="31"/>
  <c r="H133" i="31" s="1"/>
  <c r="H134" i="31" s="1"/>
  <c r="H135" i="31" s="1"/>
  <c r="H136" i="31" s="1"/>
  <c r="H137" i="31" s="1"/>
  <c r="H138" i="31" s="1"/>
  <c r="G132" i="31"/>
  <c r="G133" i="31" s="1"/>
  <c r="G134" i="31" s="1"/>
  <c r="G135" i="31" s="1"/>
  <c r="G136" i="31" s="1"/>
  <c r="G137" i="31" s="1"/>
  <c r="G138" i="31" s="1"/>
  <c r="G139" i="31" s="1"/>
  <c r="G140" i="31" s="1"/>
  <c r="G141" i="31" s="1"/>
  <c r="G142" i="31" s="1"/>
  <c r="G143" i="31" s="1"/>
  <c r="G144" i="31" s="1"/>
  <c r="G145" i="31" s="1"/>
  <c r="G146" i="31" s="1"/>
  <c r="F132" i="31"/>
  <c r="F133" i="31" s="1"/>
  <c r="F134" i="31" s="1"/>
  <c r="F135" i="31" s="1"/>
  <c r="F136" i="31" s="1"/>
  <c r="F137" i="31" s="1"/>
  <c r="F138" i="31" s="1"/>
  <c r="F139" i="31" s="1"/>
  <c r="F140" i="31" s="1"/>
  <c r="F141" i="31" s="1"/>
  <c r="F142" i="31" s="1"/>
  <c r="F143" i="31" s="1"/>
  <c r="F144" i="31" s="1"/>
  <c r="F145" i="31" s="1"/>
  <c r="F146" i="31" s="1"/>
  <c r="I128" i="31"/>
  <c r="I129" i="31" s="1"/>
  <c r="I130" i="31" s="1"/>
  <c r="I124" i="31"/>
  <c r="I125" i="31" s="1"/>
  <c r="I126" i="31" s="1"/>
  <c r="H124" i="31"/>
  <c r="H125" i="31" s="1"/>
  <c r="H126" i="31" s="1"/>
  <c r="H127" i="31" s="1"/>
  <c r="H128" i="31" s="1"/>
  <c r="H129" i="31" s="1"/>
  <c r="H130" i="31" s="1"/>
  <c r="I120" i="31"/>
  <c r="I121" i="31" s="1"/>
  <c r="I122" i="31" s="1"/>
  <c r="I116" i="31"/>
  <c r="I117" i="31" s="1"/>
  <c r="I118" i="31" s="1"/>
  <c r="H116" i="31"/>
  <c r="H117" i="31" s="1"/>
  <c r="H118" i="31" s="1"/>
  <c r="H119" i="31" s="1"/>
  <c r="H120" i="31" s="1"/>
  <c r="H121" i="31" s="1"/>
  <c r="H122" i="31" s="1"/>
  <c r="G116" i="31"/>
  <c r="G117" i="31" s="1"/>
  <c r="G118" i="31" s="1"/>
  <c r="G119" i="31" s="1"/>
  <c r="G120" i="31" s="1"/>
  <c r="G121" i="31" s="1"/>
  <c r="G122" i="31" s="1"/>
  <c r="G123" i="31" s="1"/>
  <c r="G124" i="31" s="1"/>
  <c r="G125" i="31" s="1"/>
  <c r="G126" i="31" s="1"/>
  <c r="G127" i="31" s="1"/>
  <c r="G128" i="31" s="1"/>
  <c r="G129" i="31" s="1"/>
  <c r="G130" i="31" s="1"/>
  <c r="F116" i="31"/>
  <c r="F117" i="31" s="1"/>
  <c r="F118" i="31" s="1"/>
  <c r="F119" i="31" s="1"/>
  <c r="F120" i="31" s="1"/>
  <c r="F121" i="31" s="1"/>
  <c r="F122" i="31" s="1"/>
  <c r="F123" i="31" s="1"/>
  <c r="F124" i="31" s="1"/>
  <c r="F125" i="31" s="1"/>
  <c r="F126" i="31" s="1"/>
  <c r="F127" i="31" s="1"/>
  <c r="F128" i="31" s="1"/>
  <c r="F129" i="31" s="1"/>
  <c r="F130" i="31" s="1"/>
  <c r="I112" i="31"/>
  <c r="I113" i="31" s="1"/>
  <c r="I114" i="31" s="1"/>
  <c r="I108" i="31"/>
  <c r="I109" i="31" s="1"/>
  <c r="I110" i="31" s="1"/>
  <c r="H108" i="31"/>
  <c r="H109" i="31" s="1"/>
  <c r="H110" i="31" s="1"/>
  <c r="H111" i="31" s="1"/>
  <c r="H112" i="31" s="1"/>
  <c r="H113" i="31" s="1"/>
  <c r="H114" i="31" s="1"/>
  <c r="I104" i="31"/>
  <c r="I105" i="31" s="1"/>
  <c r="I106" i="31" s="1"/>
  <c r="I100" i="31"/>
  <c r="I101" i="31" s="1"/>
  <c r="I102" i="31" s="1"/>
  <c r="H100" i="31"/>
  <c r="H101" i="31" s="1"/>
  <c r="H102" i="31" s="1"/>
  <c r="H103" i="31" s="1"/>
  <c r="H104" i="31" s="1"/>
  <c r="G100" i="31"/>
  <c r="G101" i="31" s="1"/>
  <c r="G102" i="31" s="1"/>
  <c r="G103" i="31" s="1"/>
  <c r="G104" i="31" s="1"/>
  <c r="G105" i="31" s="1"/>
  <c r="G106" i="31" s="1"/>
  <c r="G107" i="31" s="1"/>
  <c r="G108" i="31" s="1"/>
  <c r="G109" i="31" s="1"/>
  <c r="G110" i="31" s="1"/>
  <c r="G111" i="31" s="1"/>
  <c r="G112" i="31" s="1"/>
  <c r="G113" i="31" s="1"/>
  <c r="G114" i="31" s="1"/>
  <c r="F100" i="31"/>
  <c r="F101" i="31" s="1"/>
  <c r="F102" i="31" s="1"/>
  <c r="F103" i="31" s="1"/>
  <c r="F104" i="31" s="1"/>
  <c r="F105" i="31" s="1"/>
  <c r="F106" i="31" s="1"/>
  <c r="F107" i="31" s="1"/>
  <c r="F108" i="31" s="1"/>
  <c r="F109" i="31" s="1"/>
  <c r="F110" i="31" s="1"/>
  <c r="F111" i="31" s="1"/>
  <c r="F112" i="31" s="1"/>
  <c r="F113" i="31" s="1"/>
  <c r="F114" i="31" s="1"/>
  <c r="I96" i="31"/>
  <c r="I97" i="31" s="1"/>
  <c r="I98" i="31" s="1"/>
  <c r="I92" i="31"/>
  <c r="I93" i="31" s="1"/>
  <c r="I94" i="31" s="1"/>
  <c r="H92" i="31"/>
  <c r="H93" i="31" s="1"/>
  <c r="H94" i="31" s="1"/>
  <c r="H95" i="31" s="1"/>
  <c r="H96" i="31" s="1"/>
  <c r="H97" i="31" s="1"/>
  <c r="H98" i="31" s="1"/>
  <c r="I88" i="31"/>
  <c r="I89" i="31" s="1"/>
  <c r="I90" i="31" s="1"/>
  <c r="I84" i="31"/>
  <c r="I85" i="31" s="1"/>
  <c r="I86" i="31" s="1"/>
  <c r="H84" i="31"/>
  <c r="H85" i="31" s="1"/>
  <c r="H86" i="31" s="1"/>
  <c r="H87" i="31" s="1"/>
  <c r="H88" i="31" s="1"/>
  <c r="H89" i="31" s="1"/>
  <c r="H90" i="31" s="1"/>
  <c r="G84" i="31"/>
  <c r="G85" i="31" s="1"/>
  <c r="G86" i="31" s="1"/>
  <c r="G87" i="31" s="1"/>
  <c r="G88" i="31" s="1"/>
  <c r="G89" i="31" s="1"/>
  <c r="G90" i="31" s="1"/>
  <c r="G91" i="31" s="1"/>
  <c r="G92" i="31" s="1"/>
  <c r="G93" i="31" s="1"/>
  <c r="G94" i="31" s="1"/>
  <c r="G95" i="31" s="1"/>
  <c r="G96" i="31" s="1"/>
  <c r="G97" i="31" s="1"/>
  <c r="G98" i="31" s="1"/>
  <c r="F84" i="31"/>
  <c r="F85" i="31" s="1"/>
  <c r="F86" i="31" s="1"/>
  <c r="F87" i="31" s="1"/>
  <c r="F88" i="31" s="1"/>
  <c r="F89" i="31" s="1"/>
  <c r="F90" i="31" s="1"/>
  <c r="F91" i="31" s="1"/>
  <c r="F92" i="31" s="1"/>
  <c r="F93" i="31" s="1"/>
  <c r="F94" i="31" s="1"/>
  <c r="F95" i="31" s="1"/>
  <c r="F96" i="31" s="1"/>
  <c r="F97" i="31" s="1"/>
  <c r="F98" i="31" s="1"/>
  <c r="I80" i="31"/>
  <c r="I81" i="31" s="1"/>
  <c r="I82" i="31" s="1"/>
  <c r="I76" i="31"/>
  <c r="I77" i="31" s="1"/>
  <c r="I78" i="31" s="1"/>
  <c r="H76" i="31"/>
  <c r="H77" i="31" s="1"/>
  <c r="H78" i="31" s="1"/>
  <c r="H79" i="31" s="1"/>
  <c r="H80" i="31" s="1"/>
  <c r="H81" i="31" s="1"/>
  <c r="H82" i="31" s="1"/>
  <c r="I72" i="31"/>
  <c r="I73" i="31" s="1"/>
  <c r="I74" i="31" s="1"/>
  <c r="I68" i="31"/>
  <c r="I69" i="31" s="1"/>
  <c r="I70" i="31" s="1"/>
  <c r="H68" i="31"/>
  <c r="H69" i="31" s="1"/>
  <c r="H70" i="31" s="1"/>
  <c r="H71" i="31" s="1"/>
  <c r="H72" i="31" s="1"/>
  <c r="H73" i="31" s="1"/>
  <c r="H74" i="31" s="1"/>
  <c r="G68" i="31"/>
  <c r="G69" i="31" s="1"/>
  <c r="G70" i="31" s="1"/>
  <c r="G71" i="31" s="1"/>
  <c r="G72" i="31" s="1"/>
  <c r="G73" i="31" s="1"/>
  <c r="G74" i="31" s="1"/>
  <c r="G75" i="31" s="1"/>
  <c r="G76" i="31" s="1"/>
  <c r="G77" i="31" s="1"/>
  <c r="G78" i="31" s="1"/>
  <c r="G79" i="31" s="1"/>
  <c r="G80" i="31" s="1"/>
  <c r="G81" i="31" s="1"/>
  <c r="G82" i="31" s="1"/>
  <c r="F68" i="31"/>
  <c r="F69" i="31" s="1"/>
  <c r="F70" i="31" s="1"/>
  <c r="F71" i="31" s="1"/>
  <c r="F72" i="31" s="1"/>
  <c r="F73" i="31" s="1"/>
  <c r="F74" i="31" s="1"/>
  <c r="F75" i="31" s="1"/>
  <c r="F76" i="31" s="1"/>
  <c r="F77" i="31" s="1"/>
  <c r="F78" i="31" s="1"/>
  <c r="F79" i="31" s="1"/>
  <c r="F80" i="31" s="1"/>
  <c r="F81" i="31" s="1"/>
  <c r="F82" i="31" s="1"/>
  <c r="I64" i="31"/>
  <c r="I65" i="31" s="1"/>
  <c r="I66" i="31" s="1"/>
  <c r="I60" i="31"/>
  <c r="I61" i="31" s="1"/>
  <c r="I62" i="31" s="1"/>
  <c r="H60" i="31"/>
  <c r="H61" i="31" s="1"/>
  <c r="H62" i="31" s="1"/>
  <c r="H63" i="31" s="1"/>
  <c r="H64" i="31" s="1"/>
  <c r="H65" i="31" s="1"/>
  <c r="H66" i="31" s="1"/>
  <c r="I56" i="31"/>
  <c r="I57" i="31" s="1"/>
  <c r="I58" i="31" s="1"/>
  <c r="I52" i="31"/>
  <c r="I53" i="31" s="1"/>
  <c r="I54" i="31" s="1"/>
  <c r="H52" i="31"/>
  <c r="H53" i="31" s="1"/>
  <c r="H54" i="31" s="1"/>
  <c r="H55" i="31" s="1"/>
  <c r="H56" i="31" s="1"/>
  <c r="H57" i="31" s="1"/>
  <c r="H58" i="31" s="1"/>
  <c r="G52" i="31"/>
  <c r="G53" i="31" s="1"/>
  <c r="G54" i="31" s="1"/>
  <c r="G55" i="31" s="1"/>
  <c r="G56" i="31" s="1"/>
  <c r="G57" i="31" s="1"/>
  <c r="G58" i="31" s="1"/>
  <c r="G59" i="31" s="1"/>
  <c r="G60" i="31" s="1"/>
  <c r="G61" i="31" s="1"/>
  <c r="G62" i="31" s="1"/>
  <c r="G63" i="31" s="1"/>
  <c r="G64" i="31" s="1"/>
  <c r="G65" i="31" s="1"/>
  <c r="G66" i="31" s="1"/>
  <c r="F52" i="31"/>
  <c r="F53" i="31" s="1"/>
  <c r="F54" i="31" s="1"/>
  <c r="F55" i="31" s="1"/>
  <c r="F56" i="31" s="1"/>
  <c r="F57" i="31" s="1"/>
  <c r="F58" i="31" s="1"/>
  <c r="F59" i="31" s="1"/>
  <c r="F60" i="31" s="1"/>
  <c r="F61" i="31" s="1"/>
  <c r="F62" i="31" s="1"/>
  <c r="F63" i="31" s="1"/>
  <c r="F64" i="31" s="1"/>
  <c r="F65" i="31" s="1"/>
  <c r="F66" i="31" s="1"/>
  <c r="I48" i="31"/>
  <c r="I49" i="31" s="1"/>
  <c r="I50" i="31" s="1"/>
  <c r="I44" i="31"/>
  <c r="I45" i="31" s="1"/>
  <c r="I46" i="31" s="1"/>
  <c r="H44" i="31"/>
  <c r="H45" i="31" s="1"/>
  <c r="H46" i="31" s="1"/>
  <c r="H47" i="31" s="1"/>
  <c r="H48" i="31" s="1"/>
  <c r="H49" i="31" s="1"/>
  <c r="H50" i="31" s="1"/>
  <c r="I40" i="31"/>
  <c r="I41" i="31" s="1"/>
  <c r="I42" i="31" s="1"/>
  <c r="I36" i="31"/>
  <c r="I37" i="31" s="1"/>
  <c r="I38" i="31" s="1"/>
  <c r="H36" i="31"/>
  <c r="H37" i="31" s="1"/>
  <c r="H38" i="31" s="1"/>
  <c r="H39" i="31" s="1"/>
  <c r="H40" i="31" s="1"/>
  <c r="H41" i="31" s="1"/>
  <c r="H42" i="31" s="1"/>
  <c r="G36" i="31"/>
  <c r="G37" i="31" s="1"/>
  <c r="G38" i="31" s="1"/>
  <c r="G39" i="31" s="1"/>
  <c r="G40" i="31" s="1"/>
  <c r="G41" i="31" s="1"/>
  <c r="G42" i="31" s="1"/>
  <c r="G43" i="31" s="1"/>
  <c r="G44" i="31" s="1"/>
  <c r="G45" i="31" s="1"/>
  <c r="G46" i="31" s="1"/>
  <c r="G47" i="31" s="1"/>
  <c r="G48" i="31" s="1"/>
  <c r="G49" i="31" s="1"/>
  <c r="G50" i="31" s="1"/>
  <c r="F36" i="31"/>
  <c r="F37" i="31" s="1"/>
  <c r="F38" i="31" s="1"/>
  <c r="F39" i="31" s="1"/>
  <c r="F40" i="31" s="1"/>
  <c r="F41" i="31" s="1"/>
  <c r="F42" i="31" s="1"/>
  <c r="F43" i="31" s="1"/>
  <c r="F44" i="31" s="1"/>
  <c r="F45" i="31" s="1"/>
  <c r="F46" i="31" s="1"/>
  <c r="F47" i="31" s="1"/>
  <c r="F48" i="31" s="1"/>
  <c r="F49" i="31" s="1"/>
  <c r="F50" i="31" s="1"/>
  <c r="I32" i="31"/>
  <c r="I33" i="31" s="1"/>
  <c r="I34" i="31" s="1"/>
  <c r="I28" i="31"/>
  <c r="I29" i="31" s="1"/>
  <c r="I30" i="31" s="1"/>
  <c r="H28" i="31"/>
  <c r="H29" i="31" s="1"/>
  <c r="H30" i="31" s="1"/>
  <c r="H31" i="31" s="1"/>
  <c r="H32" i="31" s="1"/>
  <c r="H33" i="31" s="1"/>
  <c r="H34" i="31" s="1"/>
  <c r="I24" i="31"/>
  <c r="I25" i="31" s="1"/>
  <c r="I26" i="31" s="1"/>
  <c r="I20" i="31"/>
  <c r="I21" i="31" s="1"/>
  <c r="I22" i="31" s="1"/>
  <c r="H20" i="31"/>
  <c r="H21" i="31" s="1"/>
  <c r="H22" i="31" s="1"/>
  <c r="H23" i="31" s="1"/>
  <c r="H24" i="31" s="1"/>
  <c r="H25" i="31" s="1"/>
  <c r="H26" i="31" s="1"/>
  <c r="G20" i="31"/>
  <c r="G21" i="31" s="1"/>
  <c r="G22" i="31" s="1"/>
  <c r="G23" i="31" s="1"/>
  <c r="G24" i="31" s="1"/>
  <c r="G25" i="31" s="1"/>
  <c r="G26" i="31" s="1"/>
  <c r="G27" i="31" s="1"/>
  <c r="G28" i="31" s="1"/>
  <c r="G29" i="31" s="1"/>
  <c r="G30" i="31" s="1"/>
  <c r="G31" i="31" s="1"/>
  <c r="G32" i="31" s="1"/>
  <c r="G33" i="31" s="1"/>
  <c r="G34" i="31" s="1"/>
  <c r="F20" i="31"/>
  <c r="F21" i="31" s="1"/>
  <c r="F22" i="31" s="1"/>
  <c r="F23" i="31" s="1"/>
  <c r="F24" i="31" s="1"/>
  <c r="F25" i="31" s="1"/>
  <c r="F26" i="31" s="1"/>
  <c r="F27" i="31" s="1"/>
  <c r="F28" i="31" s="1"/>
  <c r="F29" i="31" s="1"/>
  <c r="F30" i="31" s="1"/>
  <c r="F31" i="31" s="1"/>
  <c r="F32" i="31" s="1"/>
  <c r="F33" i="31" s="1"/>
  <c r="F34" i="31" s="1"/>
  <c r="I16" i="31"/>
  <c r="I17" i="31" s="1"/>
  <c r="I18" i="31" s="1"/>
  <c r="I12" i="31"/>
  <c r="I13" i="31" s="1"/>
  <c r="I14" i="31" s="1"/>
  <c r="H12" i="31"/>
  <c r="H13" i="31" s="1"/>
  <c r="H14" i="31" s="1"/>
  <c r="H15" i="31" s="1"/>
  <c r="H16" i="31" s="1"/>
  <c r="H17" i="31" s="1"/>
  <c r="H18" i="31" s="1"/>
  <c r="I8" i="31"/>
  <c r="I9" i="31" s="1"/>
  <c r="I10" i="31" s="1"/>
  <c r="I4" i="31"/>
  <c r="I5" i="31" s="1"/>
  <c r="I6" i="31" s="1"/>
  <c r="H4" i="31"/>
  <c r="H5" i="31" s="1"/>
  <c r="H6" i="31" s="1"/>
  <c r="H7" i="31" s="1"/>
  <c r="H8" i="31" s="1"/>
  <c r="H9" i="31" s="1"/>
  <c r="H10" i="31" s="1"/>
  <c r="G4" i="31"/>
  <c r="G5" i="31" s="1"/>
  <c r="G6" i="31" s="1"/>
  <c r="G7" i="31" s="1"/>
  <c r="G8" i="31" s="1"/>
  <c r="G9" i="31" s="1"/>
  <c r="G10" i="31" s="1"/>
  <c r="G11" i="31" s="1"/>
  <c r="G12" i="31" s="1"/>
  <c r="G13" i="31" s="1"/>
  <c r="G14" i="31" s="1"/>
  <c r="G15" i="31" s="1"/>
  <c r="G16" i="31" s="1"/>
  <c r="G17" i="31" s="1"/>
  <c r="G18" i="31" s="1"/>
  <c r="F4" i="31"/>
  <c r="F5" i="31" l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5" i="30"/>
  <c r="F6" i="30" s="1"/>
  <c r="F7" i="30" s="1"/>
  <c r="F8" i="30" s="1"/>
  <c r="F9" i="30" s="1"/>
  <c r="F10" i="30" s="1"/>
  <c r="F11" i="30" s="1"/>
  <c r="F12" i="30" s="1"/>
  <c r="F13" i="30" s="1"/>
  <c r="F14" i="30" s="1"/>
  <c r="F15" i="30" s="1"/>
  <c r="F16" i="30" s="1"/>
  <c r="F17" i="30" s="1"/>
  <c r="F18" i="30" s="1"/>
  <c r="H105" i="31"/>
  <c r="H106" i="31" s="1"/>
  <c r="I192" i="42"/>
  <c r="I193" i="42" s="1"/>
  <c r="I194" i="42" s="1"/>
  <c r="I188" i="42"/>
  <c r="I189" i="42" s="1"/>
  <c r="I190" i="42" s="1"/>
  <c r="H188" i="42"/>
  <c r="H189" i="42" s="1"/>
  <c r="H190" i="42" s="1"/>
  <c r="H191" i="42" s="1"/>
  <c r="H192" i="42" s="1"/>
  <c r="H193" i="42" s="1"/>
  <c r="H194" i="42" s="1"/>
  <c r="I184" i="42"/>
  <c r="I185" i="42" s="1"/>
  <c r="I186" i="42" s="1"/>
  <c r="I180" i="42"/>
  <c r="I181" i="42" s="1"/>
  <c r="I182" i="42" s="1"/>
  <c r="H180" i="42"/>
  <c r="H181" i="42" s="1"/>
  <c r="H182" i="42" s="1"/>
  <c r="H183" i="42" s="1"/>
  <c r="H184" i="42" s="1"/>
  <c r="H185" i="42" s="1"/>
  <c r="H186" i="42" s="1"/>
  <c r="G180" i="42"/>
  <c r="G181" i="42" s="1"/>
  <c r="G182" i="42" s="1"/>
  <c r="G183" i="42" s="1"/>
  <c r="G184" i="42" s="1"/>
  <c r="G185" i="42" s="1"/>
  <c r="G186" i="42" s="1"/>
  <c r="G187" i="42" s="1"/>
  <c r="G188" i="42" s="1"/>
  <c r="G189" i="42" s="1"/>
  <c r="G190" i="42" s="1"/>
  <c r="G191" i="42" s="1"/>
  <c r="G192" i="42" s="1"/>
  <c r="G193" i="42" s="1"/>
  <c r="G194" i="42" s="1"/>
  <c r="F180" i="42"/>
  <c r="F181" i="42" s="1"/>
  <c r="F182" i="42" s="1"/>
  <c r="F183" i="42" s="1"/>
  <c r="F184" i="42" s="1"/>
  <c r="F185" i="42" s="1"/>
  <c r="F186" i="42" s="1"/>
  <c r="F187" i="42" s="1"/>
  <c r="F188" i="42" s="1"/>
  <c r="F189" i="42" s="1"/>
  <c r="F190" i="42" s="1"/>
  <c r="F191" i="42" s="1"/>
  <c r="F192" i="42" s="1"/>
  <c r="F193" i="42" s="1"/>
  <c r="F194" i="42" s="1"/>
  <c r="I176" i="42"/>
  <c r="I177" i="42" s="1"/>
  <c r="I178" i="42" s="1"/>
  <c r="I172" i="42"/>
  <c r="I173" i="42" s="1"/>
  <c r="I174" i="42" s="1"/>
  <c r="H172" i="42"/>
  <c r="H173" i="42" s="1"/>
  <c r="H174" i="42" s="1"/>
  <c r="H175" i="42" s="1"/>
  <c r="H176" i="42" s="1"/>
  <c r="H177" i="42" s="1"/>
  <c r="H178" i="42" s="1"/>
  <c r="I168" i="42"/>
  <c r="I169" i="42" s="1"/>
  <c r="I170" i="42" s="1"/>
  <c r="I164" i="42"/>
  <c r="I165" i="42" s="1"/>
  <c r="I166" i="42" s="1"/>
  <c r="H164" i="42"/>
  <c r="H165" i="42" s="1"/>
  <c r="H166" i="42" s="1"/>
  <c r="H167" i="42" s="1"/>
  <c r="H168" i="42" s="1"/>
  <c r="H169" i="42" s="1"/>
  <c r="H170" i="42" s="1"/>
  <c r="G164" i="42"/>
  <c r="G165" i="42" s="1"/>
  <c r="G166" i="42" s="1"/>
  <c r="G167" i="42" s="1"/>
  <c r="G168" i="42" s="1"/>
  <c r="G169" i="42" s="1"/>
  <c r="G170" i="42" s="1"/>
  <c r="G171" i="42" s="1"/>
  <c r="G172" i="42" s="1"/>
  <c r="G173" i="42" s="1"/>
  <c r="G174" i="42" s="1"/>
  <c r="G175" i="42" s="1"/>
  <c r="G176" i="42" s="1"/>
  <c r="G177" i="42" s="1"/>
  <c r="G178" i="42" s="1"/>
  <c r="F164" i="42"/>
  <c r="F165" i="42" s="1"/>
  <c r="F166" i="42" s="1"/>
  <c r="F167" i="42" s="1"/>
  <c r="F168" i="42" s="1"/>
  <c r="F169" i="42" s="1"/>
  <c r="F170" i="42" s="1"/>
  <c r="F171" i="42" s="1"/>
  <c r="F172" i="42" s="1"/>
  <c r="F173" i="42" s="1"/>
  <c r="F174" i="42" s="1"/>
  <c r="F175" i="42" s="1"/>
  <c r="F176" i="42" s="1"/>
  <c r="F177" i="42" s="1"/>
  <c r="F178" i="42" s="1"/>
  <c r="I160" i="42"/>
  <c r="I161" i="42" s="1"/>
  <c r="I162" i="42" s="1"/>
  <c r="I156" i="42"/>
  <c r="I157" i="42" s="1"/>
  <c r="I158" i="42" s="1"/>
  <c r="H156" i="42"/>
  <c r="H157" i="42" s="1"/>
  <c r="H158" i="42" s="1"/>
  <c r="H159" i="42" s="1"/>
  <c r="H160" i="42" s="1"/>
  <c r="H161" i="42" s="1"/>
  <c r="H162" i="42" s="1"/>
  <c r="I152" i="42"/>
  <c r="I153" i="42" s="1"/>
  <c r="I154" i="42" s="1"/>
  <c r="I148" i="42"/>
  <c r="I149" i="42" s="1"/>
  <c r="I150" i="42" s="1"/>
  <c r="H148" i="42"/>
  <c r="H149" i="42" s="1"/>
  <c r="H150" i="42" s="1"/>
  <c r="H151" i="42" s="1"/>
  <c r="H152" i="42" s="1"/>
  <c r="H153" i="42" s="1"/>
  <c r="H154" i="42" s="1"/>
  <c r="G148" i="42"/>
  <c r="G149" i="42" s="1"/>
  <c r="G150" i="42" s="1"/>
  <c r="G151" i="42" s="1"/>
  <c r="G152" i="42" s="1"/>
  <c r="G153" i="42" s="1"/>
  <c r="G154" i="42" s="1"/>
  <c r="G155" i="42" s="1"/>
  <c r="G156" i="42" s="1"/>
  <c r="G157" i="42" s="1"/>
  <c r="G158" i="42" s="1"/>
  <c r="G159" i="42" s="1"/>
  <c r="G160" i="42" s="1"/>
  <c r="G161" i="42" s="1"/>
  <c r="G162" i="42" s="1"/>
  <c r="F148" i="42"/>
  <c r="F149" i="42" s="1"/>
  <c r="F150" i="42" s="1"/>
  <c r="F151" i="42" s="1"/>
  <c r="F152" i="42" s="1"/>
  <c r="F153" i="42" s="1"/>
  <c r="F154" i="42" s="1"/>
  <c r="F155" i="42" s="1"/>
  <c r="F156" i="42" s="1"/>
  <c r="F157" i="42" s="1"/>
  <c r="F158" i="42" s="1"/>
  <c r="F159" i="42" s="1"/>
  <c r="F160" i="42" s="1"/>
  <c r="F161" i="42" s="1"/>
  <c r="F162" i="42" s="1"/>
  <c r="I144" i="42"/>
  <c r="I145" i="42" s="1"/>
  <c r="I146" i="42" s="1"/>
  <c r="I140" i="42"/>
  <c r="I141" i="42" s="1"/>
  <c r="I142" i="42" s="1"/>
  <c r="H140" i="42"/>
  <c r="H141" i="42" s="1"/>
  <c r="H142" i="42" s="1"/>
  <c r="H143" i="42" s="1"/>
  <c r="H144" i="42" s="1"/>
  <c r="H145" i="42" s="1"/>
  <c r="H146" i="42" s="1"/>
  <c r="I136" i="42"/>
  <c r="I137" i="42" s="1"/>
  <c r="I138" i="42" s="1"/>
  <c r="I132" i="42"/>
  <c r="I133" i="42" s="1"/>
  <c r="I134" i="42" s="1"/>
  <c r="H132" i="42"/>
  <c r="H133" i="42" s="1"/>
  <c r="H134" i="42" s="1"/>
  <c r="H135" i="42" s="1"/>
  <c r="H136" i="42" s="1"/>
  <c r="H137" i="42" s="1"/>
  <c r="H138" i="42" s="1"/>
  <c r="G132" i="42"/>
  <c r="G133" i="42" s="1"/>
  <c r="G134" i="42" s="1"/>
  <c r="G135" i="42" s="1"/>
  <c r="G136" i="42" s="1"/>
  <c r="G137" i="42" s="1"/>
  <c r="G138" i="42" s="1"/>
  <c r="G139" i="42" s="1"/>
  <c r="G140" i="42" s="1"/>
  <c r="G141" i="42" s="1"/>
  <c r="G142" i="42" s="1"/>
  <c r="G143" i="42" s="1"/>
  <c r="G144" i="42" s="1"/>
  <c r="G145" i="42" s="1"/>
  <c r="G146" i="42" s="1"/>
  <c r="F132" i="42"/>
  <c r="F133" i="42" s="1"/>
  <c r="F134" i="42" s="1"/>
  <c r="F135" i="42" s="1"/>
  <c r="F136" i="42" s="1"/>
  <c r="F137" i="42" s="1"/>
  <c r="F138" i="42" s="1"/>
  <c r="F139" i="42" s="1"/>
  <c r="F140" i="42" s="1"/>
  <c r="F141" i="42" s="1"/>
  <c r="F142" i="42" s="1"/>
  <c r="F143" i="42" s="1"/>
  <c r="F144" i="42" s="1"/>
  <c r="F145" i="42" s="1"/>
  <c r="F146" i="42" s="1"/>
  <c r="I128" i="42"/>
  <c r="I129" i="42" s="1"/>
  <c r="I130" i="42" s="1"/>
  <c r="I124" i="42"/>
  <c r="I125" i="42" s="1"/>
  <c r="I126" i="42" s="1"/>
  <c r="H124" i="42"/>
  <c r="H125" i="42" s="1"/>
  <c r="H126" i="42" s="1"/>
  <c r="H127" i="42" s="1"/>
  <c r="H128" i="42" s="1"/>
  <c r="H129" i="42" s="1"/>
  <c r="H130" i="42" s="1"/>
  <c r="I120" i="42"/>
  <c r="I121" i="42" s="1"/>
  <c r="I122" i="42" s="1"/>
  <c r="I116" i="42"/>
  <c r="I117" i="42" s="1"/>
  <c r="I118" i="42" s="1"/>
  <c r="H116" i="42"/>
  <c r="H117" i="42" s="1"/>
  <c r="H118" i="42" s="1"/>
  <c r="H119" i="42" s="1"/>
  <c r="H120" i="42" s="1"/>
  <c r="H121" i="42" s="1"/>
  <c r="H122" i="42" s="1"/>
  <c r="G116" i="42"/>
  <c r="G117" i="42" s="1"/>
  <c r="G118" i="42" s="1"/>
  <c r="G119" i="42" s="1"/>
  <c r="G120" i="42" s="1"/>
  <c r="G121" i="42" s="1"/>
  <c r="G122" i="42" s="1"/>
  <c r="G123" i="42" s="1"/>
  <c r="G124" i="42" s="1"/>
  <c r="G125" i="42" s="1"/>
  <c r="G126" i="42" s="1"/>
  <c r="G127" i="42" s="1"/>
  <c r="G128" i="42" s="1"/>
  <c r="G129" i="42" s="1"/>
  <c r="G130" i="42" s="1"/>
  <c r="F116" i="42"/>
  <c r="F117" i="42" s="1"/>
  <c r="F118" i="42" s="1"/>
  <c r="F119" i="42" s="1"/>
  <c r="F120" i="42" s="1"/>
  <c r="F121" i="42" s="1"/>
  <c r="F122" i="42" s="1"/>
  <c r="F123" i="42" s="1"/>
  <c r="F124" i="42" s="1"/>
  <c r="F125" i="42" s="1"/>
  <c r="F126" i="42" s="1"/>
  <c r="F127" i="42" s="1"/>
  <c r="F128" i="42" s="1"/>
  <c r="F129" i="42" s="1"/>
  <c r="F130" i="42" s="1"/>
  <c r="I112" i="42"/>
  <c r="I113" i="42" s="1"/>
  <c r="I114" i="42" s="1"/>
  <c r="I108" i="42"/>
  <c r="I109" i="42" s="1"/>
  <c r="I110" i="42" s="1"/>
  <c r="H108" i="42"/>
  <c r="H109" i="42" s="1"/>
  <c r="H110" i="42" s="1"/>
  <c r="H111" i="42" s="1"/>
  <c r="H112" i="42" s="1"/>
  <c r="H113" i="42" s="1"/>
  <c r="H114" i="42" s="1"/>
  <c r="I104" i="42"/>
  <c r="I105" i="42" s="1"/>
  <c r="I106" i="42" s="1"/>
  <c r="I100" i="42"/>
  <c r="I101" i="42" s="1"/>
  <c r="I102" i="42" s="1"/>
  <c r="H100" i="42"/>
  <c r="H101" i="42" s="1"/>
  <c r="H102" i="42" s="1"/>
  <c r="H103" i="42" s="1"/>
  <c r="H104" i="42" s="1"/>
  <c r="H105" i="42" s="1"/>
  <c r="H106" i="42" s="1"/>
  <c r="G100" i="42"/>
  <c r="G101" i="42" s="1"/>
  <c r="G102" i="42" s="1"/>
  <c r="G103" i="42" s="1"/>
  <c r="G104" i="42" s="1"/>
  <c r="G105" i="42" s="1"/>
  <c r="G106" i="42" s="1"/>
  <c r="G107" i="42" s="1"/>
  <c r="G108" i="42" s="1"/>
  <c r="G109" i="42" s="1"/>
  <c r="G110" i="42" s="1"/>
  <c r="G111" i="42" s="1"/>
  <c r="G112" i="42" s="1"/>
  <c r="G113" i="42" s="1"/>
  <c r="G114" i="42" s="1"/>
  <c r="F100" i="42"/>
  <c r="F101" i="42" s="1"/>
  <c r="F102" i="42" s="1"/>
  <c r="F103" i="42" s="1"/>
  <c r="F104" i="42" s="1"/>
  <c r="F105" i="42" s="1"/>
  <c r="F106" i="42" s="1"/>
  <c r="F107" i="42" s="1"/>
  <c r="F108" i="42" s="1"/>
  <c r="F109" i="42" s="1"/>
  <c r="F110" i="42" s="1"/>
  <c r="F111" i="42" s="1"/>
  <c r="F112" i="42" s="1"/>
  <c r="F113" i="42" s="1"/>
  <c r="F114" i="42" s="1"/>
  <c r="F4" i="42"/>
  <c r="F20" i="42"/>
  <c r="F21" i="42" s="1"/>
  <c r="F22" i="42" s="1"/>
  <c r="F23" i="42" s="1"/>
  <c r="F24" i="42" s="1"/>
  <c r="F25" i="42" s="1"/>
  <c r="F26" i="42" s="1"/>
  <c r="F27" i="42" s="1"/>
  <c r="F28" i="42" s="1"/>
  <c r="F29" i="42" s="1"/>
  <c r="F30" i="42" s="1"/>
  <c r="F31" i="42" s="1"/>
  <c r="F32" i="42" s="1"/>
  <c r="F33" i="42" s="1"/>
  <c r="F34" i="42" s="1"/>
  <c r="F36" i="42"/>
  <c r="F37" i="42" s="1"/>
  <c r="F38" i="42" s="1"/>
  <c r="F39" i="42" s="1"/>
  <c r="F40" i="42" s="1"/>
  <c r="F41" i="42" s="1"/>
  <c r="F42" i="42" s="1"/>
  <c r="F43" i="42" s="1"/>
  <c r="F44" i="42" s="1"/>
  <c r="F45" i="42" s="1"/>
  <c r="F46" i="42" s="1"/>
  <c r="F47" i="42" s="1"/>
  <c r="F48" i="42" s="1"/>
  <c r="F49" i="42" s="1"/>
  <c r="F50" i="42" s="1"/>
  <c r="F52" i="42"/>
  <c r="F53" i="42" s="1"/>
  <c r="F54" i="42" s="1"/>
  <c r="F55" i="42" s="1"/>
  <c r="F56" i="42" s="1"/>
  <c r="F57" i="42" s="1"/>
  <c r="F58" i="42" s="1"/>
  <c r="F59" i="42" s="1"/>
  <c r="F60" i="42" s="1"/>
  <c r="F61" i="42" s="1"/>
  <c r="F62" i="42" s="1"/>
  <c r="F63" i="42" s="1"/>
  <c r="F64" i="42" s="1"/>
  <c r="F65" i="42" s="1"/>
  <c r="F66" i="42" s="1"/>
  <c r="F68" i="42"/>
  <c r="F69" i="42" s="1"/>
  <c r="F70" i="42" s="1"/>
  <c r="F71" i="42" s="1"/>
  <c r="F72" i="42" s="1"/>
  <c r="F73" i="42" s="1"/>
  <c r="F74" i="42" s="1"/>
  <c r="F75" i="42" s="1"/>
  <c r="F76" i="42" s="1"/>
  <c r="F77" i="42" s="1"/>
  <c r="F78" i="42" s="1"/>
  <c r="F79" i="42" s="1"/>
  <c r="F80" i="42" s="1"/>
  <c r="F81" i="42" s="1"/>
  <c r="F82" i="42" s="1"/>
  <c r="F84" i="42"/>
  <c r="F85" i="42" s="1"/>
  <c r="F86" i="42" s="1"/>
  <c r="F87" i="42" s="1"/>
  <c r="F88" i="42" s="1"/>
  <c r="F89" i="42" s="1"/>
  <c r="F90" i="42" s="1"/>
  <c r="F91" i="42" s="1"/>
  <c r="F92" i="42" s="1"/>
  <c r="F93" i="42" s="1"/>
  <c r="F94" i="42" s="1"/>
  <c r="F95" i="42" s="1"/>
  <c r="F96" i="42" s="1"/>
  <c r="F97" i="42" s="1"/>
  <c r="F98" i="42" s="1"/>
  <c r="I4" i="42"/>
  <c r="I5" i="42" s="1"/>
  <c r="I6" i="42" s="1"/>
  <c r="H4" i="42"/>
  <c r="H5" i="42" s="1"/>
  <c r="H6" i="42" s="1"/>
  <c r="H7" i="42" s="1"/>
  <c r="H8" i="42" s="1"/>
  <c r="H9" i="42" s="1"/>
  <c r="H10" i="42" s="1"/>
  <c r="I8" i="42"/>
  <c r="I9" i="42" s="1"/>
  <c r="I10" i="42" s="1"/>
  <c r="G4" i="42"/>
  <c r="G5" i="42" s="1"/>
  <c r="G6" i="42" s="1"/>
  <c r="G7" i="42" s="1"/>
  <c r="G8" i="42" s="1"/>
  <c r="G9" i="42" s="1"/>
  <c r="G10" i="42" s="1"/>
  <c r="G11" i="42" s="1"/>
  <c r="G12" i="42" s="1"/>
  <c r="G13" i="42" s="1"/>
  <c r="G14" i="42" s="1"/>
  <c r="G15" i="42" s="1"/>
  <c r="G16" i="42" s="1"/>
  <c r="G17" i="42" s="1"/>
  <c r="G18" i="42" s="1"/>
  <c r="H12" i="42"/>
  <c r="H13" i="42" s="1"/>
  <c r="H14" i="42" s="1"/>
  <c r="H15" i="42" s="1"/>
  <c r="H16" i="42" s="1"/>
  <c r="H17" i="42" s="1"/>
  <c r="H18" i="42" s="1"/>
  <c r="I12" i="42"/>
  <c r="I13" i="42" s="1"/>
  <c r="I14" i="42" s="1"/>
  <c r="I16" i="42"/>
  <c r="I17" i="42" s="1"/>
  <c r="I18" i="42" s="1"/>
  <c r="I20" i="42"/>
  <c r="I21" i="42" s="1"/>
  <c r="I22" i="42" s="1"/>
  <c r="H20" i="42"/>
  <c r="H21" i="42" s="1"/>
  <c r="H22" i="42" s="1"/>
  <c r="H23" i="42" s="1"/>
  <c r="H24" i="42" s="1"/>
  <c r="H25" i="42" s="1"/>
  <c r="H26" i="42" s="1"/>
  <c r="I24" i="42"/>
  <c r="I25" i="42" s="1"/>
  <c r="I26" i="42" s="1"/>
  <c r="G20" i="42"/>
  <c r="G21" i="42" s="1"/>
  <c r="G22" i="42" s="1"/>
  <c r="G23" i="42" s="1"/>
  <c r="G24" i="42" s="1"/>
  <c r="G25" i="42" s="1"/>
  <c r="G26" i="42" s="1"/>
  <c r="G27" i="42" s="1"/>
  <c r="G28" i="42" s="1"/>
  <c r="G29" i="42" s="1"/>
  <c r="G30" i="42" s="1"/>
  <c r="G31" i="42" s="1"/>
  <c r="G32" i="42" s="1"/>
  <c r="G33" i="42" s="1"/>
  <c r="G34" i="42" s="1"/>
  <c r="H28" i="42"/>
  <c r="H29" i="42" s="1"/>
  <c r="H30" i="42" s="1"/>
  <c r="H31" i="42" s="1"/>
  <c r="H32" i="42" s="1"/>
  <c r="H33" i="42" s="1"/>
  <c r="H34" i="42" s="1"/>
  <c r="I28" i="42"/>
  <c r="I29" i="42" s="1"/>
  <c r="I30" i="42" s="1"/>
  <c r="I32" i="42"/>
  <c r="I33" i="42" s="1"/>
  <c r="I34" i="42" s="1"/>
  <c r="I36" i="42"/>
  <c r="I37" i="42" s="1"/>
  <c r="I38" i="42" s="1"/>
  <c r="H36" i="42"/>
  <c r="H37" i="42" s="1"/>
  <c r="H38" i="42" s="1"/>
  <c r="H39" i="42" s="1"/>
  <c r="H40" i="42" s="1"/>
  <c r="H41" i="42" s="1"/>
  <c r="H42" i="42" s="1"/>
  <c r="I40" i="42"/>
  <c r="I41" i="42" s="1"/>
  <c r="I42" i="42" s="1"/>
  <c r="G36" i="42"/>
  <c r="G37" i="42" s="1"/>
  <c r="G38" i="42" s="1"/>
  <c r="G39" i="42" s="1"/>
  <c r="G40" i="42" s="1"/>
  <c r="G41" i="42" s="1"/>
  <c r="G42" i="42" s="1"/>
  <c r="G43" i="42" s="1"/>
  <c r="G44" i="42" s="1"/>
  <c r="G45" i="42" s="1"/>
  <c r="G46" i="42" s="1"/>
  <c r="G47" i="42" s="1"/>
  <c r="G48" i="42" s="1"/>
  <c r="G49" i="42" s="1"/>
  <c r="G50" i="42" s="1"/>
  <c r="H44" i="42"/>
  <c r="H45" i="42" s="1"/>
  <c r="H46" i="42" s="1"/>
  <c r="H47" i="42" s="1"/>
  <c r="H48" i="42" s="1"/>
  <c r="H49" i="42" s="1"/>
  <c r="H50" i="42" s="1"/>
  <c r="I44" i="42"/>
  <c r="I45" i="42" s="1"/>
  <c r="I46" i="42" s="1"/>
  <c r="I48" i="42"/>
  <c r="I49" i="42" s="1"/>
  <c r="I50" i="42" s="1"/>
  <c r="I52" i="42"/>
  <c r="I53" i="42" s="1"/>
  <c r="I54" i="42" s="1"/>
  <c r="H52" i="42"/>
  <c r="H53" i="42" s="1"/>
  <c r="H54" i="42" s="1"/>
  <c r="H55" i="42" s="1"/>
  <c r="H56" i="42" s="1"/>
  <c r="H57" i="42" s="1"/>
  <c r="H58" i="42" s="1"/>
  <c r="I56" i="42"/>
  <c r="I57" i="42" s="1"/>
  <c r="I58" i="42" s="1"/>
  <c r="G52" i="42"/>
  <c r="G53" i="42" s="1"/>
  <c r="G54" i="42" s="1"/>
  <c r="G55" i="42" s="1"/>
  <c r="G56" i="42" s="1"/>
  <c r="G57" i="42" s="1"/>
  <c r="G58" i="42" s="1"/>
  <c r="G59" i="42" s="1"/>
  <c r="G60" i="42" s="1"/>
  <c r="G61" i="42" s="1"/>
  <c r="G62" i="42" s="1"/>
  <c r="G63" i="42" s="1"/>
  <c r="G64" i="42" s="1"/>
  <c r="G65" i="42" s="1"/>
  <c r="G66" i="42" s="1"/>
  <c r="H60" i="42"/>
  <c r="H61" i="42" s="1"/>
  <c r="H62" i="42" s="1"/>
  <c r="H63" i="42" s="1"/>
  <c r="H64" i="42" s="1"/>
  <c r="H65" i="42" s="1"/>
  <c r="H66" i="42" s="1"/>
  <c r="I60" i="42"/>
  <c r="I61" i="42" s="1"/>
  <c r="I62" i="42" s="1"/>
  <c r="I64" i="42"/>
  <c r="I65" i="42" s="1"/>
  <c r="I66" i="42" s="1"/>
  <c r="I68" i="42"/>
  <c r="I69" i="42" s="1"/>
  <c r="I70" i="42" s="1"/>
  <c r="H68" i="42"/>
  <c r="H69" i="42" s="1"/>
  <c r="H70" i="42" s="1"/>
  <c r="H71" i="42" s="1"/>
  <c r="H72" i="42" s="1"/>
  <c r="H73" i="42" s="1"/>
  <c r="H74" i="42" s="1"/>
  <c r="I72" i="42"/>
  <c r="I73" i="42" s="1"/>
  <c r="I74" i="42" s="1"/>
  <c r="G68" i="42"/>
  <c r="G69" i="42" s="1"/>
  <c r="G70" i="42" s="1"/>
  <c r="G71" i="42" s="1"/>
  <c r="G72" i="42" s="1"/>
  <c r="G73" i="42" s="1"/>
  <c r="G74" i="42" s="1"/>
  <c r="G75" i="42" s="1"/>
  <c r="G76" i="42" s="1"/>
  <c r="G77" i="42" s="1"/>
  <c r="G78" i="42" s="1"/>
  <c r="G79" i="42" s="1"/>
  <c r="G80" i="42" s="1"/>
  <c r="G81" i="42" s="1"/>
  <c r="G82" i="42" s="1"/>
  <c r="H76" i="42"/>
  <c r="H77" i="42" s="1"/>
  <c r="H78" i="42" s="1"/>
  <c r="H79" i="42" s="1"/>
  <c r="H80" i="42" s="1"/>
  <c r="H81" i="42" s="1"/>
  <c r="H82" i="42" s="1"/>
  <c r="I76" i="42"/>
  <c r="I77" i="42" s="1"/>
  <c r="I78" i="42" s="1"/>
  <c r="I80" i="42"/>
  <c r="I81" i="42" s="1"/>
  <c r="I82" i="42" s="1"/>
  <c r="I84" i="42"/>
  <c r="I85" i="42" s="1"/>
  <c r="I86" i="42" s="1"/>
  <c r="H84" i="42"/>
  <c r="H85" i="42" s="1"/>
  <c r="H86" i="42" s="1"/>
  <c r="H87" i="42" s="1"/>
  <c r="H88" i="42" s="1"/>
  <c r="H89" i="42" s="1"/>
  <c r="H90" i="42" s="1"/>
  <c r="I88" i="42"/>
  <c r="I89" i="42" s="1"/>
  <c r="I90" i="42" s="1"/>
  <c r="G84" i="42"/>
  <c r="G85" i="42" s="1"/>
  <c r="G86" i="42" s="1"/>
  <c r="G87" i="42" s="1"/>
  <c r="G88" i="42" s="1"/>
  <c r="G89" i="42" s="1"/>
  <c r="G90" i="42" s="1"/>
  <c r="G91" i="42" s="1"/>
  <c r="G92" i="42" s="1"/>
  <c r="G93" i="42" s="1"/>
  <c r="G94" i="42" s="1"/>
  <c r="G95" i="42" s="1"/>
  <c r="G96" i="42" s="1"/>
  <c r="G97" i="42" s="1"/>
  <c r="G98" i="42" s="1"/>
  <c r="H92" i="42"/>
  <c r="H93" i="42" s="1"/>
  <c r="H94" i="42" s="1"/>
  <c r="H95" i="42" s="1"/>
  <c r="H96" i="42" s="1"/>
  <c r="H97" i="42" s="1"/>
  <c r="H98" i="42" s="1"/>
  <c r="I92" i="42"/>
  <c r="I93" i="42" s="1"/>
  <c r="I94" i="42" s="1"/>
  <c r="I96" i="42"/>
  <c r="I97" i="42" s="1"/>
  <c r="I98" i="42" s="1"/>
  <c r="F5" i="42" l="1"/>
  <c r="F6" i="42" s="1"/>
  <c r="F7" i="42" s="1"/>
  <c r="F8" i="42" s="1"/>
  <c r="F9" i="42" s="1"/>
  <c r="F10" i="42" s="1"/>
  <c r="F11" i="42" s="1"/>
  <c r="F12" i="42" s="1"/>
  <c r="F13" i="42" s="1"/>
  <c r="F14" i="42" s="1"/>
  <c r="F15" i="42" s="1"/>
  <c r="F16" i="42" s="1"/>
  <c r="F17" i="42" s="1"/>
  <c r="F18" i="42" s="1"/>
  <c r="N290" i="32"/>
  <c r="O290" i="32" s="1"/>
  <c r="N289" i="32"/>
  <c r="O289" i="32" s="1"/>
  <c r="N288" i="32"/>
  <c r="O288" i="32" s="1"/>
  <c r="N287" i="32"/>
  <c r="O287" i="32" s="1"/>
  <c r="N286" i="32"/>
  <c r="O286" i="32" s="1"/>
  <c r="N285" i="32"/>
  <c r="O285" i="32" s="1"/>
  <c r="N284" i="32"/>
  <c r="O284" i="32" s="1"/>
  <c r="N283" i="32"/>
  <c r="O283" i="32" s="1"/>
  <c r="N282" i="32"/>
  <c r="O282" i="32" s="1"/>
  <c r="N281" i="32"/>
  <c r="O281" i="32" s="1"/>
  <c r="N280" i="32"/>
  <c r="O280" i="32" s="1"/>
  <c r="N279" i="32"/>
  <c r="O279" i="32" s="1"/>
  <c r="N278" i="32"/>
  <c r="O278" i="32" s="1"/>
  <c r="N277" i="32"/>
  <c r="O277" i="32" s="1"/>
  <c r="N276" i="32"/>
  <c r="O276" i="32" s="1"/>
  <c r="N275" i="32"/>
  <c r="O275" i="32" s="1"/>
  <c r="N274" i="32"/>
  <c r="O274" i="32" s="1"/>
  <c r="N273" i="32"/>
  <c r="O273" i="32" s="1"/>
  <c r="N272" i="32"/>
  <c r="O272" i="32" s="1"/>
  <c r="N271" i="32"/>
  <c r="O271" i="32" s="1"/>
  <c r="N270" i="32"/>
  <c r="O270" i="32" s="1"/>
  <c r="N269" i="32"/>
  <c r="O269" i="32" s="1"/>
  <c r="N268" i="32"/>
  <c r="O268" i="32" s="1"/>
  <c r="N267" i="32"/>
  <c r="O267" i="32" s="1"/>
  <c r="N266" i="32"/>
  <c r="O266" i="32" s="1"/>
  <c r="N265" i="32"/>
  <c r="O265" i="32" s="1"/>
  <c r="N264" i="32"/>
  <c r="O264" i="32" s="1"/>
  <c r="N263" i="32"/>
  <c r="O263" i="32" s="1"/>
  <c r="N262" i="32"/>
  <c r="O262" i="32" s="1"/>
  <c r="N261" i="32"/>
  <c r="O261" i="32" s="1"/>
  <c r="N260" i="32"/>
  <c r="O260" i="32" s="1"/>
  <c r="N259" i="32"/>
  <c r="O259" i="32" s="1"/>
  <c r="N258" i="32"/>
  <c r="O258" i="32" s="1"/>
  <c r="N257" i="32"/>
  <c r="O257" i="32" s="1"/>
  <c r="N256" i="32"/>
  <c r="O256" i="32" s="1"/>
  <c r="N255" i="32"/>
  <c r="O255" i="32" s="1"/>
  <c r="N254" i="32"/>
  <c r="O254" i="32" s="1"/>
  <c r="N253" i="32"/>
  <c r="O253" i="32" s="1"/>
  <c r="N252" i="32"/>
  <c r="O252" i="32" s="1"/>
  <c r="N251" i="32"/>
  <c r="O251" i="32" s="1"/>
  <c r="N250" i="32"/>
  <c r="O250" i="32" s="1"/>
  <c r="N249" i="32"/>
  <c r="O249" i="32" s="1"/>
  <c r="N248" i="32"/>
  <c r="O248" i="32" s="1"/>
  <c r="N247" i="32"/>
  <c r="O247" i="32" s="1"/>
  <c r="N246" i="32"/>
  <c r="O246" i="32" s="1"/>
  <c r="N245" i="32"/>
  <c r="O245" i="32" s="1"/>
  <c r="N244" i="32"/>
  <c r="O244" i="32" s="1"/>
  <c r="N243" i="32"/>
  <c r="O243" i="32" s="1"/>
  <c r="N242" i="32"/>
  <c r="O242" i="32" s="1"/>
  <c r="N241" i="32"/>
  <c r="O241" i="32" s="1"/>
  <c r="N240" i="32"/>
  <c r="O240" i="32" s="1"/>
  <c r="N239" i="32"/>
  <c r="O239" i="32" s="1"/>
  <c r="N238" i="32"/>
  <c r="O238" i="32" s="1"/>
  <c r="N237" i="32"/>
  <c r="O237" i="32" s="1"/>
  <c r="N236" i="32"/>
  <c r="O236" i="32" s="1"/>
  <c r="N235" i="32"/>
  <c r="O235" i="32" s="1"/>
  <c r="N234" i="32"/>
  <c r="O234" i="32" s="1"/>
  <c r="N233" i="32"/>
  <c r="O233" i="32" s="1"/>
  <c r="N232" i="32"/>
  <c r="O232" i="32" s="1"/>
  <c r="N231" i="32"/>
  <c r="O231" i="32" s="1"/>
  <c r="N230" i="32"/>
  <c r="O230" i="32" s="1"/>
  <c r="N229" i="32"/>
  <c r="O229" i="32" s="1"/>
  <c r="N228" i="32"/>
  <c r="O228" i="32" s="1"/>
  <c r="N227" i="32"/>
  <c r="O227" i="32" s="1"/>
  <c r="N226" i="32"/>
  <c r="O226" i="32" s="1"/>
  <c r="N225" i="32"/>
  <c r="O225" i="32" s="1"/>
  <c r="N224" i="32"/>
  <c r="O224" i="32" s="1"/>
  <c r="N223" i="32"/>
  <c r="O223" i="32" s="1"/>
  <c r="N222" i="32"/>
  <c r="O222" i="32" s="1"/>
  <c r="N221" i="32"/>
  <c r="O221" i="32" s="1"/>
  <c r="N220" i="32"/>
  <c r="O220" i="32" s="1"/>
  <c r="N219" i="32"/>
  <c r="O219" i="32" s="1"/>
  <c r="N218" i="32"/>
  <c r="O218" i="32" s="1"/>
  <c r="N217" i="32"/>
  <c r="O217" i="32" s="1"/>
  <c r="N216" i="32"/>
  <c r="O216" i="32" s="1"/>
  <c r="N215" i="32"/>
  <c r="O215" i="32" s="1"/>
  <c r="N214" i="32"/>
  <c r="O214" i="32" s="1"/>
  <c r="N213" i="32"/>
  <c r="O213" i="32" s="1"/>
  <c r="N212" i="32"/>
  <c r="O212" i="32" s="1"/>
  <c r="N211" i="32"/>
  <c r="O211" i="32" s="1"/>
  <c r="N210" i="32"/>
  <c r="O210" i="32" s="1"/>
  <c r="N209" i="32"/>
  <c r="O209" i="32" s="1"/>
  <c r="N208" i="32"/>
  <c r="O208" i="32" s="1"/>
  <c r="N207" i="32"/>
  <c r="O207" i="32" s="1"/>
  <c r="N206" i="32"/>
  <c r="O206" i="32" s="1"/>
  <c r="N205" i="32"/>
  <c r="O205" i="32" s="1"/>
  <c r="N204" i="32"/>
  <c r="O204" i="32" s="1"/>
  <c r="N203" i="32"/>
  <c r="O203" i="32" s="1"/>
  <c r="N202" i="32"/>
  <c r="O202" i="32" s="1"/>
  <c r="N201" i="32"/>
  <c r="O201" i="32" s="1"/>
  <c r="N200" i="32"/>
  <c r="O200" i="32" s="1"/>
  <c r="N199" i="32"/>
  <c r="O199" i="32" s="1"/>
  <c r="N198" i="32"/>
  <c r="O198" i="32" s="1"/>
  <c r="N197" i="32"/>
  <c r="O197" i="32" s="1"/>
  <c r="N196" i="32"/>
  <c r="O196" i="32" s="1"/>
  <c r="N195" i="32"/>
  <c r="O195" i="32" s="1"/>
  <c r="N194" i="31"/>
  <c r="O194" i="31" s="1"/>
  <c r="N193" i="31"/>
  <c r="O193" i="31" s="1"/>
  <c r="N192" i="31"/>
  <c r="O192" i="31" s="1"/>
  <c r="N191" i="31"/>
  <c r="O191" i="31" s="1"/>
  <c r="N190" i="31"/>
  <c r="O190" i="31" s="1"/>
  <c r="N189" i="31"/>
  <c r="O189" i="31" s="1"/>
  <c r="N188" i="31"/>
  <c r="O188" i="31" s="1"/>
  <c r="N187" i="31"/>
  <c r="O187" i="31" s="1"/>
  <c r="N186" i="31"/>
  <c r="O186" i="31" s="1"/>
  <c r="N185" i="31"/>
  <c r="O185" i="31" s="1"/>
  <c r="N184" i="31"/>
  <c r="O184" i="31" s="1"/>
  <c r="N183" i="31"/>
  <c r="O183" i="31" s="1"/>
  <c r="N182" i="31"/>
  <c r="O182" i="31" s="1"/>
  <c r="N181" i="31"/>
  <c r="O181" i="31" s="1"/>
  <c r="N180" i="31"/>
  <c r="O180" i="31" s="1"/>
  <c r="N179" i="31"/>
  <c r="O179" i="31" s="1"/>
  <c r="N178" i="31"/>
  <c r="O178" i="31" s="1"/>
  <c r="N177" i="31"/>
  <c r="O177" i="31" s="1"/>
  <c r="N176" i="31"/>
  <c r="O176" i="31" s="1"/>
  <c r="N175" i="31"/>
  <c r="O175" i="31" s="1"/>
  <c r="N174" i="31"/>
  <c r="O174" i="31" s="1"/>
  <c r="N173" i="31"/>
  <c r="O173" i="31" s="1"/>
  <c r="N172" i="31"/>
  <c r="O172" i="31" s="1"/>
  <c r="N171" i="31"/>
  <c r="O171" i="31" s="1"/>
  <c r="N170" i="31"/>
  <c r="O170" i="31" s="1"/>
  <c r="N169" i="31"/>
  <c r="O169" i="31" s="1"/>
  <c r="N168" i="31"/>
  <c r="O168" i="31" s="1"/>
  <c r="N167" i="31"/>
  <c r="O167" i="31" s="1"/>
  <c r="N166" i="31"/>
  <c r="O166" i="31" s="1"/>
  <c r="N165" i="31"/>
  <c r="O165" i="31" s="1"/>
  <c r="N164" i="31"/>
  <c r="O164" i="31" s="1"/>
  <c r="N163" i="31"/>
  <c r="O163" i="31" s="1"/>
  <c r="N162" i="31"/>
  <c r="O162" i="31" s="1"/>
  <c r="N161" i="31"/>
  <c r="O161" i="31" s="1"/>
  <c r="N160" i="31"/>
  <c r="O160" i="31" s="1"/>
  <c r="N159" i="31"/>
  <c r="O159" i="31" s="1"/>
  <c r="N158" i="31"/>
  <c r="O158" i="31" s="1"/>
  <c r="N157" i="31"/>
  <c r="O157" i="31" s="1"/>
  <c r="N156" i="31"/>
  <c r="O156" i="31" s="1"/>
  <c r="N155" i="31"/>
  <c r="O155" i="31" s="1"/>
  <c r="N154" i="31"/>
  <c r="O154" i="31" s="1"/>
  <c r="N153" i="31"/>
  <c r="O153" i="31" s="1"/>
  <c r="N152" i="31"/>
  <c r="O152" i="31" s="1"/>
  <c r="N151" i="31"/>
  <c r="O151" i="31" s="1"/>
  <c r="N150" i="31"/>
  <c r="O150" i="31" s="1"/>
  <c r="N149" i="31"/>
  <c r="O149" i="31" s="1"/>
  <c r="N148" i="31"/>
  <c r="O148" i="31" s="1"/>
  <c r="N147" i="31"/>
  <c r="O147" i="31" s="1"/>
  <c r="N146" i="31"/>
  <c r="O146" i="31" s="1"/>
  <c r="N145" i="31"/>
  <c r="O145" i="31" s="1"/>
  <c r="N144" i="31"/>
  <c r="O144" i="31" s="1"/>
  <c r="N143" i="31"/>
  <c r="O143" i="31" s="1"/>
  <c r="N142" i="31"/>
  <c r="O142" i="31" s="1"/>
  <c r="N141" i="31"/>
  <c r="O141" i="31" s="1"/>
  <c r="N140" i="31"/>
  <c r="O140" i="31" s="1"/>
  <c r="N139" i="31"/>
  <c r="O139" i="31" s="1"/>
  <c r="N138" i="31"/>
  <c r="O138" i="31" s="1"/>
  <c r="N137" i="31"/>
  <c r="O137" i="31" s="1"/>
  <c r="N136" i="31"/>
  <c r="O136" i="31" s="1"/>
  <c r="N135" i="31"/>
  <c r="O135" i="31" s="1"/>
  <c r="N134" i="31"/>
  <c r="O134" i="31" s="1"/>
  <c r="N133" i="31"/>
  <c r="O133" i="31" s="1"/>
  <c r="N132" i="31"/>
  <c r="O132" i="31" s="1"/>
  <c r="N131" i="31"/>
  <c r="O131" i="31" s="1"/>
  <c r="N130" i="31"/>
  <c r="O130" i="31" s="1"/>
  <c r="N129" i="31"/>
  <c r="O129" i="31" s="1"/>
  <c r="N128" i="31"/>
  <c r="O128" i="31" s="1"/>
  <c r="N127" i="31"/>
  <c r="O127" i="31" s="1"/>
  <c r="N126" i="31"/>
  <c r="O126" i="31" s="1"/>
  <c r="N125" i="31"/>
  <c r="O125" i="31" s="1"/>
  <c r="N124" i="31"/>
  <c r="O124" i="31" s="1"/>
  <c r="N123" i="31"/>
  <c r="O123" i="31" s="1"/>
  <c r="N122" i="31"/>
  <c r="O122" i="31" s="1"/>
  <c r="N121" i="31"/>
  <c r="O121" i="31" s="1"/>
  <c r="N120" i="31"/>
  <c r="O120" i="31" s="1"/>
  <c r="N119" i="31"/>
  <c r="O119" i="31" s="1"/>
  <c r="N118" i="31"/>
  <c r="O118" i="31" s="1"/>
  <c r="N117" i="31"/>
  <c r="O117" i="31" s="1"/>
  <c r="N116" i="31"/>
  <c r="O116" i="31" s="1"/>
  <c r="N115" i="31"/>
  <c r="O115" i="31" s="1"/>
  <c r="N114" i="31"/>
  <c r="O114" i="31" s="1"/>
  <c r="N113" i="31"/>
  <c r="O113" i="31" s="1"/>
  <c r="N112" i="31"/>
  <c r="O112" i="31" s="1"/>
  <c r="N111" i="31"/>
  <c r="O111" i="31" s="1"/>
  <c r="N110" i="31"/>
  <c r="O110" i="31" s="1"/>
  <c r="N109" i="31"/>
  <c r="O109" i="31" s="1"/>
  <c r="N108" i="31"/>
  <c r="O108" i="31" s="1"/>
  <c r="N107" i="31"/>
  <c r="O107" i="31" s="1"/>
  <c r="N106" i="31"/>
  <c r="O106" i="31" s="1"/>
  <c r="N105" i="31"/>
  <c r="O105" i="31" s="1"/>
  <c r="N104" i="31"/>
  <c r="O104" i="31" s="1"/>
  <c r="N103" i="31"/>
  <c r="O103" i="31" s="1"/>
  <c r="N102" i="31"/>
  <c r="O102" i="31" s="1"/>
  <c r="N101" i="31"/>
  <c r="O101" i="31" s="1"/>
  <c r="N100" i="31"/>
  <c r="O100" i="31" s="1"/>
  <c r="N99" i="31"/>
  <c r="O99" i="31" s="1"/>
  <c r="N290" i="30"/>
  <c r="N289" i="30"/>
  <c r="N288" i="30"/>
  <c r="N287" i="30"/>
  <c r="N286" i="30"/>
  <c r="N285" i="30"/>
  <c r="N284" i="30"/>
  <c r="N283" i="30"/>
  <c r="N282" i="30"/>
  <c r="N281" i="30"/>
  <c r="N280" i="30"/>
  <c r="N279" i="30"/>
  <c r="N278" i="30"/>
  <c r="N277" i="30"/>
  <c r="N276" i="30"/>
  <c r="N275" i="30"/>
  <c r="N274" i="30"/>
  <c r="N273" i="30"/>
  <c r="N272" i="30"/>
  <c r="N271" i="30"/>
  <c r="N270" i="30"/>
  <c r="N269" i="30"/>
  <c r="N268" i="30"/>
  <c r="N267" i="30"/>
  <c r="N266" i="30"/>
  <c r="N265" i="30"/>
  <c r="N264" i="30"/>
  <c r="N263" i="30"/>
  <c r="N262" i="30"/>
  <c r="N261" i="30"/>
  <c r="N260" i="30"/>
  <c r="N259" i="30"/>
  <c r="N258" i="30"/>
  <c r="N257" i="30"/>
  <c r="N256" i="30"/>
  <c r="N255" i="30"/>
  <c r="N254" i="30"/>
  <c r="N253" i="30"/>
  <c r="N252" i="30"/>
  <c r="N251" i="30"/>
  <c r="N250" i="30"/>
  <c r="N249" i="30"/>
  <c r="N248" i="30"/>
  <c r="N247" i="30"/>
  <c r="N246" i="30"/>
  <c r="N245" i="30"/>
  <c r="N244" i="30"/>
  <c r="N243" i="30"/>
  <c r="N242" i="30"/>
  <c r="N241" i="30"/>
  <c r="N240" i="30"/>
  <c r="N239" i="30"/>
  <c r="N238" i="30"/>
  <c r="N237" i="30"/>
  <c r="N236" i="30"/>
  <c r="N235" i="30"/>
  <c r="N234" i="30"/>
  <c r="N233" i="30"/>
  <c r="N232" i="30"/>
  <c r="N231" i="30"/>
  <c r="N230" i="30"/>
  <c r="N229" i="30"/>
  <c r="N228" i="30"/>
  <c r="N227" i="30"/>
  <c r="N226" i="30"/>
  <c r="N225" i="30"/>
  <c r="N224" i="30"/>
  <c r="N223" i="30"/>
  <c r="N222" i="30"/>
  <c r="N221" i="30"/>
  <c r="N220" i="30"/>
  <c r="N219" i="30"/>
  <c r="N218" i="30"/>
  <c r="N217" i="30"/>
  <c r="N216" i="30"/>
  <c r="N215" i="30"/>
  <c r="N214" i="30"/>
  <c r="N213" i="30"/>
  <c r="N212" i="30"/>
  <c r="N211" i="30"/>
  <c r="N210" i="30"/>
  <c r="N209" i="30"/>
  <c r="N208" i="30"/>
  <c r="N207" i="30"/>
  <c r="N206" i="30"/>
  <c r="N205" i="30"/>
  <c r="N204" i="30"/>
  <c r="N203" i="30"/>
  <c r="N202" i="30"/>
  <c r="N201" i="30"/>
  <c r="N200" i="30"/>
  <c r="N199" i="30"/>
  <c r="N198" i="30"/>
  <c r="N197" i="30"/>
  <c r="N196" i="30"/>
  <c r="N195" i="30"/>
  <c r="N3" i="32" l="1"/>
  <c r="O3" i="32" s="1"/>
  <c r="N4" i="32"/>
  <c r="O4" i="32" s="1"/>
  <c r="N5" i="32"/>
  <c r="O5" i="32" s="1"/>
  <c r="N6" i="32"/>
  <c r="O6" i="32" s="1"/>
  <c r="N7" i="32"/>
  <c r="O7" i="32" s="1"/>
  <c r="N8" i="32"/>
  <c r="O8" i="32" s="1"/>
  <c r="N9" i="32"/>
  <c r="O9" i="32" s="1"/>
  <c r="N10" i="32"/>
  <c r="O10" i="32" s="1"/>
  <c r="N11" i="32"/>
  <c r="O11" i="32" s="1"/>
  <c r="N12" i="32"/>
  <c r="O12" i="32" s="1"/>
  <c r="N13" i="32"/>
  <c r="O13" i="32" s="1"/>
  <c r="N14" i="32"/>
  <c r="O14" i="32" s="1"/>
  <c r="N15" i="32"/>
  <c r="O15" i="32" s="1"/>
  <c r="N16" i="32"/>
  <c r="O16" i="32" s="1"/>
  <c r="N17" i="32"/>
  <c r="O17" i="32" s="1"/>
  <c r="N18" i="32"/>
  <c r="O18" i="32" s="1"/>
  <c r="N19" i="32"/>
  <c r="O19" i="32" s="1"/>
  <c r="N20" i="32"/>
  <c r="O20" i="32" s="1"/>
  <c r="N21" i="32"/>
  <c r="O21" i="32" s="1"/>
  <c r="N22" i="32"/>
  <c r="O22" i="32" s="1"/>
  <c r="N23" i="32"/>
  <c r="O23" i="32" s="1"/>
  <c r="N24" i="32"/>
  <c r="O24" i="32" s="1"/>
  <c r="N25" i="32"/>
  <c r="O25" i="32" s="1"/>
  <c r="N26" i="32"/>
  <c r="O26" i="32" s="1"/>
  <c r="N27" i="32"/>
  <c r="O27" i="32" s="1"/>
  <c r="N28" i="32"/>
  <c r="O28" i="32" s="1"/>
  <c r="N29" i="32"/>
  <c r="O29" i="32" s="1"/>
  <c r="N30" i="32"/>
  <c r="O30" i="32" s="1"/>
  <c r="N31" i="32"/>
  <c r="O31" i="32" s="1"/>
  <c r="N32" i="32"/>
  <c r="O32" i="32" s="1"/>
  <c r="N33" i="32"/>
  <c r="O33" i="32" s="1"/>
  <c r="N34" i="32"/>
  <c r="O34" i="32" s="1"/>
  <c r="N6" i="31"/>
  <c r="O6" i="31" s="1"/>
  <c r="N7" i="31"/>
  <c r="O7" i="31" s="1"/>
  <c r="N8" i="31"/>
  <c r="O8" i="31" s="1"/>
  <c r="N9" i="31"/>
  <c r="O9" i="31" s="1"/>
  <c r="N10" i="31"/>
  <c r="O10" i="31" s="1"/>
  <c r="N11" i="31"/>
  <c r="O11" i="31" s="1"/>
  <c r="N12" i="31"/>
  <c r="O12" i="31" s="1"/>
  <c r="N13" i="31"/>
  <c r="O13" i="31" s="1"/>
  <c r="N14" i="31"/>
  <c r="O14" i="31" s="1"/>
  <c r="N15" i="31"/>
  <c r="O15" i="31" s="1"/>
  <c r="N16" i="31"/>
  <c r="O16" i="31" s="1"/>
  <c r="N17" i="31"/>
  <c r="O17" i="31" s="1"/>
  <c r="N18" i="31"/>
  <c r="O18" i="31" s="1"/>
  <c r="N19" i="31"/>
  <c r="O19" i="31" s="1"/>
  <c r="N20" i="31"/>
  <c r="O20" i="31" s="1"/>
  <c r="N21" i="31"/>
  <c r="O21" i="31" s="1"/>
  <c r="N22" i="31"/>
  <c r="O22" i="31" s="1"/>
  <c r="N23" i="31"/>
  <c r="O23" i="31" s="1"/>
  <c r="N24" i="31"/>
  <c r="O24" i="31" s="1"/>
  <c r="N25" i="31"/>
  <c r="O25" i="31" s="1"/>
  <c r="N26" i="31"/>
  <c r="O26" i="31" s="1"/>
  <c r="N27" i="31"/>
  <c r="O27" i="31" s="1"/>
  <c r="N28" i="31"/>
  <c r="O28" i="31" s="1"/>
  <c r="N29" i="31"/>
  <c r="O29" i="31" s="1"/>
  <c r="N30" i="31"/>
  <c r="O30" i="31" s="1"/>
  <c r="N31" i="31"/>
  <c r="O31" i="31" s="1"/>
  <c r="N32" i="31"/>
  <c r="O32" i="31" s="1"/>
  <c r="N33" i="31"/>
  <c r="O33" i="31" s="1"/>
  <c r="N34" i="31"/>
  <c r="O34" i="31" s="1"/>
  <c r="N35" i="31"/>
  <c r="O35" i="31" s="1"/>
  <c r="N36" i="31"/>
  <c r="O36" i="31" s="1"/>
  <c r="N37" i="31"/>
  <c r="O37" i="31" s="1"/>
  <c r="N38" i="31"/>
  <c r="O38" i="31" s="1"/>
  <c r="N39" i="31"/>
  <c r="O39" i="31" s="1"/>
  <c r="N40" i="31"/>
  <c r="O40" i="31" s="1"/>
  <c r="N41" i="31"/>
  <c r="O41" i="31" s="1"/>
  <c r="N42" i="31"/>
  <c r="O42" i="31" s="1"/>
  <c r="N43" i="31"/>
  <c r="O43" i="31" s="1"/>
  <c r="N44" i="31"/>
  <c r="O44" i="31" s="1"/>
  <c r="N45" i="31"/>
  <c r="O45" i="31" s="1"/>
  <c r="N46" i="31"/>
  <c r="O46" i="31" s="1"/>
  <c r="N47" i="31"/>
  <c r="O47" i="31" s="1"/>
  <c r="N48" i="31"/>
  <c r="O48" i="31" s="1"/>
  <c r="N49" i="31"/>
  <c r="O49" i="31" s="1"/>
  <c r="N50" i="31"/>
  <c r="O50" i="31" s="1"/>
  <c r="N51" i="31"/>
  <c r="O51" i="31" s="1"/>
  <c r="N52" i="31"/>
  <c r="O52" i="31" s="1"/>
  <c r="N53" i="31"/>
  <c r="O53" i="31" s="1"/>
  <c r="N54" i="31"/>
  <c r="O54" i="31" s="1"/>
  <c r="N55" i="31"/>
  <c r="O55" i="31" s="1"/>
  <c r="N56" i="31"/>
  <c r="O56" i="31" s="1"/>
  <c r="N57" i="31"/>
  <c r="O57" i="31" s="1"/>
  <c r="N58" i="31"/>
  <c r="O58" i="31" s="1"/>
  <c r="N59" i="31"/>
  <c r="O59" i="31" s="1"/>
  <c r="N60" i="31"/>
  <c r="O60" i="31" s="1"/>
  <c r="N61" i="31"/>
  <c r="O61" i="31" s="1"/>
  <c r="N62" i="31"/>
  <c r="O62" i="31" s="1"/>
  <c r="N63" i="31"/>
  <c r="O63" i="31" s="1"/>
  <c r="N64" i="31"/>
  <c r="O64" i="31" s="1"/>
  <c r="N65" i="31"/>
  <c r="O65" i="31" s="1"/>
  <c r="N66" i="31"/>
  <c r="O66" i="31" s="1"/>
  <c r="N67" i="31"/>
  <c r="O67" i="31" s="1"/>
  <c r="N68" i="31"/>
  <c r="O68" i="31" s="1"/>
  <c r="N69" i="31"/>
  <c r="O69" i="31" s="1"/>
  <c r="N70" i="31"/>
  <c r="O70" i="31" s="1"/>
  <c r="N71" i="31"/>
  <c r="O71" i="31" s="1"/>
  <c r="N72" i="31"/>
  <c r="O72" i="31" s="1"/>
  <c r="N73" i="31"/>
  <c r="O73" i="31" s="1"/>
  <c r="N74" i="31"/>
  <c r="O74" i="31" s="1"/>
  <c r="N75" i="31"/>
  <c r="O75" i="31" s="1"/>
  <c r="N76" i="31"/>
  <c r="O76" i="31" s="1"/>
  <c r="N77" i="31"/>
  <c r="O77" i="31" s="1"/>
  <c r="N78" i="31"/>
  <c r="O78" i="31" s="1"/>
  <c r="N79" i="31"/>
  <c r="O79" i="31" s="1"/>
  <c r="N80" i="31"/>
  <c r="O80" i="31" s="1"/>
  <c r="N81" i="31"/>
  <c r="O81" i="31" s="1"/>
  <c r="N82" i="31"/>
  <c r="O82" i="31" s="1"/>
  <c r="N83" i="31"/>
  <c r="O83" i="31" s="1"/>
  <c r="N84" i="31"/>
  <c r="O84" i="31" s="1"/>
  <c r="N85" i="31"/>
  <c r="O85" i="31" s="1"/>
  <c r="N86" i="31"/>
  <c r="O86" i="31" s="1"/>
  <c r="N87" i="31"/>
  <c r="O87" i="31" s="1"/>
  <c r="N88" i="31"/>
  <c r="O88" i="31" s="1"/>
  <c r="N89" i="31"/>
  <c r="O89" i="31" s="1"/>
  <c r="N90" i="31"/>
  <c r="O90" i="31" s="1"/>
  <c r="N91" i="31"/>
  <c r="O91" i="31" s="1"/>
  <c r="N92" i="31"/>
  <c r="O92" i="31" s="1"/>
  <c r="N93" i="31"/>
  <c r="O93" i="31" s="1"/>
  <c r="N94" i="31"/>
  <c r="O94" i="31" s="1"/>
  <c r="N95" i="31"/>
  <c r="O95" i="31" s="1"/>
  <c r="N96" i="31"/>
  <c r="O96" i="31" s="1"/>
  <c r="N97" i="31"/>
  <c r="O97" i="31" s="1"/>
  <c r="N98" i="31"/>
  <c r="O98" i="31" s="1"/>
  <c r="N35" i="32"/>
  <c r="O35" i="32" s="1"/>
  <c r="N36" i="32"/>
  <c r="O36" i="32" s="1"/>
  <c r="N37" i="32"/>
  <c r="O37" i="32" s="1"/>
  <c r="N38" i="32"/>
  <c r="O38" i="32" s="1"/>
  <c r="N39" i="32"/>
  <c r="O39" i="32" s="1"/>
  <c r="N40" i="32"/>
  <c r="O40" i="32" s="1"/>
  <c r="N41" i="32"/>
  <c r="O41" i="32" s="1"/>
  <c r="N42" i="32"/>
  <c r="O42" i="32" s="1"/>
  <c r="N43" i="32"/>
  <c r="O43" i="32" s="1"/>
  <c r="N44" i="32"/>
  <c r="O44" i="32" s="1"/>
  <c r="N45" i="32"/>
  <c r="O45" i="32" s="1"/>
  <c r="N46" i="32"/>
  <c r="O46" i="32" s="1"/>
  <c r="N47" i="32"/>
  <c r="O47" i="32" s="1"/>
  <c r="N48" i="32"/>
  <c r="O48" i="32" s="1"/>
  <c r="N49" i="32"/>
  <c r="O49" i="32" s="1"/>
  <c r="N50" i="32"/>
  <c r="O50" i="32" s="1"/>
  <c r="N51" i="32"/>
  <c r="O51" i="32" s="1"/>
  <c r="N52" i="32"/>
  <c r="O52" i="32" s="1"/>
  <c r="N53" i="32"/>
  <c r="O53" i="32" s="1"/>
  <c r="N54" i="32"/>
  <c r="O54" i="32" s="1"/>
  <c r="N55" i="32"/>
  <c r="O55" i="32" s="1"/>
  <c r="N56" i="32"/>
  <c r="O56" i="32" s="1"/>
  <c r="N57" i="32"/>
  <c r="O57" i="32" s="1"/>
  <c r="N58" i="32"/>
  <c r="O58" i="32" s="1"/>
  <c r="N59" i="32"/>
  <c r="O59" i="32" s="1"/>
  <c r="N60" i="32"/>
  <c r="O60" i="32" s="1"/>
  <c r="N61" i="32"/>
  <c r="O61" i="32" s="1"/>
  <c r="N62" i="32"/>
  <c r="O62" i="32" s="1"/>
  <c r="N63" i="32"/>
  <c r="O63" i="32" s="1"/>
  <c r="N64" i="32"/>
  <c r="O64" i="32" s="1"/>
  <c r="N65" i="32"/>
  <c r="O65" i="32" s="1"/>
  <c r="N66" i="32"/>
  <c r="O66" i="32" s="1"/>
  <c r="N67" i="32"/>
  <c r="O67" i="32" s="1"/>
  <c r="N68" i="32"/>
  <c r="O68" i="32" s="1"/>
  <c r="N69" i="32"/>
  <c r="O69" i="32" s="1"/>
  <c r="N70" i="32"/>
  <c r="O70" i="32" s="1"/>
  <c r="N71" i="32"/>
  <c r="O71" i="32" s="1"/>
  <c r="N72" i="32"/>
  <c r="O72" i="32" s="1"/>
  <c r="N73" i="32"/>
  <c r="O73" i="32" s="1"/>
  <c r="N74" i="32"/>
  <c r="O74" i="32" s="1"/>
  <c r="N75" i="32"/>
  <c r="O75" i="32" s="1"/>
  <c r="N76" i="32"/>
  <c r="O76" i="32" s="1"/>
  <c r="N77" i="32"/>
  <c r="O77" i="32" s="1"/>
  <c r="N78" i="32"/>
  <c r="O78" i="32" s="1"/>
  <c r="N79" i="32"/>
  <c r="O79" i="32" s="1"/>
  <c r="N80" i="32"/>
  <c r="O80" i="32" s="1"/>
  <c r="N81" i="32"/>
  <c r="O81" i="32" s="1"/>
  <c r="N82" i="32"/>
  <c r="O82" i="32" s="1"/>
  <c r="N83" i="32"/>
  <c r="O83" i="32" s="1"/>
  <c r="N84" i="32"/>
  <c r="O84" i="32" s="1"/>
  <c r="N85" i="32"/>
  <c r="O85" i="32" s="1"/>
  <c r="N86" i="32"/>
  <c r="O86" i="32" s="1"/>
  <c r="N87" i="32"/>
  <c r="O87" i="32" s="1"/>
  <c r="N88" i="32"/>
  <c r="O88" i="32" s="1"/>
  <c r="N89" i="32"/>
  <c r="O89" i="32" s="1"/>
  <c r="N90" i="32"/>
  <c r="O90" i="32" s="1"/>
  <c r="N91" i="32"/>
  <c r="O91" i="32" s="1"/>
  <c r="N92" i="32"/>
  <c r="O92" i="32" s="1"/>
  <c r="N93" i="32"/>
  <c r="O93" i="32" s="1"/>
  <c r="N94" i="32"/>
  <c r="O94" i="32" s="1"/>
  <c r="N95" i="32"/>
  <c r="O95" i="32" s="1"/>
  <c r="N96" i="32"/>
  <c r="O96" i="32" s="1"/>
  <c r="N97" i="32"/>
  <c r="O97" i="32" s="1"/>
  <c r="N98" i="32"/>
  <c r="O98" i="32" s="1"/>
  <c r="N4" i="30"/>
  <c r="N5" i="30"/>
  <c r="N6" i="30"/>
  <c r="N7" i="30"/>
  <c r="N8" i="30"/>
  <c r="N9" i="30"/>
  <c r="N10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3" i="30"/>
</calcChain>
</file>

<file path=xl/sharedStrings.xml><?xml version="1.0" encoding="utf-8"?>
<sst xmlns="http://schemas.openxmlformats.org/spreadsheetml/2006/main" count="8366" uniqueCount="80">
  <si>
    <t>Responsable</t>
  </si>
  <si>
    <t>Tren</t>
  </si>
  <si>
    <t>Kilometraje</t>
  </si>
  <si>
    <t>Fecha</t>
  </si>
  <si>
    <t>Motivo</t>
  </si>
  <si>
    <t>Coche</t>
  </si>
  <si>
    <t>N° Coche</t>
  </si>
  <si>
    <t>Bogie</t>
  </si>
  <si>
    <t>Eje</t>
  </si>
  <si>
    <t>Ubicación</t>
  </si>
  <si>
    <t>Rueda</t>
  </si>
  <si>
    <t>H</t>
  </si>
  <si>
    <t>T</t>
  </si>
  <si>
    <t>T-H</t>
  </si>
  <si>
    <t>COMENTARIO</t>
  </si>
  <si>
    <t>Medición</t>
  </si>
  <si>
    <t>Dominic Arrunategui</t>
  </si>
  <si>
    <t>Reperfilado</t>
  </si>
  <si>
    <t>TREN</t>
  </si>
  <si>
    <t>PT</t>
  </si>
  <si>
    <t>KM</t>
  </si>
  <si>
    <t>MEDICIÓN DE DISCOS</t>
  </si>
  <si>
    <t>FECHA  MEDICIÓN</t>
  </si>
  <si>
    <t>TURNO</t>
  </si>
  <si>
    <t>REALIZADO</t>
  </si>
  <si>
    <t>DIA</t>
  </si>
  <si>
    <t>RUEDA</t>
  </si>
  <si>
    <t>Edy Leon</t>
  </si>
  <si>
    <t>M20</t>
  </si>
  <si>
    <t>001</t>
  </si>
  <si>
    <t>C1</t>
  </si>
  <si>
    <t>disco_freno_1_I_ext</t>
  </si>
  <si>
    <t>disco_freno_1_I_int</t>
  </si>
  <si>
    <t>disco_freno_1_D_int</t>
  </si>
  <si>
    <t>disco_freno_1_D_ext</t>
  </si>
  <si>
    <t>disco_freno_2_I_ext</t>
  </si>
  <si>
    <t>disco_freno_2_I_int</t>
  </si>
  <si>
    <t>disco_freno_2_D_int</t>
  </si>
  <si>
    <t>disco_freno_2_D_ext</t>
  </si>
  <si>
    <t>C2</t>
  </si>
  <si>
    <t>M21</t>
  </si>
  <si>
    <t>002</t>
  </si>
  <si>
    <t>C3</t>
  </si>
  <si>
    <t>C4</t>
  </si>
  <si>
    <t>M22</t>
  </si>
  <si>
    <t>302</t>
  </si>
  <si>
    <t>C5</t>
  </si>
  <si>
    <t>C6</t>
  </si>
  <si>
    <t>301</t>
  </si>
  <si>
    <t>004</t>
  </si>
  <si>
    <t>003</t>
  </si>
  <si>
    <t>005</t>
  </si>
  <si>
    <t>006</t>
  </si>
  <si>
    <t>303</t>
  </si>
  <si>
    <t>305</t>
  </si>
  <si>
    <t>018</t>
  </si>
  <si>
    <t>017</t>
  </si>
  <si>
    <t>008</t>
  </si>
  <si>
    <t>007</t>
  </si>
  <si>
    <t>009</t>
  </si>
  <si>
    <t>010</t>
  </si>
  <si>
    <t>307</t>
  </si>
  <si>
    <t>306</t>
  </si>
  <si>
    <t>012</t>
  </si>
  <si>
    <t>011</t>
  </si>
  <si>
    <t>013</t>
  </si>
  <si>
    <t>014</t>
  </si>
  <si>
    <t>308</t>
  </si>
  <si>
    <t>309</t>
  </si>
  <si>
    <t>016</t>
  </si>
  <si>
    <t>015</t>
  </si>
  <si>
    <t>304</t>
  </si>
  <si>
    <t>310</t>
  </si>
  <si>
    <t>022</t>
  </si>
  <si>
    <t>021</t>
  </si>
  <si>
    <t>UDT RESERVA</t>
  </si>
  <si>
    <t>020</t>
  </si>
  <si>
    <t>019</t>
  </si>
  <si>
    <t>Wilder Roman</t>
  </si>
  <si>
    <t>Cambio de disco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</si>
</sst>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name val="Calibri"/>
      <family val="2"/>
    </font>
    <font>
      <sz val="9"/>
      <name val="Arial"/>
      <family val="2"/>
    </font>
    <font>
      <sz val="9"/>
      <name val="Calibri"/>
      <family val="2"/>
    </font>
    <font>
      <sz val="9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FFFFF"/>
      <name val="Aptos Narrow"/>
      <family val="2"/>
    </font>
    <font>
      <b/>
      <sz val="9"/>
      <name val="Arial"/>
      <family val="2"/>
    </font>
    <font>
      <b/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EEEEEE"/>
        <bgColor rgb="FF000000"/>
      </patternFill>
    </fill>
    <fill>
      <patternFill patternType="solid">
        <fgColor rgb="FFD5D5D5"/>
        <bgColor rgb="FF000000"/>
      </patternFill>
    </fill>
    <fill>
      <patternFill patternType="solid">
        <fgColor rgb="FF156082"/>
        <bgColor rgb="FF156082"/>
      </patternFill>
    </fill>
    <fill>
      <patternFill patternType="solid">
        <fgColor rgb="FFC0E6F5"/>
        <bgColor rgb="FFC0E6F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0000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B3E1"/>
      </left>
      <right/>
      <top style="thin">
        <color rgb="FF44B3E1"/>
      </top>
      <bottom style="thin">
        <color rgb="FF44B3E1"/>
      </bottom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 style="thin">
        <color rgb="FF44B3E1"/>
      </right>
      <top style="thin">
        <color rgb="FF44B3E1"/>
      </top>
      <bottom style="thin">
        <color rgb="FF44B3E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5" fillId="0" borderId="15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4" fontId="5" fillId="5" borderId="15" xfId="0" applyNumberFormat="1" applyFont="1" applyFill="1" applyBorder="1" applyAlignment="1">
      <alignment horizontal="center" vertical="center"/>
    </xf>
    <xf numFmtId="2" fontId="2" fillId="6" borderId="8" xfId="0" applyNumberFormat="1" applyFont="1" applyFill="1" applyBorder="1" applyAlignment="1">
      <alignment horizontal="center" vertical="center"/>
    </xf>
    <xf numFmtId="2" fontId="3" fillId="6" borderId="17" xfId="0" applyNumberFormat="1" applyFont="1" applyFill="1" applyBorder="1" applyAlignment="1">
      <alignment horizontal="center" vertical="center"/>
    </xf>
    <xf numFmtId="2" fontId="2" fillId="6" borderId="9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2" fontId="2" fillId="6" borderId="12" xfId="0" applyNumberFormat="1" applyFont="1" applyFill="1" applyBorder="1" applyAlignment="1">
      <alignment horizontal="center" vertical="center"/>
    </xf>
    <xf numFmtId="2" fontId="3" fillId="6" borderId="24" xfId="0" applyNumberFormat="1" applyFont="1" applyFill="1" applyBorder="1" applyAlignment="1">
      <alignment horizontal="center" vertical="center"/>
    </xf>
    <xf numFmtId="2" fontId="2" fillId="6" borderId="11" xfId="0" applyNumberFormat="1" applyFont="1" applyFill="1" applyBorder="1" applyAlignment="1">
      <alignment horizontal="center" vertical="center"/>
    </xf>
    <xf numFmtId="2" fontId="2" fillId="6" borderId="0" xfId="0" applyNumberFormat="1" applyFont="1" applyFill="1" applyAlignment="1">
      <alignment horizontal="center" vertical="center"/>
    </xf>
    <xf numFmtId="2" fontId="3" fillId="6" borderId="19" xfId="0" applyNumberFormat="1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center" vertical="center"/>
    </xf>
    <xf numFmtId="2" fontId="2" fillId="6" borderId="10" xfId="0" applyNumberFormat="1" applyFont="1" applyFill="1" applyBorder="1" applyAlignment="1">
      <alignment horizontal="center" vertical="center"/>
    </xf>
    <xf numFmtId="2" fontId="2" fillId="6" borderId="18" xfId="0" applyNumberFormat="1" applyFont="1" applyFill="1" applyBorder="1" applyAlignment="1">
      <alignment horizontal="center" vertical="center"/>
    </xf>
    <xf numFmtId="2" fontId="3" fillId="6" borderId="1" xfId="0" applyNumberFormat="1" applyFont="1" applyFill="1" applyBorder="1" applyAlignment="1">
      <alignment horizontal="center" vertical="center"/>
    </xf>
    <xf numFmtId="2" fontId="2" fillId="7" borderId="8" xfId="0" applyNumberFormat="1" applyFont="1" applyFill="1" applyBorder="1" applyAlignment="1">
      <alignment horizontal="center" vertical="center"/>
    </xf>
    <xf numFmtId="2" fontId="2" fillId="7" borderId="9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2" fillId="6" borderId="26" xfId="0" applyNumberFormat="1" applyFont="1" applyFill="1" applyBorder="1" applyAlignment="1">
      <alignment horizontal="center" vertical="center"/>
    </xf>
    <xf numFmtId="2" fontId="2" fillId="6" borderId="25" xfId="0" applyNumberFormat="1" applyFont="1" applyFill="1" applyBorder="1" applyAlignment="1">
      <alignment horizontal="center" vertical="center"/>
    </xf>
    <xf numFmtId="2" fontId="2" fillId="6" borderId="28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8" borderId="29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4" fontId="4" fillId="0" borderId="3" xfId="0" applyNumberFormat="1" applyFont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2" fontId="3" fillId="6" borderId="21" xfId="0" applyNumberFormat="1" applyFont="1" applyFill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14" fontId="4" fillId="0" borderId="29" xfId="0" applyNumberFormat="1" applyFont="1" applyBorder="1" applyAlignment="1">
      <alignment horizontal="center" vertical="center"/>
    </xf>
    <xf numFmtId="2" fontId="3" fillId="6" borderId="33" xfId="0" applyNumberFormat="1" applyFont="1" applyFill="1" applyBorder="1" applyAlignment="1">
      <alignment horizontal="center" vertical="center"/>
    </xf>
    <xf numFmtId="2" fontId="2" fillId="6" borderId="35" xfId="0" applyNumberFormat="1" applyFont="1" applyFill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2" fontId="3" fillId="6" borderId="26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49" fontId="1" fillId="8" borderId="1" xfId="0" applyNumberFormat="1" applyFont="1" applyFill="1" applyBorder="1" applyAlignment="1">
      <alignment horizontal="center" vertical="center"/>
    </xf>
    <xf numFmtId="49" fontId="3" fillId="8" borderId="1" xfId="0" applyNumberFormat="1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49" fontId="3" fillId="8" borderId="5" xfId="0" applyNumberFormat="1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49" fontId="3" fillId="8" borderId="29" xfId="0" applyNumberFormat="1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3" fillId="8" borderId="26" xfId="0" applyFont="1" applyFill="1" applyBorder="1" applyAlignment="1">
      <alignment horizontal="center" vertical="center"/>
    </xf>
    <xf numFmtId="0" fontId="2" fillId="8" borderId="30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49" fontId="1" fillId="8" borderId="29" xfId="0" applyNumberFormat="1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2" fontId="3" fillId="6" borderId="37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29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2" fillId="6" borderId="36" xfId="0" applyNumberFormat="1" applyFont="1" applyFill="1" applyBorder="1" applyAlignment="1">
      <alignment horizontal="center" vertical="center"/>
    </xf>
    <xf numFmtId="49" fontId="1" fillId="8" borderId="5" xfId="0" applyNumberFormat="1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0" fillId="0" borderId="1" xfId="0" applyBorder="1"/>
    <xf numFmtId="14" fontId="0" fillId="0" borderId="1" xfId="0" applyNumberFormat="1" applyBorder="1"/>
    <xf numFmtId="0" fontId="0" fillId="0" borderId="29" xfId="0" applyBorder="1"/>
    <xf numFmtId="14" fontId="0" fillId="0" borderId="29" xfId="0" applyNumberFormat="1" applyBorder="1"/>
    <xf numFmtId="0" fontId="2" fillId="2" borderId="30" xfId="0" applyFont="1" applyFill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3" fillId="6" borderId="3" xfId="0" applyNumberFormat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3" fillId="8" borderId="3" xfId="0" applyNumberFormat="1" applyFont="1" applyFill="1" applyBorder="1" applyAlignment="1">
      <alignment horizontal="center" vertical="center"/>
    </xf>
    <xf numFmtId="0" fontId="3" fillId="8" borderId="20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2" fontId="2" fillId="7" borderId="10" xfId="0" applyNumberFormat="1" applyFont="1" applyFill="1" applyBorder="1" applyAlignment="1">
      <alignment horizontal="center" vertical="center"/>
    </xf>
    <xf numFmtId="0" fontId="2" fillId="8" borderId="3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0" fillId="0" borderId="5" xfId="0" applyBorder="1"/>
    <xf numFmtId="14" fontId="0" fillId="0" borderId="5" xfId="0" applyNumberFormat="1" applyBorder="1"/>
    <xf numFmtId="0" fontId="0" fillId="0" borderId="2" xfId="0" applyBorder="1"/>
    <xf numFmtId="0" fontId="0" fillId="0" borderId="7" xfId="0" applyBorder="1"/>
    <xf numFmtId="0" fontId="0" fillId="0" borderId="32" xfId="0" applyBorder="1"/>
    <xf numFmtId="2" fontId="3" fillId="6" borderId="22" xfId="0" applyNumberFormat="1" applyFont="1" applyFill="1" applyBorder="1" applyAlignment="1">
      <alignment horizontal="center" vertical="center"/>
    </xf>
    <xf numFmtId="2" fontId="3" fillId="6" borderId="38" xfId="0" applyNumberFormat="1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9" fontId="1" fillId="8" borderId="3" xfId="0" applyNumberFormat="1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8" borderId="13" xfId="0" applyFont="1" applyFill="1" applyBorder="1" applyAlignment="1">
      <alignment horizontal="center" vertical="center"/>
    </xf>
    <xf numFmtId="0" fontId="2" fillId="8" borderId="39" xfId="0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vertical="center"/>
    </xf>
    <xf numFmtId="2" fontId="2" fillId="6" borderId="40" xfId="0" applyNumberFormat="1" applyFont="1" applyFill="1" applyBorder="1" applyAlignment="1">
      <alignment horizontal="center" vertical="center"/>
    </xf>
    <xf numFmtId="2" fontId="2" fillId="6" borderId="41" xfId="0" applyNumberFormat="1" applyFont="1" applyFill="1" applyBorder="1" applyAlignment="1">
      <alignment horizontal="center" vertical="center"/>
    </xf>
    <xf numFmtId="2" fontId="3" fillId="6" borderId="41" xfId="0" applyNumberFormat="1" applyFont="1" applyFill="1" applyBorder="1" applyAlignment="1">
      <alignment horizontal="center" vertical="center"/>
    </xf>
    <xf numFmtId="2" fontId="2" fillId="6" borderId="39" xfId="0" applyNumberFormat="1" applyFont="1" applyFill="1" applyBorder="1" applyAlignment="1">
      <alignment horizontal="center" vertical="center"/>
    </xf>
    <xf numFmtId="0" fontId="3" fillId="8" borderId="42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2" fontId="2" fillId="6" borderId="43" xfId="0" applyNumberFormat="1" applyFont="1" applyFill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</cellXfs>
  <cellStyles count="1">
    <cellStyle name="Normal" xfId="0" builtinId="0"/>
  </cellStyles>
  <dxfs count="1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EEEEEE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D5D5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0000"/>
        </patternFill>
      </fill>
    </dxf>
    <dxf>
      <fill>
        <patternFill patternType="solid">
          <bgColor rgb="FF5FC4E8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D5D5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5FC4E8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rgb="FF000000"/>
          <bgColor rgb="FFD5D5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0000"/>
        </patternFill>
      </fill>
    </dxf>
    <dxf>
      <fill>
        <patternFill patternType="solid">
          <bgColor rgb="FF5FC4E8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D5D5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0000"/>
        </patternFill>
      </fill>
    </dxf>
    <dxf>
      <fill>
        <patternFill patternType="solid">
          <bgColor rgb="FF5FC4E8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30" formatCode="@"/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D5D5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0000"/>
        </patternFill>
      </fill>
    </dxf>
    <dxf>
      <fill>
        <patternFill patternType="solid">
          <bgColor rgb="FF5FC4E8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numFmt numFmtId="30" formatCode="@"/>
      <fill>
        <patternFill patternType="solid">
          <fgColor rgb="FF00000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rgb="FF000000"/>
          <bgColor rgb="FFD5D5D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0000"/>
        </patternFill>
      </fill>
    </dxf>
    <dxf>
      <fill>
        <patternFill patternType="solid">
          <bgColor rgb="FF5FC4E8"/>
        </patternFill>
      </fill>
    </dxf>
    <dxf>
      <fill>
        <patternFill patternType="solid">
          <bgColor theme="8" tint="0.59999389629810485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FC4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63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DISCOS DE FRENO ANSALDO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DISCOS DE FRENO ANSALDO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DISCOS DE FRENO ANSALDO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DISCOS DE FRENO ANSALDO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DISCOS DE FRENO ANSALDO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DISCOS DE FRENO ANSALD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0</xdr:row>
      <xdr:rowOff>19050</xdr:rowOff>
    </xdr:from>
    <xdr:to>
      <xdr:col>14</xdr:col>
      <xdr:colOff>781050</xdr:colOff>
      <xdr:row>0</xdr:row>
      <xdr:rowOff>295275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7E6B58-9042-4AB3-8675-498EDDCF2637}"/>
            </a:ext>
          </a:extLst>
        </xdr:cNvPr>
        <xdr:cNvSpPr/>
      </xdr:nvSpPr>
      <xdr:spPr>
        <a:xfrm>
          <a:off x="9953625" y="19050"/>
          <a:ext cx="1304925" cy="27622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>
              <a:solidFill>
                <a:schemeClr val="tx1"/>
              </a:solidFill>
            </a:rPr>
            <a:t>PANEL PRINCIPAL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0</xdr:row>
      <xdr:rowOff>28575</xdr:rowOff>
    </xdr:from>
    <xdr:to>
      <xdr:col>14</xdr:col>
      <xdr:colOff>771525</xdr:colOff>
      <xdr:row>0</xdr:row>
      <xdr:rowOff>304800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9920C4-F85C-4E6A-8D31-1AE2384C1E33}"/>
            </a:ext>
          </a:extLst>
        </xdr:cNvPr>
        <xdr:cNvSpPr/>
      </xdr:nvSpPr>
      <xdr:spPr>
        <a:xfrm>
          <a:off x="9915525" y="28575"/>
          <a:ext cx="1304925" cy="27622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>
              <a:solidFill>
                <a:schemeClr val="tx1"/>
              </a:solidFill>
            </a:rPr>
            <a:t>PANEL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0</xdr:row>
      <xdr:rowOff>19050</xdr:rowOff>
    </xdr:from>
    <xdr:to>
      <xdr:col>14</xdr:col>
      <xdr:colOff>771525</xdr:colOff>
      <xdr:row>0</xdr:row>
      <xdr:rowOff>295275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C131BE-281F-486F-98BB-03B120CE8489}"/>
            </a:ext>
          </a:extLst>
        </xdr:cNvPr>
        <xdr:cNvSpPr/>
      </xdr:nvSpPr>
      <xdr:spPr>
        <a:xfrm>
          <a:off x="9944100" y="19050"/>
          <a:ext cx="1304925" cy="27622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>
              <a:solidFill>
                <a:schemeClr val="tx1"/>
              </a:solidFill>
            </a:rPr>
            <a:t>PANEL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0</xdr:row>
      <xdr:rowOff>19050</xdr:rowOff>
    </xdr:from>
    <xdr:to>
      <xdr:col>14</xdr:col>
      <xdr:colOff>781050</xdr:colOff>
      <xdr:row>0</xdr:row>
      <xdr:rowOff>295275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9C836E-1923-4A07-9252-60307191D584}"/>
            </a:ext>
          </a:extLst>
        </xdr:cNvPr>
        <xdr:cNvSpPr/>
      </xdr:nvSpPr>
      <xdr:spPr>
        <a:xfrm>
          <a:off x="9906000" y="19050"/>
          <a:ext cx="1304925" cy="27622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>
              <a:solidFill>
                <a:schemeClr val="tx1"/>
              </a:solidFill>
            </a:rPr>
            <a:t>PANEL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0</xdr:row>
      <xdr:rowOff>19050</xdr:rowOff>
    </xdr:from>
    <xdr:to>
      <xdr:col>14</xdr:col>
      <xdr:colOff>771525</xdr:colOff>
      <xdr:row>0</xdr:row>
      <xdr:rowOff>295275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A2A233-600B-487C-BDAB-9CFE313BA7F3}"/>
            </a:ext>
          </a:extLst>
        </xdr:cNvPr>
        <xdr:cNvSpPr/>
      </xdr:nvSpPr>
      <xdr:spPr>
        <a:xfrm>
          <a:off x="10429875" y="19050"/>
          <a:ext cx="1304925" cy="27622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>
              <a:solidFill>
                <a:schemeClr val="tx1"/>
              </a:solidFill>
            </a:rPr>
            <a:t>PANEL 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0</xdr:row>
      <xdr:rowOff>19050</xdr:rowOff>
    </xdr:from>
    <xdr:to>
      <xdr:col>15</xdr:col>
      <xdr:colOff>19050</xdr:colOff>
      <xdr:row>0</xdr:row>
      <xdr:rowOff>295275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ED082F-8F0C-416A-A092-713425A39068}"/>
            </a:ext>
          </a:extLst>
        </xdr:cNvPr>
        <xdr:cNvSpPr/>
      </xdr:nvSpPr>
      <xdr:spPr>
        <a:xfrm>
          <a:off x="9925050" y="19050"/>
          <a:ext cx="1304925" cy="27622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>
              <a:solidFill>
                <a:schemeClr val="tx1"/>
              </a:solidFill>
            </a:rPr>
            <a:t>PANEL PRINCIPAL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se Manuel Mesta Pantaleon" id="{253EC459-2D21-4B11-B771-08ADEA907E49}" userId="S::jose.mesta@unna.com.pe::b6f58bed-a2dd-43f3-b3d4-1c2d1d216f5e" providerId="AD"/>
  <person displayName="Pekin Heber Cliver Amen Castillo" id="{527D1535-6D4C-4F7C-B5AF-74C296D29D5C}" userId="S::pekin.amen@unna.com.pe::9cd09273-0f5b-448f-bd4f-af382fdc6ea8" providerId="AD"/>
  <person displayName="Pedro Luis Sachun Goyzueta" id="{3D8CD6BF-396C-4C1F-A5CD-B2652762D93D}" userId="S::pedro.sachun@unna.com.pe::8bfda3d1-e0e5-4e03-a8d1-a79aec4282d6" providerId="AD"/>
  <person displayName="Carlos Barrientos Zarate" id="{32423D7D-7DD7-4C62-9AA8-DDA49E4FC97C}" userId="S::carlos.barrientos@unna.com.pe::5066e543-609f-4fad-9ba5-0cb86b8d0488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9327EFE-8010-44C4-B473-CB8B8BAB7BE6}" name="TREN01" displayName="TREN01" ref="A2:N482" totalsRowShown="0" headerRowDxfId="141" headerRowBorderDxfId="140" tableBorderDxfId="139">
  <autoFilter ref="A2:N482" xr:uid="{F9327EFE-8010-44C4-B473-CB8B8BAB7BE6}"/>
  <tableColumns count="14">
    <tableColumn id="1" xr3:uid="{18E48A1A-4686-4501-9AC9-C1F1A956C302}" name="Responsable" dataDxfId="138"/>
    <tableColumn id="2" xr3:uid="{A97E0B5B-DB84-4CDA-8AD2-9B780A079031}" name="Tren" dataDxfId="137"/>
    <tableColumn id="4" xr3:uid="{F86DBDA7-0996-45F0-9A99-C52CDB085EB8}" name="Kilometraje" dataDxfId="136"/>
    <tableColumn id="5" xr3:uid="{861DAC59-64B5-4F77-A2DF-6628F8F3B6D1}" name="Fecha" dataDxfId="135"/>
    <tableColumn id="6" xr3:uid="{8DC6FD5D-0854-4206-B504-F85B64DCCB02}" name="Motivo" dataDxfId="134"/>
    <tableColumn id="7" xr3:uid="{7F5BA381-3E93-40D3-94B2-6E90150CE3ED}" name="Coche" dataDxfId="133"/>
    <tableColumn id="8" xr3:uid="{ED537123-1E89-466C-BFEB-8194962815C4}" name="N° Coche" dataDxfId="132"/>
    <tableColumn id="9" xr3:uid="{54080642-E891-4A14-A39C-17F7FD1BB8F5}" name="Bogie" dataDxfId="131"/>
    <tableColumn id="10" xr3:uid="{77EC244A-96F2-4F91-9511-9A8F3C3624F2}" name="Eje" dataDxfId="130"/>
    <tableColumn id="11" xr3:uid="{D438A4A6-39EF-4C89-9897-406E5B54E300}" name="Ubicación" dataDxfId="129"/>
    <tableColumn id="15" xr3:uid="{6FAFEB5D-7123-4E6E-A9F0-F34C3347D31D}" name="RUEDA" dataDxfId="128"/>
    <tableColumn id="12" xr3:uid="{3017A367-0269-4A29-BD43-167B642C0687}" name="H" dataDxfId="127"/>
    <tableColumn id="13" xr3:uid="{120DAE49-4E5E-4CAB-A14D-05D67887AC87}" name="T" dataDxfId="126"/>
    <tableColumn id="14" xr3:uid="{21584615-45FF-433F-AD7E-4EB37AF02460}" name="T-H" dataDxfId="125">
      <calculatedColumnFormula>TREN01[[#This Row],[T]]-TREN01[[#This Row],[H]]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4557604-EF61-43D6-86F1-E7687D6A75EB}" name="TREN02" displayName="TREN02" ref="A2:N580" totalsRowShown="0" headerRowDxfId="117" headerRowBorderDxfId="116" tableBorderDxfId="115">
  <autoFilter ref="A2:N580" xr:uid="{E4557604-EF61-43D6-86F1-E7687D6A75EB}"/>
  <tableColumns count="14">
    <tableColumn id="1" xr3:uid="{21009806-C134-40C9-B219-162A0760D504}" name="Responsable" dataDxfId="114"/>
    <tableColumn id="2" xr3:uid="{6C098330-0249-4DB8-87AE-F657D70BF36F}" name="Tren" dataDxfId="113"/>
    <tableColumn id="3" xr3:uid="{480567BB-55B1-4DD7-954F-655A77361A51}" name="Kilometraje" dataDxfId="112"/>
    <tableColumn id="4" xr3:uid="{F57DCE6F-9F69-4A52-A70E-914F7368102D}" name="Fecha" dataDxfId="111"/>
    <tableColumn id="5" xr3:uid="{D851DD09-44CA-42B7-9CC9-86A4C1B440DC}" name="Motivo" dataDxfId="110"/>
    <tableColumn id="6" xr3:uid="{D165E0C7-ADB0-4704-9BAB-F385DFF74650}" name="Coche" dataDxfId="109">
      <calculatedColumnFormula>F2</calculatedColumnFormula>
    </tableColumn>
    <tableColumn id="7" xr3:uid="{3C2FAB4A-CFAD-49D9-BC4C-DEB3A267FAA0}" name="N° Coche" dataDxfId="108">
      <calculatedColumnFormula>G2</calculatedColumnFormula>
    </tableColumn>
    <tableColumn id="8" xr3:uid="{D834FF56-6959-4B79-BC34-940FB6ACA9F5}" name="Bogie" dataDxfId="107">
      <calculatedColumnFormula>H2</calculatedColumnFormula>
    </tableColumn>
    <tableColumn id="9" xr3:uid="{8FCF1429-09F1-4314-B598-DE68FED5F16E}" name="Eje" dataDxfId="106">
      <calculatedColumnFormula>I2</calculatedColumnFormula>
    </tableColumn>
    <tableColumn id="10" xr3:uid="{2AD6527D-A6E2-4AEF-BF9F-4278F80671C1}" name="Ubicación" dataDxfId="105"/>
    <tableColumn id="11" xr3:uid="{09DD2E15-ECEB-4AC1-98B3-40D5F73BEC42}" name="Rueda" dataDxfId="104"/>
    <tableColumn id="12" xr3:uid="{9CD62E25-45A4-4958-BF1E-D3B4A5137F0A}" name="H" dataDxfId="103"/>
    <tableColumn id="13" xr3:uid="{33337C4D-963B-4D31-912C-A649D60CFA3E}" name="T" dataDxfId="102"/>
    <tableColumn id="14" xr3:uid="{2480FA3E-DC1B-4C2E-9350-B189EC151D04}" name="T-H" dataDxfId="101">
      <calculatedColumnFormula>+M3-L3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715B3D12-E4D5-47F8-B7A2-2F12C1C7D05C}" name="TREN03" displayName="TREN03" ref="A2:N674" totalsRowShown="0" headerRowDxfId="93" headerRowBorderDxfId="92" tableBorderDxfId="91">
  <autoFilter ref="A2:N674" xr:uid="{715B3D12-E4D5-47F8-B7A2-2F12C1C7D05C}"/>
  <tableColumns count="14">
    <tableColumn id="1" xr3:uid="{13AC7C57-2A2F-4F36-BD07-BCBB49C3C1F2}" name="Responsable" dataDxfId="90"/>
    <tableColumn id="2" xr3:uid="{2191FB99-72F5-43AF-9B5F-F93AC4C5E38A}" name="Tren" dataDxfId="89"/>
    <tableColumn id="3" xr3:uid="{977D7541-FA54-4198-9ECD-2ED2F19417AA}" name="Kilometraje" dataDxfId="88"/>
    <tableColumn id="4" xr3:uid="{D0E6047E-4A0A-4A9D-AFA1-CF368869A474}" name="Fecha" dataDxfId="87"/>
    <tableColumn id="5" xr3:uid="{35524F84-6801-4800-903C-052D5C22FA52}" name="Motivo" dataDxfId="86"/>
    <tableColumn id="6" xr3:uid="{F17121EC-464F-429B-B7FE-96AE6D2C941C}" name="Coche" dataDxfId="85">
      <calculatedColumnFormula>F2</calculatedColumnFormula>
    </tableColumn>
    <tableColumn id="7" xr3:uid="{C6A7826B-456B-49D6-8AA7-9FC71889856C}" name="N° Coche" dataDxfId="84">
      <calculatedColumnFormula>G2</calculatedColumnFormula>
    </tableColumn>
    <tableColumn id="8" xr3:uid="{03203215-B4B6-477A-87FF-4A0D411CDEB5}" name="Bogie" dataDxfId="83">
      <calculatedColumnFormula>H2</calculatedColumnFormula>
    </tableColumn>
    <tableColumn id="9" xr3:uid="{CADFE6B9-5B14-4454-9574-C509D7BFB98A}" name="Eje" dataDxfId="82">
      <calculatedColumnFormula>I2</calculatedColumnFormula>
    </tableColumn>
    <tableColumn id="10" xr3:uid="{4AD3C056-2799-4AE9-B701-04BA3E9D6D89}" name="Ubicación" dataDxfId="81"/>
    <tableColumn id="14" xr3:uid="{B9EF8719-04D3-4E47-81E5-DBBCB197C35D}" name="RUEDA" dataDxfId="80"/>
    <tableColumn id="11" xr3:uid="{58CCBABB-0357-4A3B-81CC-55F290D1D953}" name="H" dataDxfId="79"/>
    <tableColumn id="12" xr3:uid="{EBB2A1F7-FC7E-4864-B522-E505D8C91D90}" name="T" dataDxfId="78"/>
    <tableColumn id="13" xr3:uid="{8FC3F20E-19A4-4CCA-8AAA-A6869D494121}" name="T-H" dataDxfId="77">
      <calculatedColumnFormula>+M3-L3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37B3F16-358B-4ACC-92F6-40EBB6A26221}" name="TREN04" displayName="TREN04" ref="A2:N290" totalsRowShown="0" headerRowDxfId="69" headerRowBorderDxfId="68" tableBorderDxfId="67">
  <autoFilter ref="A2:N290" xr:uid="{B37B3F16-358B-4ACC-92F6-40EBB6A26221}"/>
  <tableColumns count="14">
    <tableColumn id="1" xr3:uid="{7F2404B1-3FE2-4B6C-A362-97EA0A7BD55C}" name="Responsable" dataDxfId="66"/>
    <tableColumn id="2" xr3:uid="{FB83175F-C86C-481F-8438-18DBB8DA1DCA}" name="Tren" dataDxfId="65"/>
    <tableColumn id="3" xr3:uid="{D50D8BD6-287E-4644-B523-0A6AEDFE0605}" name="Kilometraje" dataDxfId="64"/>
    <tableColumn id="4" xr3:uid="{C04151C4-BEA7-45C7-9A6F-85C651D29AF7}" name="Fecha" dataDxfId="63"/>
    <tableColumn id="5" xr3:uid="{57F8F017-6D91-4FA8-9611-B144FA1BBCAB}" name="Motivo" dataDxfId="62"/>
    <tableColumn id="6" xr3:uid="{C0DC7578-1478-4D74-A6E4-1FE1AFEA5AAA}" name="Coche" dataDxfId="61">
      <calculatedColumnFormula>F2</calculatedColumnFormula>
    </tableColumn>
    <tableColumn id="7" xr3:uid="{780BAEB0-2906-4DC5-A1B1-8B7BC4D3D2C5}" name="N° Coche" dataDxfId="60">
      <calculatedColumnFormula>G2</calculatedColumnFormula>
    </tableColumn>
    <tableColumn id="8" xr3:uid="{6EF00585-3B43-4114-B7FB-B7BFC17884B8}" name="Bogie" dataDxfId="59">
      <calculatedColumnFormula>H2</calculatedColumnFormula>
    </tableColumn>
    <tableColumn id="9" xr3:uid="{3C2FFBF5-3640-457A-B57A-8B98827BAE27}" name="Eje" dataDxfId="58">
      <calculatedColumnFormula>I2</calculatedColumnFormula>
    </tableColumn>
    <tableColumn id="10" xr3:uid="{A4703DC8-8C57-4BA8-9945-C4898C216EF9}" name="Ubicación" dataDxfId="57"/>
    <tableColumn id="14" xr3:uid="{EA7D8981-6B4B-4440-9375-433A39E3205A}" name="Rueda" dataDxfId="56"/>
    <tableColumn id="11" xr3:uid="{7239AB37-C59B-49E8-8C74-EDF4392EBB6E}" name="H" dataDxfId="55"/>
    <tableColumn id="12" xr3:uid="{B8001C66-EF33-4666-92EE-0746A9DCE75B}" name="T" dataDxfId="54"/>
    <tableColumn id="13" xr3:uid="{BDA58661-9878-4875-BC59-6E4CEB75D01D}" name="T-H" dataDxfId="53">
      <calculatedColumnFormula>+M3-L3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2CD5CFB-8624-45C9-AA2C-09C3F80F5D1F}" name="TREN05" displayName="TREN05" ref="A2:N579" totalsRowShown="0" headerRowDxfId="40" headerRowBorderDxfId="39" tableBorderDxfId="38">
  <autoFilter ref="A2:N579" xr:uid="{D2CD5CFB-8624-45C9-AA2C-09C3F80F5D1F}"/>
  <tableColumns count="14">
    <tableColumn id="1" xr3:uid="{A925714D-BD74-4CAA-BC3A-139C7B6E79BD}" name="Responsable" dataDxfId="37"/>
    <tableColumn id="2" xr3:uid="{72FA136C-B81E-430A-9236-C41F57FA0558}" name="Tren" dataDxfId="36"/>
    <tableColumn id="4" xr3:uid="{35F40E08-0905-49C5-BA4D-415BAFB012FA}" name="Kilometraje" dataDxfId="35"/>
    <tableColumn id="5" xr3:uid="{4CD98D38-1636-45D1-B341-CF33A143EDF4}" name="Fecha" dataDxfId="34"/>
    <tableColumn id="6" xr3:uid="{9C337830-5FD9-4A0C-B769-600B5DECFDA8}" name="Motivo" dataDxfId="33"/>
    <tableColumn id="7" xr3:uid="{5A33D13C-B84B-4895-9601-F4507F479F68}" name="Coche" dataDxfId="32">
      <calculatedColumnFormula>F2</calculatedColumnFormula>
    </tableColumn>
    <tableColumn id="8" xr3:uid="{08D7C95E-3E98-45F3-AEE1-3C75E7F16491}" name="N° Coche" dataDxfId="31">
      <calculatedColumnFormula>G2</calculatedColumnFormula>
    </tableColumn>
    <tableColumn id="9" xr3:uid="{353337EE-9267-4DEF-A069-6B113205A804}" name="Bogie" dataDxfId="30">
      <calculatedColumnFormula>H2</calculatedColumnFormula>
    </tableColumn>
    <tableColumn id="10" xr3:uid="{760788CC-9667-4902-A90D-903FD00732B9}" name="Eje" dataDxfId="29">
      <calculatedColumnFormula>I2</calculatedColumnFormula>
    </tableColumn>
    <tableColumn id="11" xr3:uid="{4F4DB5E6-E5D4-4564-827D-17357843672A}" name="Ubicación" dataDxfId="28"/>
    <tableColumn id="15" xr3:uid="{370540F8-D9E5-4513-BA7B-FDC497A68559}" name="Rueda" dataDxfId="27"/>
    <tableColumn id="12" xr3:uid="{8D91EC41-1A25-4A88-BBA7-6FCE69E165FB}" name="H" dataDxfId="26"/>
    <tableColumn id="13" xr3:uid="{DF7022D1-1FD6-47A1-B1F2-3C773849ABCB}" name="T" dataDxfId="25"/>
    <tableColumn id="14" xr3:uid="{00C09D1B-6703-407C-A8AB-510742852414}" name="T-H" dataDxfId="24">
      <calculatedColumnFormula>+M3-L3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544A125-B3DD-47E8-B41B-38C8EC11ACB0}" name="UDT_RESERVA" displayName="UDT_RESERVA" ref="A2:N34" totalsRowShown="0" headerRowDxfId="16" headerRowBorderDxfId="15" tableBorderDxfId="14">
  <autoFilter ref="A2:N34" xr:uid="{D544A125-B3DD-47E8-B41B-38C8EC11ACB0}"/>
  <tableColumns count="14">
    <tableColumn id="1" xr3:uid="{72E95EBD-C7A9-4687-BD47-DCDE9C7D94CD}" name="Responsable" dataDxfId="13"/>
    <tableColumn id="2" xr3:uid="{E9918D3F-1F9C-4051-BC31-2387D6F9DC27}" name="Tren" dataDxfId="12"/>
    <tableColumn id="3" xr3:uid="{2EBF4F27-4FAF-4998-8925-476220366091}" name="Kilometraje" dataDxfId="11"/>
    <tableColumn id="4" xr3:uid="{49AEE927-1398-4540-B374-6C9A33E1A559}" name="Fecha" dataDxfId="10"/>
    <tableColumn id="5" xr3:uid="{8A727059-A3F6-447E-99D3-155034CD47B7}" name="Motivo" dataDxfId="9"/>
    <tableColumn id="14" xr3:uid="{FBF8B0CD-D3DD-4669-A02B-364BCC57F144}" name="Coche" dataDxfId="8"/>
    <tableColumn id="6" xr3:uid="{4C53F9F3-0C2E-4D7D-9D7B-FDE105B3C3D5}" name="N° Coche" dataDxfId="7">
      <calculatedColumnFormula>G2</calculatedColumnFormula>
    </tableColumn>
    <tableColumn id="7" xr3:uid="{6A81AC18-2D6F-488C-8203-B0DA6541DB5B}" name="Bogie" dataDxfId="6">
      <calculatedColumnFormula>H2</calculatedColumnFormula>
    </tableColumn>
    <tableColumn id="8" xr3:uid="{E71D48CD-10E5-4808-8841-D8FAB2A313E4}" name="Eje" dataDxfId="5">
      <calculatedColumnFormula>I2</calculatedColumnFormula>
    </tableColumn>
    <tableColumn id="9" xr3:uid="{0A8DE7B6-3861-4827-9432-D905D751FF49}" name="Ubicación" dataDxfId="4"/>
    <tableColumn id="10" xr3:uid="{04BD8D76-56A5-46FF-B265-4BC53F4982F4}" name="Rueda" dataDxfId="3"/>
    <tableColumn id="11" xr3:uid="{1C72551A-0F70-43BB-9205-25E6E12A9784}" name="H" dataDxfId="2"/>
    <tableColumn id="12" xr3:uid="{031F796C-9833-4C46-B110-04C8F9871BE5}" name="T" dataDxfId="1"/>
    <tableColumn id="13" xr3:uid="{71517860-5E1D-418A-B981-166F459C4CEB}" name="T-H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E023-8F7C-4E2E-8046-DB8D7C799325}">
  <sheetPr codeName="Hoja1"/>
  <dimension ref="A1:Q46"/>
  <sheetViews>
    <sheetView workbookViewId="0"/>
  </sheetViews>
  <sheetFormatPr baseColWidth="10" defaultColWidth="11.42578125" defaultRowHeight="15" x14ac:dyDescent="0.25"/>
  <cols>
    <col min="1" max="1" width="3.7109375" customWidth="1"/>
    <col min="2" max="3" width="11.42578125" style="1"/>
    <col min="4" max="4" width="9.85546875" style="1" customWidth="1"/>
    <col min="5" max="5" width="22.7109375" style="1" bestFit="1" customWidth="1"/>
    <col min="6" max="6" width="17" style="1" bestFit="1" customWidth="1"/>
    <col min="7" max="7" width="11.42578125" style="1"/>
  </cols>
  <sheetData>
    <row r="1" spans="1:17" x14ac:dyDescent="0.25">
      <c r="A1" s="4"/>
      <c r="B1" s="5"/>
      <c r="C1" s="5"/>
      <c r="D1" s="5"/>
      <c r="E1" s="5"/>
      <c r="F1" s="5"/>
      <c r="G1" s="5"/>
      <c r="H1" s="4"/>
      <c r="I1" s="4"/>
      <c r="J1" s="4"/>
      <c r="K1" s="4"/>
      <c r="L1" s="4"/>
      <c r="M1" s="4"/>
      <c r="N1" s="4"/>
      <c r="O1" s="4"/>
      <c r="P1" s="4"/>
    </row>
    <row r="2" spans="1:17" x14ac:dyDescent="0.25">
      <c r="A2" s="4"/>
      <c r="B2" s="6" t="s">
        <v>18</v>
      </c>
      <c r="C2" s="7" t="s">
        <v>19</v>
      </c>
      <c r="D2" s="7" t="s">
        <v>20</v>
      </c>
      <c r="E2" s="7" t="s">
        <v>21</v>
      </c>
      <c r="F2" s="7" t="s">
        <v>22</v>
      </c>
      <c r="G2" s="8" t="s">
        <v>23</v>
      </c>
    </row>
    <row r="3" spans="1:17" x14ac:dyDescent="0.25">
      <c r="A3" s="4"/>
      <c r="B3" s="9">
        <v>1</v>
      </c>
      <c r="C3" s="10">
        <v>1475241</v>
      </c>
      <c r="D3" s="10">
        <v>1101557</v>
      </c>
      <c r="E3" s="10" t="s">
        <v>24</v>
      </c>
      <c r="F3" s="16">
        <v>45756</v>
      </c>
      <c r="G3" s="11" t="s">
        <v>25</v>
      </c>
      <c r="I3" s="4"/>
      <c r="J3" s="4"/>
      <c r="K3" s="4"/>
      <c r="L3" s="4"/>
      <c r="M3" s="4"/>
      <c r="N3" s="4"/>
      <c r="O3" s="4"/>
      <c r="P3" s="4"/>
      <c r="Q3" s="4"/>
    </row>
    <row r="4" spans="1:17" x14ac:dyDescent="0.25">
      <c r="A4" s="4"/>
      <c r="B4" s="12">
        <v>2</v>
      </c>
      <c r="C4" s="13">
        <v>1474672</v>
      </c>
      <c r="D4" s="13">
        <v>1357635</v>
      </c>
      <c r="E4" s="13" t="s">
        <v>24</v>
      </c>
      <c r="F4" s="14">
        <v>45738</v>
      </c>
      <c r="G4" s="15" t="s">
        <v>25</v>
      </c>
      <c r="I4" s="4"/>
      <c r="J4" s="4"/>
      <c r="K4" s="4"/>
      <c r="L4" s="4"/>
      <c r="M4" s="4"/>
      <c r="N4" s="4"/>
      <c r="O4" s="4"/>
      <c r="P4" s="4"/>
      <c r="Q4" s="4"/>
    </row>
    <row r="5" spans="1:17" x14ac:dyDescent="0.25">
      <c r="A5" s="4"/>
      <c r="B5" s="9">
        <v>3</v>
      </c>
      <c r="C5" s="10">
        <v>1471347</v>
      </c>
      <c r="D5" s="10">
        <v>1471347</v>
      </c>
      <c r="E5" s="10" t="s">
        <v>24</v>
      </c>
      <c r="F5" s="16">
        <v>45750</v>
      </c>
      <c r="G5" s="11" t="s">
        <v>25</v>
      </c>
      <c r="I5" s="4"/>
      <c r="J5" s="4"/>
      <c r="K5" s="4"/>
      <c r="L5" s="4"/>
      <c r="M5" s="4"/>
      <c r="N5" s="4"/>
      <c r="O5" s="4"/>
      <c r="P5" s="4"/>
      <c r="Q5" s="4"/>
    </row>
    <row r="6" spans="1:17" x14ac:dyDescent="0.25">
      <c r="A6" s="4"/>
      <c r="B6" s="12">
        <v>4</v>
      </c>
      <c r="C6" s="13">
        <v>1475244</v>
      </c>
      <c r="D6" s="13">
        <v>1052566</v>
      </c>
      <c r="E6" s="13" t="s">
        <v>24</v>
      </c>
      <c r="F6" s="14">
        <v>45758</v>
      </c>
      <c r="G6" s="15" t="s">
        <v>25</v>
      </c>
      <c r="I6" s="4"/>
      <c r="J6" s="4"/>
      <c r="K6" s="4"/>
      <c r="L6" s="4"/>
      <c r="M6" s="4"/>
      <c r="N6" s="4"/>
      <c r="O6" s="4"/>
      <c r="P6" s="4"/>
      <c r="Q6" s="4"/>
    </row>
    <row r="7" spans="1:17" x14ac:dyDescent="0.25">
      <c r="A7" s="4"/>
      <c r="B7" s="9">
        <v>5</v>
      </c>
      <c r="C7" s="10">
        <v>1473228</v>
      </c>
      <c r="D7" s="10">
        <v>1102620</v>
      </c>
      <c r="E7" s="10" t="s">
        <v>24</v>
      </c>
      <c r="F7" s="16">
        <v>45734</v>
      </c>
      <c r="G7" s="11" t="s">
        <v>25</v>
      </c>
      <c r="I7" s="4"/>
      <c r="J7" s="4"/>
      <c r="K7" s="4"/>
      <c r="L7" s="4"/>
      <c r="M7" s="4"/>
      <c r="N7" s="4"/>
      <c r="O7" s="4"/>
      <c r="P7" s="4"/>
      <c r="Q7" s="4"/>
    </row>
    <row r="8" spans="1:17" x14ac:dyDescent="0.25">
      <c r="A8" s="4"/>
      <c r="B8" s="12">
        <v>6</v>
      </c>
      <c r="C8" s="13">
        <v>1475251</v>
      </c>
      <c r="D8" s="13">
        <v>1336758</v>
      </c>
      <c r="E8" s="13" t="s">
        <v>24</v>
      </c>
      <c r="F8" s="14">
        <v>45757</v>
      </c>
      <c r="G8" s="15" t="s">
        <v>25</v>
      </c>
      <c r="I8" s="4"/>
      <c r="J8" s="4"/>
      <c r="K8" s="4"/>
      <c r="L8" s="4"/>
      <c r="M8" s="4"/>
      <c r="N8" s="4"/>
      <c r="O8" s="4"/>
      <c r="P8" s="4"/>
      <c r="Q8" s="4"/>
    </row>
    <row r="9" spans="1:17" x14ac:dyDescent="0.25">
      <c r="A9" s="4"/>
      <c r="B9" s="9">
        <v>7</v>
      </c>
      <c r="C9" s="10">
        <v>1473238</v>
      </c>
      <c r="D9" s="10">
        <v>1448040</v>
      </c>
      <c r="E9" s="10" t="s">
        <v>24</v>
      </c>
      <c r="F9" s="16">
        <v>45737</v>
      </c>
      <c r="G9" s="11" t="s">
        <v>25</v>
      </c>
      <c r="I9" s="4"/>
      <c r="J9" s="4"/>
      <c r="K9" s="4"/>
      <c r="L9" s="4"/>
      <c r="M9" s="4"/>
      <c r="N9" s="4"/>
      <c r="O9" s="4"/>
      <c r="P9" s="4"/>
      <c r="Q9" s="4"/>
    </row>
    <row r="10" spans="1:17" x14ac:dyDescent="0.25">
      <c r="A10" s="4"/>
      <c r="B10" s="12">
        <v>8</v>
      </c>
      <c r="C10" s="13">
        <v>1475248</v>
      </c>
      <c r="D10" s="13">
        <v>1397309</v>
      </c>
      <c r="E10" s="13" t="s">
        <v>24</v>
      </c>
      <c r="F10" s="14">
        <v>45749</v>
      </c>
      <c r="G10" s="15" t="s">
        <v>25</v>
      </c>
      <c r="I10" s="4"/>
      <c r="J10" s="4"/>
      <c r="K10" s="4"/>
      <c r="L10" s="4"/>
      <c r="M10" s="4"/>
      <c r="N10" s="4"/>
      <c r="O10" s="4"/>
      <c r="P10" s="4"/>
      <c r="Q10" s="4"/>
    </row>
    <row r="11" spans="1:17" x14ac:dyDescent="0.25">
      <c r="A11" s="4"/>
      <c r="B11" s="9">
        <v>9</v>
      </c>
      <c r="C11" s="10">
        <v>1473233</v>
      </c>
      <c r="D11" s="10">
        <v>1498063</v>
      </c>
      <c r="E11" s="10" t="s">
        <v>24</v>
      </c>
      <c r="F11" s="16">
        <v>45736</v>
      </c>
      <c r="G11" s="11" t="s">
        <v>25</v>
      </c>
      <c r="I11" s="4"/>
      <c r="J11" s="4"/>
      <c r="K11" s="4"/>
      <c r="L11" s="4"/>
      <c r="M11" s="4"/>
      <c r="N11" s="4"/>
      <c r="O11" s="4"/>
      <c r="P11" s="4"/>
      <c r="Q11" s="4"/>
    </row>
    <row r="12" spans="1:17" x14ac:dyDescent="0.25">
      <c r="A12" s="4"/>
      <c r="B12" s="12">
        <v>10</v>
      </c>
      <c r="C12" s="13">
        <v>1481535</v>
      </c>
      <c r="D12" s="13">
        <v>1375522</v>
      </c>
      <c r="E12" s="13" t="s">
        <v>24</v>
      </c>
      <c r="F12" s="14">
        <v>45757</v>
      </c>
      <c r="G12" s="15" t="s">
        <v>25</v>
      </c>
      <c r="I12" s="4"/>
      <c r="J12" s="4"/>
      <c r="K12" s="4"/>
      <c r="L12" s="4"/>
      <c r="M12" s="4"/>
      <c r="N12" s="4"/>
      <c r="O12" s="4"/>
      <c r="P12" s="4"/>
      <c r="Q12" s="4"/>
    </row>
    <row r="13" spans="1:17" x14ac:dyDescent="0.25">
      <c r="A13" s="4"/>
      <c r="B13" s="9">
        <v>11</v>
      </c>
      <c r="C13" s="10">
        <v>1475471</v>
      </c>
      <c r="D13" s="10">
        <v>1478313</v>
      </c>
      <c r="E13" s="10" t="s">
        <v>24</v>
      </c>
      <c r="F13" s="16">
        <v>45744</v>
      </c>
      <c r="G13" s="11" t="s">
        <v>25</v>
      </c>
      <c r="I13" s="4"/>
      <c r="J13" s="4"/>
      <c r="K13" s="4"/>
      <c r="L13" s="4"/>
      <c r="M13" s="4"/>
      <c r="N13" s="4"/>
      <c r="O13" s="4"/>
      <c r="P13" s="4"/>
      <c r="Q13" s="4"/>
    </row>
    <row r="14" spans="1:17" x14ac:dyDescent="0.25">
      <c r="A14" s="4"/>
      <c r="B14" s="12">
        <v>12</v>
      </c>
      <c r="C14" s="13">
        <v>1296899</v>
      </c>
      <c r="D14" s="13">
        <v>1427380</v>
      </c>
      <c r="E14" s="13" t="s">
        <v>24</v>
      </c>
      <c r="F14" s="14">
        <v>45748</v>
      </c>
      <c r="G14" s="15" t="s">
        <v>25</v>
      </c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25">
      <c r="A15" s="4"/>
      <c r="B15" s="9">
        <v>13</v>
      </c>
      <c r="C15" s="10">
        <v>1292121</v>
      </c>
      <c r="D15" s="10">
        <v>1503501</v>
      </c>
      <c r="E15" s="10" t="s">
        <v>24</v>
      </c>
      <c r="F15" s="16">
        <v>45742</v>
      </c>
      <c r="G15" s="11" t="s">
        <v>25</v>
      </c>
      <c r="I15" s="4"/>
      <c r="J15" s="4"/>
      <c r="K15" s="4"/>
      <c r="L15" s="4"/>
      <c r="M15" s="4"/>
      <c r="N15" s="4"/>
      <c r="O15" s="4"/>
      <c r="P15" s="4"/>
      <c r="Q15" s="4"/>
    </row>
    <row r="16" spans="1:17" x14ac:dyDescent="0.25">
      <c r="A16" s="4"/>
      <c r="B16" s="12">
        <v>14</v>
      </c>
      <c r="C16" s="13">
        <v>1475472</v>
      </c>
      <c r="D16" s="13">
        <v>1343510</v>
      </c>
      <c r="E16" s="13" t="s">
        <v>24</v>
      </c>
      <c r="F16" s="14">
        <v>45744</v>
      </c>
      <c r="G16" s="15" t="s">
        <v>25</v>
      </c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6" x14ac:dyDescent="0.25">
      <c r="A17" s="4"/>
      <c r="B17" s="9">
        <v>15</v>
      </c>
      <c r="C17" s="10">
        <v>1475469</v>
      </c>
      <c r="D17" s="10">
        <v>1368792</v>
      </c>
      <c r="E17" s="10" t="s">
        <v>24</v>
      </c>
      <c r="F17" s="16">
        <v>45742</v>
      </c>
      <c r="G17" s="11" t="s">
        <v>25</v>
      </c>
      <c r="H17" s="4"/>
      <c r="I17" s="4"/>
      <c r="J17" s="4"/>
      <c r="K17" s="4"/>
      <c r="L17" s="4"/>
      <c r="M17" s="4"/>
      <c r="N17" s="4"/>
      <c r="O17" s="4"/>
      <c r="P17" s="4"/>
    </row>
    <row r="18" spans="1:16" x14ac:dyDescent="0.25">
      <c r="A18" s="4"/>
      <c r="B18" s="12">
        <v>16</v>
      </c>
      <c r="C18" s="13">
        <v>1473232</v>
      </c>
      <c r="D18" s="13">
        <v>1453624</v>
      </c>
      <c r="E18" s="13" t="s">
        <v>24</v>
      </c>
      <c r="F18" s="14">
        <v>45736</v>
      </c>
      <c r="G18" s="15" t="s">
        <v>25</v>
      </c>
      <c r="H18" s="4"/>
      <c r="I18" s="4"/>
      <c r="J18" s="4"/>
      <c r="K18" s="4"/>
      <c r="L18" s="4"/>
      <c r="M18" s="4"/>
      <c r="N18" s="4"/>
      <c r="O18" s="4"/>
      <c r="P18" s="4"/>
    </row>
    <row r="19" spans="1:16" x14ac:dyDescent="0.25">
      <c r="A19" s="4"/>
      <c r="B19" s="9">
        <v>17</v>
      </c>
      <c r="C19" s="10">
        <v>1297166</v>
      </c>
      <c r="D19" s="10">
        <v>1360191</v>
      </c>
      <c r="E19" s="10" t="s">
        <v>24</v>
      </c>
      <c r="F19" s="16">
        <v>45751</v>
      </c>
      <c r="G19" s="11" t="s">
        <v>25</v>
      </c>
      <c r="H19" s="4"/>
      <c r="I19" s="4"/>
      <c r="J19" s="4"/>
      <c r="K19" s="4"/>
      <c r="L19" s="4"/>
      <c r="M19" s="4"/>
      <c r="N19" s="4"/>
      <c r="O19" s="4"/>
      <c r="P19" s="4"/>
    </row>
    <row r="20" spans="1:16" x14ac:dyDescent="0.25">
      <c r="A20" s="4"/>
      <c r="B20" s="12">
        <v>18</v>
      </c>
      <c r="C20" s="13">
        <v>1473230</v>
      </c>
      <c r="D20" s="13">
        <v>1360373</v>
      </c>
      <c r="E20" s="13" t="s">
        <v>24</v>
      </c>
      <c r="F20" s="14">
        <v>45735</v>
      </c>
      <c r="G20" s="15" t="s">
        <v>25</v>
      </c>
      <c r="H20" s="4"/>
      <c r="I20" s="4"/>
      <c r="J20" s="4"/>
      <c r="K20" s="4"/>
      <c r="L20" s="4"/>
      <c r="M20" s="4"/>
      <c r="N20" s="4"/>
      <c r="O20" s="4"/>
      <c r="P20" s="4"/>
    </row>
    <row r="21" spans="1:16" x14ac:dyDescent="0.25">
      <c r="A21" s="4"/>
      <c r="B21" s="9">
        <v>19</v>
      </c>
      <c r="C21" s="10">
        <v>1476259</v>
      </c>
      <c r="D21" s="10">
        <v>1433904</v>
      </c>
      <c r="E21" s="10" t="s">
        <v>24</v>
      </c>
      <c r="F21" s="16">
        <v>45751</v>
      </c>
      <c r="G21" s="11" t="s">
        <v>25</v>
      </c>
      <c r="H21" s="4"/>
      <c r="I21" s="4"/>
      <c r="J21" s="4"/>
      <c r="K21" s="4"/>
      <c r="L21" s="4"/>
      <c r="M21" s="4"/>
      <c r="N21" s="4"/>
      <c r="O21" s="4"/>
      <c r="P21" s="4"/>
    </row>
    <row r="22" spans="1:16" x14ac:dyDescent="0.25">
      <c r="A22" s="4"/>
      <c r="B22" s="12">
        <v>20</v>
      </c>
      <c r="C22" s="13">
        <v>1297167</v>
      </c>
      <c r="D22" s="13">
        <v>1414262</v>
      </c>
      <c r="E22" s="13" t="s">
        <v>24</v>
      </c>
      <c r="F22" s="14">
        <v>45757</v>
      </c>
      <c r="G22" s="15" t="s">
        <v>25</v>
      </c>
      <c r="H22" s="4"/>
      <c r="I22" s="4"/>
      <c r="J22" s="4"/>
      <c r="K22" s="4"/>
      <c r="L22" s="4"/>
      <c r="M22" s="4"/>
      <c r="N22" s="4"/>
      <c r="O22" s="4"/>
      <c r="P22" s="4"/>
    </row>
    <row r="23" spans="1:16" x14ac:dyDescent="0.25">
      <c r="A23" s="4"/>
      <c r="B23" s="9">
        <v>21</v>
      </c>
      <c r="C23" s="10">
        <v>1476260</v>
      </c>
      <c r="D23" s="10">
        <v>1388054</v>
      </c>
      <c r="E23" s="10" t="s">
        <v>24</v>
      </c>
      <c r="F23" s="16">
        <v>45754</v>
      </c>
      <c r="G23" s="11" t="s">
        <v>25</v>
      </c>
      <c r="H23" s="4"/>
      <c r="I23" s="4"/>
      <c r="J23" s="4"/>
      <c r="K23" s="4"/>
      <c r="L23" s="4"/>
      <c r="M23" s="4"/>
      <c r="N23" s="4"/>
      <c r="O23" s="4"/>
      <c r="P23" s="4"/>
    </row>
    <row r="24" spans="1:16" x14ac:dyDescent="0.25">
      <c r="A24" s="4"/>
      <c r="B24" s="12">
        <v>22</v>
      </c>
      <c r="C24" s="13">
        <v>1284676</v>
      </c>
      <c r="D24" s="13">
        <v>1461672</v>
      </c>
      <c r="E24" s="13" t="s">
        <v>24</v>
      </c>
      <c r="F24" s="14">
        <v>45745</v>
      </c>
      <c r="G24" s="15" t="s">
        <v>25</v>
      </c>
      <c r="H24" s="4"/>
      <c r="I24" s="4"/>
      <c r="J24" s="4"/>
      <c r="K24" s="4"/>
      <c r="L24" s="4"/>
      <c r="M24" s="4"/>
      <c r="N24" s="4"/>
      <c r="O24" s="4"/>
      <c r="P24" s="4"/>
    </row>
    <row r="25" spans="1:16" x14ac:dyDescent="0.25">
      <c r="A25" s="4"/>
      <c r="B25" s="9">
        <v>23</v>
      </c>
      <c r="C25" s="10">
        <v>1473235</v>
      </c>
      <c r="D25" s="10">
        <v>1438127</v>
      </c>
      <c r="E25" s="10" t="s">
        <v>24</v>
      </c>
      <c r="F25" s="16">
        <v>45743</v>
      </c>
      <c r="G25" s="11" t="s">
        <v>25</v>
      </c>
      <c r="H25" s="4"/>
      <c r="I25" s="4"/>
      <c r="J25" s="4"/>
      <c r="K25" s="4"/>
      <c r="L25" s="4"/>
      <c r="M25" s="4"/>
      <c r="N25" s="4"/>
      <c r="O25" s="4"/>
      <c r="P25" s="4"/>
    </row>
    <row r="26" spans="1:16" x14ac:dyDescent="0.25">
      <c r="A26" s="4"/>
      <c r="B26" s="12">
        <v>24</v>
      </c>
      <c r="C26" s="13">
        <v>1473229</v>
      </c>
      <c r="D26" s="13">
        <v>1436939</v>
      </c>
      <c r="E26" s="13" t="s">
        <v>24</v>
      </c>
      <c r="F26" s="14">
        <v>45734</v>
      </c>
      <c r="G26" s="15" t="s">
        <v>25</v>
      </c>
      <c r="H26" s="4"/>
      <c r="I26" s="4"/>
      <c r="J26" s="4"/>
      <c r="K26" s="4"/>
      <c r="L26" s="4"/>
      <c r="M26" s="4"/>
      <c r="N26" s="4"/>
      <c r="O26" s="4"/>
      <c r="P26" s="4"/>
    </row>
    <row r="27" spans="1:16" x14ac:dyDescent="0.25">
      <c r="A27" s="4"/>
      <c r="B27" s="9">
        <v>25</v>
      </c>
      <c r="C27" s="10">
        <v>1298361</v>
      </c>
      <c r="D27" s="10">
        <v>1026092</v>
      </c>
      <c r="E27" s="10" t="s">
        <v>24</v>
      </c>
      <c r="F27" s="16">
        <v>45750</v>
      </c>
      <c r="G27" s="11" t="s">
        <v>25</v>
      </c>
      <c r="H27" s="4"/>
      <c r="I27" s="4"/>
      <c r="J27" s="4"/>
      <c r="K27" s="4"/>
      <c r="L27" s="4"/>
      <c r="M27" s="4"/>
      <c r="N27" s="4"/>
      <c r="O27" s="4"/>
      <c r="P27" s="4"/>
    </row>
    <row r="28" spans="1:16" x14ac:dyDescent="0.25">
      <c r="A28" s="4"/>
      <c r="B28" s="12">
        <v>26</v>
      </c>
      <c r="C28" s="13">
        <v>1475470</v>
      </c>
      <c r="D28" s="13">
        <v>1027255</v>
      </c>
      <c r="E28" s="13" t="s">
        <v>24</v>
      </c>
      <c r="F28" s="14">
        <v>45743</v>
      </c>
      <c r="G28" s="15" t="s">
        <v>25</v>
      </c>
      <c r="H28" s="4"/>
      <c r="I28" s="4"/>
      <c r="J28" s="4"/>
      <c r="K28" s="4"/>
      <c r="L28" s="4"/>
      <c r="M28" s="4"/>
      <c r="N28" s="4"/>
      <c r="O28" s="4"/>
      <c r="P28" s="4"/>
    </row>
    <row r="29" spans="1:16" x14ac:dyDescent="0.25">
      <c r="A29" s="4"/>
      <c r="B29" s="9">
        <v>27</v>
      </c>
      <c r="C29" s="10">
        <v>1476263</v>
      </c>
      <c r="D29" s="10">
        <v>1027355</v>
      </c>
      <c r="E29" s="10" t="s">
        <v>24</v>
      </c>
      <c r="F29" s="16">
        <v>45755</v>
      </c>
      <c r="G29" s="11" t="s">
        <v>25</v>
      </c>
      <c r="H29" s="4"/>
      <c r="I29" s="4"/>
      <c r="J29" s="4"/>
      <c r="K29" s="4"/>
      <c r="L29" s="4"/>
      <c r="M29" s="4"/>
      <c r="N29" s="4"/>
      <c r="O29" s="4"/>
      <c r="P29" s="4"/>
    </row>
    <row r="30" spans="1:16" x14ac:dyDescent="0.25">
      <c r="A30" s="4"/>
      <c r="B30" s="12">
        <v>28</v>
      </c>
      <c r="C30" s="13">
        <v>1475473</v>
      </c>
      <c r="D30" s="13">
        <v>1012924</v>
      </c>
      <c r="E30" s="13" t="s">
        <v>24</v>
      </c>
      <c r="F30" s="14">
        <v>45745</v>
      </c>
      <c r="G30" s="15" t="s">
        <v>25</v>
      </c>
      <c r="H30" s="4"/>
      <c r="I30" s="4"/>
      <c r="J30" s="4"/>
      <c r="K30" s="4"/>
      <c r="L30" s="4"/>
      <c r="M30" s="4"/>
      <c r="N30" s="4"/>
      <c r="O30" s="4"/>
      <c r="P30" s="4"/>
    </row>
    <row r="31" spans="1:16" x14ac:dyDescent="0.25">
      <c r="A31" s="4"/>
      <c r="B31" s="9">
        <v>29</v>
      </c>
      <c r="C31" s="10">
        <v>1481539</v>
      </c>
      <c r="D31" s="10">
        <v>1016060</v>
      </c>
      <c r="E31" s="10" t="s">
        <v>24</v>
      </c>
      <c r="F31" s="16">
        <v>45755</v>
      </c>
      <c r="G31" s="11" t="s">
        <v>25</v>
      </c>
      <c r="H31" s="4"/>
      <c r="I31" s="4"/>
      <c r="J31" s="4"/>
      <c r="K31" s="4"/>
      <c r="L31" s="4"/>
      <c r="M31" s="4"/>
      <c r="N31" s="4"/>
      <c r="O31" s="4"/>
      <c r="P31" s="4"/>
    </row>
    <row r="32" spans="1:16" x14ac:dyDescent="0.25">
      <c r="A32" s="4"/>
      <c r="B32" s="12">
        <v>30</v>
      </c>
      <c r="C32" s="13">
        <v>1474673</v>
      </c>
      <c r="D32" s="13">
        <v>999150</v>
      </c>
      <c r="E32" s="13" t="s">
        <v>24</v>
      </c>
      <c r="F32" s="14">
        <v>45740</v>
      </c>
      <c r="G32" s="15" t="s">
        <v>25</v>
      </c>
      <c r="H32" s="4"/>
      <c r="I32" s="4"/>
      <c r="J32" s="4"/>
      <c r="K32" s="4"/>
      <c r="L32" s="4"/>
      <c r="M32" s="4"/>
      <c r="N32" s="4"/>
      <c r="O32" s="4"/>
      <c r="P32" s="4"/>
    </row>
    <row r="33" spans="1:16" x14ac:dyDescent="0.25">
      <c r="A33" s="4"/>
      <c r="B33" s="9">
        <v>31</v>
      </c>
      <c r="C33" s="10">
        <v>1476802</v>
      </c>
      <c r="D33" s="10">
        <v>993637</v>
      </c>
      <c r="E33" s="10" t="s">
        <v>24</v>
      </c>
      <c r="F33" s="16">
        <v>45747</v>
      </c>
      <c r="G33" s="11" t="s">
        <v>25</v>
      </c>
      <c r="H33" s="4"/>
      <c r="I33" s="4"/>
      <c r="J33" s="4"/>
      <c r="K33" s="4"/>
      <c r="L33" s="4"/>
      <c r="M33" s="4"/>
      <c r="N33" s="4"/>
      <c r="O33" s="4"/>
      <c r="P33" s="4"/>
    </row>
    <row r="34" spans="1:16" x14ac:dyDescent="0.25">
      <c r="A34" s="4"/>
      <c r="B34" s="12">
        <v>32</v>
      </c>
      <c r="C34" s="13">
        <v>1474433</v>
      </c>
      <c r="D34" s="13">
        <v>981572</v>
      </c>
      <c r="E34" s="13" t="s">
        <v>24</v>
      </c>
      <c r="F34" s="14">
        <v>45733</v>
      </c>
      <c r="G34" s="15" t="s">
        <v>25</v>
      </c>
      <c r="H34" s="4"/>
      <c r="I34" s="4"/>
      <c r="J34" s="4"/>
      <c r="K34" s="4"/>
      <c r="L34" s="4"/>
      <c r="M34" s="4"/>
      <c r="N34" s="4"/>
      <c r="O34" s="4"/>
      <c r="P34" s="4"/>
    </row>
    <row r="35" spans="1:16" x14ac:dyDescent="0.25">
      <c r="A35" s="4"/>
      <c r="B35" s="9">
        <v>33</v>
      </c>
      <c r="C35" s="10">
        <v>1475467</v>
      </c>
      <c r="D35" s="10">
        <v>971993</v>
      </c>
      <c r="E35" s="10" t="s">
        <v>24</v>
      </c>
      <c r="F35" s="16">
        <v>45741</v>
      </c>
      <c r="G35" s="11" t="s">
        <v>25</v>
      </c>
      <c r="H35" s="4"/>
      <c r="I35" s="4"/>
      <c r="J35" s="4"/>
      <c r="K35" s="4"/>
      <c r="L35" s="4"/>
      <c r="M35" s="4"/>
      <c r="N35" s="4"/>
      <c r="O35" s="4"/>
      <c r="P35" s="4"/>
    </row>
    <row r="36" spans="1:16" x14ac:dyDescent="0.25">
      <c r="A36" s="4"/>
      <c r="B36" s="12">
        <v>34</v>
      </c>
      <c r="C36" s="13">
        <v>1476265</v>
      </c>
      <c r="D36" s="13">
        <v>976091</v>
      </c>
      <c r="E36" s="13" t="s">
        <v>24</v>
      </c>
      <c r="F36" s="14">
        <v>45752</v>
      </c>
      <c r="G36" s="15" t="s">
        <v>25</v>
      </c>
      <c r="H36" s="4"/>
      <c r="I36" s="4"/>
      <c r="J36" s="4"/>
      <c r="K36" s="4"/>
      <c r="L36" s="4"/>
      <c r="M36" s="4"/>
      <c r="N36" s="4"/>
      <c r="O36" s="4"/>
      <c r="P36" s="4"/>
    </row>
    <row r="37" spans="1:16" x14ac:dyDescent="0.25">
      <c r="A37" s="4"/>
      <c r="B37" s="9">
        <v>35</v>
      </c>
      <c r="C37" s="10">
        <v>1298362</v>
      </c>
      <c r="D37" s="10">
        <v>972123</v>
      </c>
      <c r="E37" s="10" t="s">
        <v>24</v>
      </c>
      <c r="F37" s="16">
        <v>45756</v>
      </c>
      <c r="G37" s="11" t="s">
        <v>25</v>
      </c>
      <c r="H37" s="4"/>
      <c r="I37" s="4"/>
      <c r="J37" s="4"/>
      <c r="K37" s="4"/>
      <c r="L37" s="4"/>
      <c r="M37" s="4"/>
      <c r="N37" s="4"/>
      <c r="O37" s="4"/>
      <c r="P37" s="4"/>
    </row>
    <row r="38" spans="1:16" x14ac:dyDescent="0.25">
      <c r="A38" s="4"/>
      <c r="B38" s="12">
        <v>36</v>
      </c>
      <c r="C38" s="13">
        <v>1475245</v>
      </c>
      <c r="D38" s="13">
        <v>959481</v>
      </c>
      <c r="E38" s="13" t="s">
        <v>24</v>
      </c>
      <c r="F38" s="14">
        <v>45749</v>
      </c>
      <c r="G38" s="15" t="s">
        <v>25</v>
      </c>
      <c r="H38" s="4"/>
      <c r="I38" s="4"/>
      <c r="J38" s="4"/>
      <c r="K38" s="4"/>
      <c r="L38" s="4"/>
      <c r="M38" s="4"/>
      <c r="N38" s="4"/>
      <c r="O38" s="4"/>
      <c r="P38" s="4"/>
    </row>
    <row r="39" spans="1:16" x14ac:dyDescent="0.25">
      <c r="A39" s="4"/>
      <c r="B39" s="9">
        <v>37</v>
      </c>
      <c r="C39" s="10">
        <v>1473234</v>
      </c>
      <c r="D39" s="10">
        <v>939801</v>
      </c>
      <c r="E39" s="10" t="s">
        <v>24</v>
      </c>
      <c r="F39" s="16">
        <v>45737</v>
      </c>
      <c r="G39" s="11" t="s">
        <v>25</v>
      </c>
      <c r="H39" s="4"/>
      <c r="I39" s="4"/>
      <c r="J39" s="4"/>
      <c r="K39" s="4"/>
      <c r="L39" s="4"/>
      <c r="M39" s="4"/>
      <c r="N39" s="4"/>
      <c r="O39" s="4"/>
      <c r="P39" s="4"/>
    </row>
    <row r="40" spans="1:16" x14ac:dyDescent="0.25">
      <c r="A40" s="4"/>
      <c r="B40" s="12">
        <v>38</v>
      </c>
      <c r="C40" s="13">
        <v>1474674</v>
      </c>
      <c r="D40" s="13">
        <v>948588</v>
      </c>
      <c r="E40" s="13" t="s">
        <v>24</v>
      </c>
      <c r="F40" s="14">
        <v>45740</v>
      </c>
      <c r="G40" s="15" t="s">
        <v>25</v>
      </c>
      <c r="H40" s="4"/>
      <c r="I40" s="4"/>
      <c r="J40" s="4"/>
      <c r="K40" s="4"/>
      <c r="L40" s="4"/>
      <c r="M40" s="4"/>
      <c r="N40" s="4"/>
      <c r="O40" s="4"/>
      <c r="P40" s="4"/>
    </row>
    <row r="41" spans="1:16" x14ac:dyDescent="0.25">
      <c r="A41" s="4"/>
      <c r="B41" s="9">
        <v>39</v>
      </c>
      <c r="C41" s="10">
        <v>1300514</v>
      </c>
      <c r="D41" s="10">
        <v>929912</v>
      </c>
      <c r="E41" s="10" t="s">
        <v>24</v>
      </c>
      <c r="F41" s="16">
        <v>45738</v>
      </c>
      <c r="G41" s="11" t="s">
        <v>25</v>
      </c>
      <c r="H41" s="4"/>
      <c r="I41" s="4"/>
      <c r="J41" s="4"/>
      <c r="K41" s="4"/>
      <c r="L41" s="4"/>
      <c r="M41" s="4"/>
      <c r="N41" s="4"/>
      <c r="O41" s="4"/>
      <c r="P41" s="4"/>
    </row>
    <row r="42" spans="1:16" x14ac:dyDescent="0.25">
      <c r="A42" s="4"/>
      <c r="B42" s="12">
        <v>40</v>
      </c>
      <c r="C42" s="13">
        <v>1473227</v>
      </c>
      <c r="D42" s="13">
        <v>928918</v>
      </c>
      <c r="E42" s="13" t="s">
        <v>24</v>
      </c>
      <c r="F42" s="14">
        <v>45756</v>
      </c>
      <c r="G42" s="15" t="s">
        <v>25</v>
      </c>
      <c r="H42" s="4"/>
      <c r="I42" s="4"/>
      <c r="J42" s="4"/>
      <c r="K42" s="4"/>
      <c r="L42" s="4"/>
      <c r="M42" s="4"/>
      <c r="N42" s="4"/>
      <c r="O42" s="4"/>
      <c r="P42" s="4"/>
    </row>
    <row r="43" spans="1:16" x14ac:dyDescent="0.25">
      <c r="A43" s="4"/>
      <c r="B43" s="9">
        <v>41</v>
      </c>
      <c r="C43" s="10">
        <v>1300515</v>
      </c>
      <c r="D43" s="10">
        <v>920939</v>
      </c>
      <c r="E43" s="10" t="s">
        <v>24</v>
      </c>
      <c r="F43" s="16">
        <v>45757</v>
      </c>
      <c r="G43" s="11" t="s">
        <v>25</v>
      </c>
      <c r="H43" s="4"/>
      <c r="I43" s="4"/>
      <c r="J43" s="4"/>
      <c r="K43" s="4"/>
      <c r="L43" s="4"/>
      <c r="M43" s="4"/>
      <c r="N43" s="4"/>
      <c r="O43" s="4"/>
      <c r="P43" s="4"/>
    </row>
    <row r="44" spans="1:16" x14ac:dyDescent="0.25">
      <c r="A44" s="4"/>
      <c r="B44" s="12">
        <v>42</v>
      </c>
      <c r="C44" s="13">
        <v>1476266</v>
      </c>
      <c r="D44" s="13">
        <v>909256</v>
      </c>
      <c r="E44" s="13" t="s">
        <v>24</v>
      </c>
      <c r="F44" s="14">
        <v>45747</v>
      </c>
      <c r="G44" s="15" t="s">
        <v>25</v>
      </c>
      <c r="H44" s="4"/>
      <c r="I44" s="4"/>
      <c r="J44" s="4"/>
      <c r="K44" s="4"/>
      <c r="L44" s="4"/>
      <c r="M44" s="4"/>
      <c r="N44" s="4"/>
      <c r="O44" s="4"/>
      <c r="P44" s="4"/>
    </row>
    <row r="45" spans="1:16" x14ac:dyDescent="0.25">
      <c r="A45" s="4"/>
      <c r="B45" s="9">
        <v>43</v>
      </c>
      <c r="C45" s="10">
        <v>1475468</v>
      </c>
      <c r="D45" s="10">
        <v>901280</v>
      </c>
      <c r="E45" s="10" t="s">
        <v>24</v>
      </c>
      <c r="F45" s="16">
        <v>45739</v>
      </c>
      <c r="G45" s="11" t="s">
        <v>25</v>
      </c>
      <c r="H45" s="4"/>
      <c r="I45" s="4"/>
      <c r="J45" s="4"/>
      <c r="K45" s="4"/>
      <c r="L45" s="4"/>
      <c r="M45" s="4"/>
      <c r="N45" s="4"/>
      <c r="O45" s="4"/>
      <c r="P45" s="4"/>
    </row>
    <row r="46" spans="1:16" x14ac:dyDescent="0.25">
      <c r="A46" s="4"/>
      <c r="B46" s="12">
        <v>44</v>
      </c>
      <c r="C46" s="13">
        <v>1473231</v>
      </c>
      <c r="D46" s="13">
        <v>886007</v>
      </c>
      <c r="E46" s="13" t="s">
        <v>24</v>
      </c>
      <c r="F46" s="14">
        <v>45735</v>
      </c>
      <c r="G46" s="15" t="s">
        <v>25</v>
      </c>
      <c r="H46" s="4"/>
      <c r="I46" s="4"/>
      <c r="J46" s="4"/>
      <c r="K46" s="4"/>
      <c r="L46" s="4"/>
      <c r="M46" s="4"/>
      <c r="N46" s="4"/>
      <c r="O46" s="4"/>
      <c r="P46" s="4"/>
    </row>
  </sheetData>
  <autoFilter ref="B2:G2" xr:uid="{CEE4E023-8F7C-4E2E-8046-DB8D7C799325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14E7-0563-467D-A7D7-AEBBB52D8DF1}">
  <sheetPr codeName="Hoja5">
    <tabColor rgb="FFFF0000"/>
  </sheetPr>
  <dimension ref="A1:O482"/>
  <sheetViews>
    <sheetView tabSelected="1" workbookViewId="0">
      <pane ySplit="2" topLeftCell="A279" activePane="bottomLeft" state="frozen"/>
      <selection activeCell="R368" sqref="R368"/>
      <selection pane="bottomLeft" activeCell="R368" sqref="R368"/>
    </sheetView>
  </sheetViews>
  <sheetFormatPr baseColWidth="10" defaultColWidth="9.140625" defaultRowHeight="15" x14ac:dyDescent="0.25"/>
  <cols>
    <col min="1" max="1" width="19.28515625" style="1" bestFit="1" customWidth="1"/>
    <col min="2" max="2" width="9" style="1" bestFit="1" customWidth="1"/>
    <col min="3" max="3" width="14.42578125" style="1" bestFit="1" customWidth="1"/>
    <col min="4" max="4" width="10.140625" style="1" bestFit="1" customWidth="1"/>
    <col min="5" max="5" width="10.7109375" style="1" bestFit="1" customWidth="1"/>
    <col min="6" max="6" width="10.42578125" style="1" bestFit="1" customWidth="1"/>
    <col min="7" max="7" width="12.7109375" style="1" bestFit="1" customWidth="1"/>
    <col min="8" max="8" width="9.85546875" style="1" bestFit="1" customWidth="1"/>
    <col min="9" max="9" width="7.7109375" style="1" bestFit="1" customWidth="1"/>
    <col min="10" max="10" width="17.85546875" style="1" bestFit="1" customWidth="1"/>
    <col min="11" max="11" width="11" style="1" bestFit="1" customWidth="1"/>
    <col min="12" max="12" width="6.5703125" style="1" bestFit="1" customWidth="1"/>
    <col min="13" max="13" width="6.28515625" style="1" bestFit="1" customWidth="1"/>
    <col min="14" max="14" width="8.140625" style="1" bestFit="1" customWidth="1"/>
    <col min="15" max="15" width="12.28515625" style="1" bestFit="1" customWidth="1"/>
    <col min="16" max="16" width="5" style="1" customWidth="1"/>
    <col min="17" max="16384" width="9.140625" style="1"/>
  </cols>
  <sheetData>
    <row r="1" spans="1:15" ht="24.95" customHeight="1" x14ac:dyDescent="0.25"/>
    <row r="2" spans="1:15" x14ac:dyDescent="0.25">
      <c r="A2" s="59" t="s">
        <v>0</v>
      </c>
      <c r="B2" s="59" t="s">
        <v>1</v>
      </c>
      <c r="C2" s="59" t="s">
        <v>2</v>
      </c>
      <c r="D2" s="59" t="s">
        <v>3</v>
      </c>
      <c r="E2" s="59" t="s">
        <v>4</v>
      </c>
      <c r="F2" s="59" t="s">
        <v>5</v>
      </c>
      <c r="G2" s="59" t="s">
        <v>6</v>
      </c>
      <c r="H2" s="59" t="s">
        <v>7</v>
      </c>
      <c r="I2" s="59" t="s">
        <v>8</v>
      </c>
      <c r="J2" s="59" t="s">
        <v>9</v>
      </c>
      <c r="K2" s="95" t="s">
        <v>26</v>
      </c>
      <c r="L2" s="59" t="s">
        <v>11</v>
      </c>
      <c r="M2" s="59" t="s">
        <v>12</v>
      </c>
      <c r="N2" s="59" t="s">
        <v>13</v>
      </c>
      <c r="O2" s="59" t="s">
        <v>14</v>
      </c>
    </row>
    <row r="3" spans="1:15" x14ac:dyDescent="0.25">
      <c r="A3" s="93" t="s">
        <v>27</v>
      </c>
      <c r="B3" s="36">
        <v>1</v>
      </c>
      <c r="C3" s="36">
        <v>1101557</v>
      </c>
      <c r="D3" s="52">
        <v>45756</v>
      </c>
      <c r="E3" s="36" t="s">
        <v>15</v>
      </c>
      <c r="F3" s="36" t="s">
        <v>28</v>
      </c>
      <c r="G3" s="65" t="s">
        <v>29</v>
      </c>
      <c r="H3" s="66" t="s">
        <v>30</v>
      </c>
      <c r="I3" s="67">
        <v>1</v>
      </c>
      <c r="J3" s="88" t="s">
        <v>31</v>
      </c>
      <c r="K3" s="37">
        <v>1</v>
      </c>
      <c r="L3" s="28">
        <v>0.05</v>
      </c>
      <c r="M3" s="19">
        <v>4.8</v>
      </c>
      <c r="N3" s="22">
        <f>TREN01[[#This Row],[T]]-TREN01[[#This Row],[H]]</f>
        <v>4.75</v>
      </c>
      <c r="O3" s="20" t="str">
        <f>IF(N3&lt;=0,"Critico",IF(N3&lt;=0.2,"Cambio",IF(N3&lt;=1,"Seguimiento",IF(L3&gt;=1.7,"Reperfilado","OK"))))</f>
        <v>OK</v>
      </c>
    </row>
    <row r="4" spans="1:15" x14ac:dyDescent="0.25">
      <c r="A4" s="91" t="s">
        <v>27</v>
      </c>
      <c r="B4" s="32">
        <v>1</v>
      </c>
      <c r="C4" s="32">
        <v>1101557</v>
      </c>
      <c r="D4" s="39">
        <v>45756</v>
      </c>
      <c r="E4" s="32" t="s">
        <v>15</v>
      </c>
      <c r="F4" s="32" t="str">
        <f t="shared" ref="F4:F18" si="0">F3</f>
        <v>M20</v>
      </c>
      <c r="G4" s="62" t="str">
        <f t="shared" ref="G4:G11" si="1">G3</f>
        <v>001</v>
      </c>
      <c r="H4" s="63" t="str">
        <f t="shared" ref="H4:H7" si="2">H3</f>
        <v>C1</v>
      </c>
      <c r="I4" s="64">
        <f t="shared" ref="I4:I6" si="3">I3</f>
        <v>1</v>
      </c>
      <c r="J4" s="88" t="s">
        <v>32</v>
      </c>
      <c r="K4" s="37">
        <v>1</v>
      </c>
      <c r="L4" s="27">
        <v>0.05</v>
      </c>
      <c r="M4" s="19">
        <v>2.59</v>
      </c>
      <c r="N4" s="22">
        <f>TREN01[[#This Row],[T]]-TREN01[[#This Row],[H]]</f>
        <v>2.54</v>
      </c>
      <c r="O4" s="20" t="str">
        <f t="shared" ref="O4:O67" si="4">IF(N4&lt;=0,"Critico",IF(N4&lt;=0.2,"Cambio",IF(N4&lt;=1,"Seguimiento",IF(L4&gt;=1.7,"Reperfilado","OK"))))</f>
        <v>OK</v>
      </c>
    </row>
    <row r="5" spans="1:15" x14ac:dyDescent="0.25">
      <c r="A5" s="91" t="s">
        <v>27</v>
      </c>
      <c r="B5" s="32">
        <v>1</v>
      </c>
      <c r="C5" s="32">
        <v>1101557</v>
      </c>
      <c r="D5" s="39">
        <v>45756</v>
      </c>
      <c r="E5" s="32" t="s">
        <v>15</v>
      </c>
      <c r="F5" s="32" t="str">
        <f t="shared" si="0"/>
        <v>M20</v>
      </c>
      <c r="G5" s="62" t="str">
        <f t="shared" si="1"/>
        <v>001</v>
      </c>
      <c r="H5" s="63" t="str">
        <f t="shared" si="2"/>
        <v>C1</v>
      </c>
      <c r="I5" s="64">
        <f t="shared" si="3"/>
        <v>1</v>
      </c>
      <c r="J5" s="88" t="s">
        <v>33</v>
      </c>
      <c r="K5" s="37">
        <v>2</v>
      </c>
      <c r="L5" s="27">
        <v>7.0000000000000007E-2</v>
      </c>
      <c r="M5" s="19">
        <v>2.3199999999999998</v>
      </c>
      <c r="N5" s="22">
        <f>TREN01[[#This Row],[T]]-TREN01[[#This Row],[H]]</f>
        <v>2.25</v>
      </c>
      <c r="O5" s="20" t="str">
        <f t="shared" si="4"/>
        <v>OK</v>
      </c>
    </row>
    <row r="6" spans="1:15" x14ac:dyDescent="0.25">
      <c r="A6" s="91" t="s">
        <v>27</v>
      </c>
      <c r="B6" s="32">
        <v>1</v>
      </c>
      <c r="C6" s="32">
        <v>1101557</v>
      </c>
      <c r="D6" s="39">
        <v>45756</v>
      </c>
      <c r="E6" s="32" t="s">
        <v>15</v>
      </c>
      <c r="F6" s="32" t="str">
        <f t="shared" si="0"/>
        <v>M20</v>
      </c>
      <c r="G6" s="62" t="str">
        <f t="shared" si="1"/>
        <v>001</v>
      </c>
      <c r="H6" s="63" t="str">
        <f t="shared" si="2"/>
        <v>C1</v>
      </c>
      <c r="I6" s="64">
        <f t="shared" si="3"/>
        <v>1</v>
      </c>
      <c r="J6" s="88" t="s">
        <v>34</v>
      </c>
      <c r="K6" s="37">
        <v>2</v>
      </c>
      <c r="L6" s="27">
        <v>0.69</v>
      </c>
      <c r="M6" s="19">
        <v>2.99</v>
      </c>
      <c r="N6" s="22">
        <f>TREN01[[#This Row],[T]]-TREN01[[#This Row],[H]]</f>
        <v>2.3000000000000003</v>
      </c>
      <c r="O6" s="20" t="str">
        <f t="shared" si="4"/>
        <v>OK</v>
      </c>
    </row>
    <row r="7" spans="1:15" x14ac:dyDescent="0.25">
      <c r="A7" s="91" t="s">
        <v>27</v>
      </c>
      <c r="B7" s="32">
        <v>1</v>
      </c>
      <c r="C7" s="32">
        <v>1101557</v>
      </c>
      <c r="D7" s="39">
        <v>45756</v>
      </c>
      <c r="E7" s="32" t="s">
        <v>15</v>
      </c>
      <c r="F7" s="32" t="str">
        <f t="shared" si="0"/>
        <v>M20</v>
      </c>
      <c r="G7" s="62" t="str">
        <f t="shared" si="1"/>
        <v>001</v>
      </c>
      <c r="H7" s="63" t="str">
        <f t="shared" si="2"/>
        <v>C1</v>
      </c>
      <c r="I7" s="64">
        <v>2</v>
      </c>
      <c r="J7" s="88" t="s">
        <v>35</v>
      </c>
      <c r="K7" s="37">
        <v>3</v>
      </c>
      <c r="L7" s="27">
        <v>0.18</v>
      </c>
      <c r="M7" s="19">
        <v>4.55</v>
      </c>
      <c r="N7" s="22">
        <f>TREN01[[#This Row],[T]]-TREN01[[#This Row],[H]]</f>
        <v>4.37</v>
      </c>
      <c r="O7" s="20" t="str">
        <f t="shared" si="4"/>
        <v>OK</v>
      </c>
    </row>
    <row r="8" spans="1:15" x14ac:dyDescent="0.25">
      <c r="A8" s="91" t="s">
        <v>27</v>
      </c>
      <c r="B8" s="32">
        <v>1</v>
      </c>
      <c r="C8" s="32">
        <v>1101557</v>
      </c>
      <c r="D8" s="39">
        <v>45756</v>
      </c>
      <c r="E8" s="32" t="s">
        <v>15</v>
      </c>
      <c r="F8" s="32" t="str">
        <f t="shared" si="0"/>
        <v>M20</v>
      </c>
      <c r="G8" s="62" t="str">
        <f t="shared" si="1"/>
        <v>001</v>
      </c>
      <c r="H8" s="63" t="str">
        <f t="shared" ref="H8:I10" si="5">H7</f>
        <v>C1</v>
      </c>
      <c r="I8" s="64">
        <f t="shared" si="5"/>
        <v>2</v>
      </c>
      <c r="J8" s="88" t="s">
        <v>36</v>
      </c>
      <c r="K8" s="37">
        <v>3</v>
      </c>
      <c r="L8" s="27">
        <v>0.28000000000000003</v>
      </c>
      <c r="M8" s="19">
        <v>3.74</v>
      </c>
      <c r="N8" s="22">
        <f>TREN01[[#This Row],[T]]-TREN01[[#This Row],[H]]</f>
        <v>3.46</v>
      </c>
      <c r="O8" s="20" t="str">
        <f t="shared" si="4"/>
        <v>OK</v>
      </c>
    </row>
    <row r="9" spans="1:15" x14ac:dyDescent="0.25">
      <c r="A9" s="91" t="s">
        <v>27</v>
      </c>
      <c r="B9" s="32">
        <v>1</v>
      </c>
      <c r="C9" s="32">
        <v>1101557</v>
      </c>
      <c r="D9" s="39">
        <v>45756</v>
      </c>
      <c r="E9" s="32" t="s">
        <v>15</v>
      </c>
      <c r="F9" s="32" t="str">
        <f t="shared" si="0"/>
        <v>M20</v>
      </c>
      <c r="G9" s="62" t="str">
        <f t="shared" si="1"/>
        <v>001</v>
      </c>
      <c r="H9" s="63" t="str">
        <f t="shared" si="5"/>
        <v>C1</v>
      </c>
      <c r="I9" s="64">
        <f t="shared" si="5"/>
        <v>2</v>
      </c>
      <c r="J9" s="88" t="s">
        <v>37</v>
      </c>
      <c r="K9" s="37">
        <v>4</v>
      </c>
      <c r="L9" s="27">
        <v>0.28999999999999998</v>
      </c>
      <c r="M9" s="19">
        <v>2.77</v>
      </c>
      <c r="N9" s="22">
        <f>TREN01[[#This Row],[T]]-TREN01[[#This Row],[H]]</f>
        <v>2.48</v>
      </c>
      <c r="O9" s="20" t="str">
        <f t="shared" si="4"/>
        <v>OK</v>
      </c>
    </row>
    <row r="10" spans="1:15" x14ac:dyDescent="0.25">
      <c r="A10" s="91" t="s">
        <v>27</v>
      </c>
      <c r="B10" s="32">
        <v>1</v>
      </c>
      <c r="C10" s="32">
        <v>1101557</v>
      </c>
      <c r="D10" s="39">
        <v>45756</v>
      </c>
      <c r="E10" s="32" t="s">
        <v>15</v>
      </c>
      <c r="F10" s="32" t="str">
        <f t="shared" si="0"/>
        <v>M20</v>
      </c>
      <c r="G10" s="62" t="str">
        <f t="shared" si="1"/>
        <v>001</v>
      </c>
      <c r="H10" s="63" t="str">
        <f t="shared" si="5"/>
        <v>C1</v>
      </c>
      <c r="I10" s="64">
        <f t="shared" si="5"/>
        <v>2</v>
      </c>
      <c r="J10" s="88" t="s">
        <v>38</v>
      </c>
      <c r="K10" s="37">
        <v>4</v>
      </c>
      <c r="L10" s="27">
        <v>0.95</v>
      </c>
      <c r="M10" s="19">
        <v>3.52</v>
      </c>
      <c r="N10" s="22">
        <f>TREN01[[#This Row],[T]]-TREN01[[#This Row],[H]]</f>
        <v>2.5700000000000003</v>
      </c>
      <c r="O10" s="20" t="str">
        <f t="shared" si="4"/>
        <v>OK</v>
      </c>
    </row>
    <row r="11" spans="1:15" x14ac:dyDescent="0.25">
      <c r="A11" s="91" t="s">
        <v>27</v>
      </c>
      <c r="B11" s="32">
        <v>1</v>
      </c>
      <c r="C11" s="32">
        <v>1101557</v>
      </c>
      <c r="D11" s="39">
        <v>45756</v>
      </c>
      <c r="E11" s="32" t="s">
        <v>15</v>
      </c>
      <c r="F11" s="32" t="str">
        <f t="shared" si="0"/>
        <v>M20</v>
      </c>
      <c r="G11" s="62" t="str">
        <f t="shared" si="1"/>
        <v>001</v>
      </c>
      <c r="H11" s="63" t="s">
        <v>39</v>
      </c>
      <c r="I11" s="64">
        <v>1</v>
      </c>
      <c r="J11" s="88" t="s">
        <v>31</v>
      </c>
      <c r="K11" s="37">
        <v>5</v>
      </c>
      <c r="L11" s="27">
        <v>0.2</v>
      </c>
      <c r="M11" s="19">
        <v>4.38</v>
      </c>
      <c r="N11" s="22">
        <f>TREN01[[#This Row],[T]]-TREN01[[#This Row],[H]]</f>
        <v>4.18</v>
      </c>
      <c r="O11" s="20" t="str">
        <f t="shared" si="4"/>
        <v>OK</v>
      </c>
    </row>
    <row r="12" spans="1:15" x14ac:dyDescent="0.25">
      <c r="A12" s="91" t="s">
        <v>27</v>
      </c>
      <c r="B12" s="32">
        <v>1</v>
      </c>
      <c r="C12" s="32">
        <v>1101557</v>
      </c>
      <c r="D12" s="39">
        <v>45756</v>
      </c>
      <c r="E12" s="32" t="s">
        <v>15</v>
      </c>
      <c r="F12" s="32" t="str">
        <f t="shared" si="0"/>
        <v>M20</v>
      </c>
      <c r="G12" s="62" t="str">
        <f t="shared" ref="G12:I14" si="6">G11</f>
        <v>001</v>
      </c>
      <c r="H12" s="63" t="str">
        <f t="shared" si="6"/>
        <v>C2</v>
      </c>
      <c r="I12" s="64">
        <f t="shared" si="6"/>
        <v>1</v>
      </c>
      <c r="J12" s="88" t="s">
        <v>32</v>
      </c>
      <c r="K12" s="37">
        <v>5</v>
      </c>
      <c r="L12" s="27">
        <v>0.1</v>
      </c>
      <c r="M12" s="19">
        <v>4.34</v>
      </c>
      <c r="N12" s="22">
        <f>TREN01[[#This Row],[T]]-TREN01[[#This Row],[H]]</f>
        <v>4.24</v>
      </c>
      <c r="O12" s="20" t="str">
        <f t="shared" si="4"/>
        <v>OK</v>
      </c>
    </row>
    <row r="13" spans="1:15" x14ac:dyDescent="0.25">
      <c r="A13" s="91" t="s">
        <v>27</v>
      </c>
      <c r="B13" s="32">
        <v>1</v>
      </c>
      <c r="C13" s="32">
        <v>1101557</v>
      </c>
      <c r="D13" s="39">
        <v>45756</v>
      </c>
      <c r="E13" s="32" t="s">
        <v>15</v>
      </c>
      <c r="F13" s="32" t="str">
        <f t="shared" si="0"/>
        <v>M20</v>
      </c>
      <c r="G13" s="62" t="str">
        <f t="shared" si="6"/>
        <v>001</v>
      </c>
      <c r="H13" s="63" t="str">
        <f t="shared" si="6"/>
        <v>C2</v>
      </c>
      <c r="I13" s="64">
        <f t="shared" si="6"/>
        <v>1</v>
      </c>
      <c r="J13" s="88" t="s">
        <v>33</v>
      </c>
      <c r="K13" s="37">
        <v>6</v>
      </c>
      <c r="L13" s="27">
        <v>0.56000000000000005</v>
      </c>
      <c r="M13" s="19">
        <v>3.57</v>
      </c>
      <c r="N13" s="22">
        <f>TREN01[[#This Row],[T]]-TREN01[[#This Row],[H]]</f>
        <v>3.01</v>
      </c>
      <c r="O13" s="20" t="str">
        <f t="shared" si="4"/>
        <v>OK</v>
      </c>
    </row>
    <row r="14" spans="1:15" x14ac:dyDescent="0.25">
      <c r="A14" s="91" t="s">
        <v>27</v>
      </c>
      <c r="B14" s="32">
        <v>1</v>
      </c>
      <c r="C14" s="32">
        <v>1101557</v>
      </c>
      <c r="D14" s="39">
        <v>45756</v>
      </c>
      <c r="E14" s="32" t="s">
        <v>15</v>
      </c>
      <c r="F14" s="32" t="str">
        <f t="shared" si="0"/>
        <v>M20</v>
      </c>
      <c r="G14" s="62" t="str">
        <f t="shared" si="6"/>
        <v>001</v>
      </c>
      <c r="H14" s="63" t="str">
        <f t="shared" si="6"/>
        <v>C2</v>
      </c>
      <c r="I14" s="64">
        <f t="shared" si="6"/>
        <v>1</v>
      </c>
      <c r="J14" s="88" t="s">
        <v>34</v>
      </c>
      <c r="K14" s="37">
        <v>6</v>
      </c>
      <c r="L14" s="27">
        <v>0.44</v>
      </c>
      <c r="M14" s="19">
        <v>3.24</v>
      </c>
      <c r="N14" s="22">
        <f>TREN01[[#This Row],[T]]-TREN01[[#This Row],[H]]</f>
        <v>2.8000000000000003</v>
      </c>
      <c r="O14" s="20" t="str">
        <f t="shared" si="4"/>
        <v>OK</v>
      </c>
    </row>
    <row r="15" spans="1:15" x14ac:dyDescent="0.25">
      <c r="A15" s="91" t="s">
        <v>27</v>
      </c>
      <c r="B15" s="32">
        <v>1</v>
      </c>
      <c r="C15" s="32">
        <v>1101557</v>
      </c>
      <c r="D15" s="39">
        <v>45756</v>
      </c>
      <c r="E15" s="32" t="s">
        <v>15</v>
      </c>
      <c r="F15" s="32" t="str">
        <f t="shared" si="0"/>
        <v>M20</v>
      </c>
      <c r="G15" s="62" t="str">
        <f t="shared" ref="G15:H15" si="7">G14</f>
        <v>001</v>
      </c>
      <c r="H15" s="63" t="str">
        <f t="shared" si="7"/>
        <v>C2</v>
      </c>
      <c r="I15" s="64">
        <v>2</v>
      </c>
      <c r="J15" s="88" t="s">
        <v>35</v>
      </c>
      <c r="K15" s="37">
        <v>7</v>
      </c>
      <c r="L15" s="27">
        <v>0.11</v>
      </c>
      <c r="M15" s="19">
        <v>4.87</v>
      </c>
      <c r="N15" s="22">
        <f>TREN01[[#This Row],[T]]-TREN01[[#This Row],[H]]</f>
        <v>4.76</v>
      </c>
      <c r="O15" s="20" t="str">
        <f t="shared" si="4"/>
        <v>OK</v>
      </c>
    </row>
    <row r="16" spans="1:15" x14ac:dyDescent="0.25">
      <c r="A16" s="91" t="s">
        <v>27</v>
      </c>
      <c r="B16" s="32">
        <v>1</v>
      </c>
      <c r="C16" s="32">
        <v>1101557</v>
      </c>
      <c r="D16" s="39">
        <v>45756</v>
      </c>
      <c r="E16" s="32" t="s">
        <v>15</v>
      </c>
      <c r="F16" s="32" t="str">
        <f t="shared" si="0"/>
        <v>M20</v>
      </c>
      <c r="G16" s="62" t="str">
        <f t="shared" ref="G16:I18" si="8">G15</f>
        <v>001</v>
      </c>
      <c r="H16" s="63" t="str">
        <f t="shared" si="8"/>
        <v>C2</v>
      </c>
      <c r="I16" s="64">
        <f t="shared" si="8"/>
        <v>2</v>
      </c>
      <c r="J16" s="88" t="s">
        <v>36</v>
      </c>
      <c r="K16" s="37">
        <v>7</v>
      </c>
      <c r="L16" s="27">
        <v>0.05</v>
      </c>
      <c r="M16" s="19">
        <v>4.24</v>
      </c>
      <c r="N16" s="22">
        <f>TREN01[[#This Row],[T]]-TREN01[[#This Row],[H]]</f>
        <v>4.1900000000000004</v>
      </c>
      <c r="O16" s="20" t="str">
        <f t="shared" si="4"/>
        <v>OK</v>
      </c>
    </row>
    <row r="17" spans="1:15" x14ac:dyDescent="0.25">
      <c r="A17" s="91" t="s">
        <v>27</v>
      </c>
      <c r="B17" s="32">
        <v>1</v>
      </c>
      <c r="C17" s="32">
        <v>1101557</v>
      </c>
      <c r="D17" s="39">
        <v>45756</v>
      </c>
      <c r="E17" s="32" t="s">
        <v>15</v>
      </c>
      <c r="F17" s="32" t="str">
        <f t="shared" si="0"/>
        <v>M20</v>
      </c>
      <c r="G17" s="62" t="str">
        <f t="shared" si="8"/>
        <v>001</v>
      </c>
      <c r="H17" s="63" t="str">
        <f t="shared" si="8"/>
        <v>C2</v>
      </c>
      <c r="I17" s="64">
        <f t="shared" si="8"/>
        <v>2</v>
      </c>
      <c r="J17" s="88" t="s">
        <v>37</v>
      </c>
      <c r="K17" s="37">
        <v>8</v>
      </c>
      <c r="L17" s="27">
        <v>0.39</v>
      </c>
      <c r="M17" s="19">
        <v>0.9</v>
      </c>
      <c r="N17" s="22">
        <f>TREN01[[#This Row],[T]]-TREN01[[#This Row],[H]]</f>
        <v>0.51</v>
      </c>
      <c r="O17" s="20" t="str">
        <f t="shared" si="4"/>
        <v>Seguimiento</v>
      </c>
    </row>
    <row r="18" spans="1:15" x14ac:dyDescent="0.25">
      <c r="A18" s="91" t="s">
        <v>27</v>
      </c>
      <c r="B18" s="32">
        <v>1</v>
      </c>
      <c r="C18" s="32">
        <v>1101557</v>
      </c>
      <c r="D18" s="39">
        <v>45756</v>
      </c>
      <c r="E18" s="32" t="s">
        <v>15</v>
      </c>
      <c r="F18" s="32" t="str">
        <f t="shared" si="0"/>
        <v>M20</v>
      </c>
      <c r="G18" s="62" t="str">
        <f t="shared" si="8"/>
        <v>001</v>
      </c>
      <c r="H18" s="63" t="str">
        <f t="shared" si="8"/>
        <v>C2</v>
      </c>
      <c r="I18" s="64">
        <f t="shared" si="8"/>
        <v>2</v>
      </c>
      <c r="J18" s="88" t="s">
        <v>38</v>
      </c>
      <c r="K18" s="37">
        <v>8</v>
      </c>
      <c r="L18" s="27">
        <v>0.11</v>
      </c>
      <c r="M18" s="19">
        <v>1.93</v>
      </c>
      <c r="N18" s="22">
        <f>TREN01[[#This Row],[T]]-TREN01[[#This Row],[H]]</f>
        <v>1.8199999999999998</v>
      </c>
      <c r="O18" s="20" t="str">
        <f t="shared" si="4"/>
        <v>OK</v>
      </c>
    </row>
    <row r="19" spans="1:15" x14ac:dyDescent="0.25">
      <c r="A19" s="91" t="s">
        <v>27</v>
      </c>
      <c r="B19" s="32">
        <v>1</v>
      </c>
      <c r="C19" s="32">
        <v>1101557</v>
      </c>
      <c r="D19" s="39">
        <v>45756</v>
      </c>
      <c r="E19" s="32" t="s">
        <v>15</v>
      </c>
      <c r="F19" s="32" t="s">
        <v>40</v>
      </c>
      <c r="G19" s="62" t="s">
        <v>41</v>
      </c>
      <c r="H19" s="63" t="s">
        <v>42</v>
      </c>
      <c r="I19" s="64">
        <v>1</v>
      </c>
      <c r="J19" s="88" t="s">
        <v>31</v>
      </c>
      <c r="K19" s="37">
        <v>9</v>
      </c>
      <c r="L19" s="27">
        <v>0.6</v>
      </c>
      <c r="M19" s="19">
        <v>4.37</v>
      </c>
      <c r="N19" s="22">
        <f>TREN01[[#This Row],[T]]-TREN01[[#This Row],[H]]</f>
        <v>3.77</v>
      </c>
      <c r="O19" s="20" t="str">
        <f t="shared" si="4"/>
        <v>OK</v>
      </c>
    </row>
    <row r="20" spans="1:15" x14ac:dyDescent="0.25">
      <c r="A20" s="91" t="s">
        <v>27</v>
      </c>
      <c r="B20" s="32">
        <v>1</v>
      </c>
      <c r="C20" s="32">
        <v>1101557</v>
      </c>
      <c r="D20" s="39">
        <v>45756</v>
      </c>
      <c r="E20" s="32" t="s">
        <v>15</v>
      </c>
      <c r="F20" s="32" t="str">
        <f t="shared" ref="F20:F34" si="9">F19</f>
        <v>M21</v>
      </c>
      <c r="G20" s="62" t="str">
        <f t="shared" ref="G20:G27" si="10">G19</f>
        <v>002</v>
      </c>
      <c r="H20" s="63" t="str">
        <f t="shared" ref="H20:H23" si="11">H19</f>
        <v>C3</v>
      </c>
      <c r="I20" s="64">
        <f t="shared" ref="I20:I22" si="12">I19</f>
        <v>1</v>
      </c>
      <c r="J20" s="88" t="s">
        <v>32</v>
      </c>
      <c r="K20" s="37">
        <v>9</v>
      </c>
      <c r="L20" s="27">
        <v>0.31</v>
      </c>
      <c r="M20" s="19">
        <v>3.26</v>
      </c>
      <c r="N20" s="22">
        <f>TREN01[[#This Row],[T]]-TREN01[[#This Row],[H]]</f>
        <v>2.9499999999999997</v>
      </c>
      <c r="O20" s="20" t="str">
        <f t="shared" si="4"/>
        <v>OK</v>
      </c>
    </row>
    <row r="21" spans="1:15" x14ac:dyDescent="0.25">
      <c r="A21" s="91" t="s">
        <v>27</v>
      </c>
      <c r="B21" s="32">
        <v>1</v>
      </c>
      <c r="C21" s="32">
        <v>1101557</v>
      </c>
      <c r="D21" s="39">
        <v>45756</v>
      </c>
      <c r="E21" s="32" t="s">
        <v>15</v>
      </c>
      <c r="F21" s="32" t="str">
        <f t="shared" si="9"/>
        <v>M21</v>
      </c>
      <c r="G21" s="62" t="str">
        <f t="shared" si="10"/>
        <v>002</v>
      </c>
      <c r="H21" s="63" t="str">
        <f t="shared" si="11"/>
        <v>C3</v>
      </c>
      <c r="I21" s="64">
        <f t="shared" si="12"/>
        <v>1</v>
      </c>
      <c r="J21" s="88" t="s">
        <v>33</v>
      </c>
      <c r="K21" s="37">
        <v>10</v>
      </c>
      <c r="L21" s="27">
        <v>0.9</v>
      </c>
      <c r="M21" s="19">
        <v>4.71</v>
      </c>
      <c r="N21" s="22">
        <f>TREN01[[#This Row],[T]]-TREN01[[#This Row],[H]]</f>
        <v>3.81</v>
      </c>
      <c r="O21" s="20" t="str">
        <f t="shared" si="4"/>
        <v>OK</v>
      </c>
    </row>
    <row r="22" spans="1:15" x14ac:dyDescent="0.25">
      <c r="A22" s="91" t="s">
        <v>27</v>
      </c>
      <c r="B22" s="32">
        <v>1</v>
      </c>
      <c r="C22" s="32">
        <v>1101557</v>
      </c>
      <c r="D22" s="39">
        <v>45756</v>
      </c>
      <c r="E22" s="32" t="s">
        <v>15</v>
      </c>
      <c r="F22" s="32" t="str">
        <f t="shared" si="9"/>
        <v>M21</v>
      </c>
      <c r="G22" s="62" t="str">
        <f t="shared" si="10"/>
        <v>002</v>
      </c>
      <c r="H22" s="63" t="str">
        <f t="shared" si="11"/>
        <v>C3</v>
      </c>
      <c r="I22" s="64">
        <f t="shared" si="12"/>
        <v>1</v>
      </c>
      <c r="J22" s="88" t="s">
        <v>34</v>
      </c>
      <c r="K22" s="37">
        <v>10</v>
      </c>
      <c r="L22" s="27">
        <v>0.62</v>
      </c>
      <c r="M22" s="19">
        <v>3.07</v>
      </c>
      <c r="N22" s="22">
        <f>TREN01[[#This Row],[T]]-TREN01[[#This Row],[H]]</f>
        <v>2.4499999999999997</v>
      </c>
      <c r="O22" s="20" t="str">
        <f t="shared" si="4"/>
        <v>OK</v>
      </c>
    </row>
    <row r="23" spans="1:15" x14ac:dyDescent="0.25">
      <c r="A23" s="91" t="s">
        <v>27</v>
      </c>
      <c r="B23" s="32">
        <v>1</v>
      </c>
      <c r="C23" s="32">
        <v>1101557</v>
      </c>
      <c r="D23" s="39">
        <v>45756</v>
      </c>
      <c r="E23" s="32" t="s">
        <v>15</v>
      </c>
      <c r="F23" s="32" t="str">
        <f t="shared" si="9"/>
        <v>M21</v>
      </c>
      <c r="G23" s="62" t="str">
        <f t="shared" si="10"/>
        <v>002</v>
      </c>
      <c r="H23" s="63" t="str">
        <f t="shared" si="11"/>
        <v>C3</v>
      </c>
      <c r="I23" s="64">
        <v>2</v>
      </c>
      <c r="J23" s="88" t="s">
        <v>35</v>
      </c>
      <c r="K23" s="37">
        <v>11</v>
      </c>
      <c r="L23" s="27">
        <v>0.08</v>
      </c>
      <c r="M23" s="19">
        <v>1.01</v>
      </c>
      <c r="N23" s="22">
        <f>TREN01[[#This Row],[T]]-TREN01[[#This Row],[H]]</f>
        <v>0.93</v>
      </c>
      <c r="O23" s="20" t="str">
        <f t="shared" si="4"/>
        <v>Seguimiento</v>
      </c>
    </row>
    <row r="24" spans="1:15" x14ac:dyDescent="0.25">
      <c r="A24" s="91" t="s">
        <v>27</v>
      </c>
      <c r="B24" s="32">
        <v>1</v>
      </c>
      <c r="C24" s="32">
        <v>1101557</v>
      </c>
      <c r="D24" s="39">
        <v>45756</v>
      </c>
      <c r="E24" s="32" t="s">
        <v>15</v>
      </c>
      <c r="F24" s="32" t="str">
        <f t="shared" si="9"/>
        <v>M21</v>
      </c>
      <c r="G24" s="62" t="str">
        <f t="shared" si="10"/>
        <v>002</v>
      </c>
      <c r="H24" s="63" t="str">
        <f t="shared" ref="H24:I26" si="13">H23</f>
        <v>C3</v>
      </c>
      <c r="I24" s="64">
        <f t="shared" si="13"/>
        <v>2</v>
      </c>
      <c r="J24" s="88" t="s">
        <v>36</v>
      </c>
      <c r="K24" s="37">
        <v>11</v>
      </c>
      <c r="L24" s="27">
        <v>0.32</v>
      </c>
      <c r="M24" s="19">
        <v>0.2</v>
      </c>
      <c r="N24" s="22">
        <f>TREN01[[#This Row],[T]]-TREN01[[#This Row],[H]]</f>
        <v>-0.12</v>
      </c>
      <c r="O24" s="20" t="str">
        <f t="shared" si="4"/>
        <v>Critico</v>
      </c>
    </row>
    <row r="25" spans="1:15" x14ac:dyDescent="0.25">
      <c r="A25" s="91" t="s">
        <v>27</v>
      </c>
      <c r="B25" s="32">
        <v>1</v>
      </c>
      <c r="C25" s="32">
        <v>1101557</v>
      </c>
      <c r="D25" s="39">
        <v>45756</v>
      </c>
      <c r="E25" s="32" t="s">
        <v>15</v>
      </c>
      <c r="F25" s="32" t="str">
        <f t="shared" si="9"/>
        <v>M21</v>
      </c>
      <c r="G25" s="62" t="str">
        <f t="shared" si="10"/>
        <v>002</v>
      </c>
      <c r="H25" s="63" t="str">
        <f t="shared" si="13"/>
        <v>C3</v>
      </c>
      <c r="I25" s="64">
        <f t="shared" si="13"/>
        <v>2</v>
      </c>
      <c r="J25" s="88" t="s">
        <v>37</v>
      </c>
      <c r="K25" s="37">
        <v>12</v>
      </c>
      <c r="L25" s="27">
        <v>0.23</v>
      </c>
      <c r="M25" s="19">
        <v>2.0499999999999998</v>
      </c>
      <c r="N25" s="22">
        <f>TREN01[[#This Row],[T]]-TREN01[[#This Row],[H]]</f>
        <v>1.8199999999999998</v>
      </c>
      <c r="O25" s="20" t="str">
        <f t="shared" si="4"/>
        <v>OK</v>
      </c>
    </row>
    <row r="26" spans="1:15" x14ac:dyDescent="0.25">
      <c r="A26" s="91" t="s">
        <v>27</v>
      </c>
      <c r="B26" s="32">
        <v>1</v>
      </c>
      <c r="C26" s="32">
        <v>1101557</v>
      </c>
      <c r="D26" s="39">
        <v>45756</v>
      </c>
      <c r="E26" s="32" t="s">
        <v>15</v>
      </c>
      <c r="F26" s="32" t="str">
        <f t="shared" si="9"/>
        <v>M21</v>
      </c>
      <c r="G26" s="62" t="str">
        <f t="shared" si="10"/>
        <v>002</v>
      </c>
      <c r="H26" s="63" t="str">
        <f t="shared" si="13"/>
        <v>C3</v>
      </c>
      <c r="I26" s="64">
        <f t="shared" si="13"/>
        <v>2</v>
      </c>
      <c r="J26" s="88" t="s">
        <v>38</v>
      </c>
      <c r="K26" s="37">
        <v>12</v>
      </c>
      <c r="L26" s="27">
        <v>0.92</v>
      </c>
      <c r="M26" s="19">
        <v>4.08</v>
      </c>
      <c r="N26" s="22">
        <f>TREN01[[#This Row],[T]]-TREN01[[#This Row],[H]]</f>
        <v>3.16</v>
      </c>
      <c r="O26" s="20" t="str">
        <f t="shared" si="4"/>
        <v>OK</v>
      </c>
    </row>
    <row r="27" spans="1:15" x14ac:dyDescent="0.25">
      <c r="A27" s="91" t="s">
        <v>27</v>
      </c>
      <c r="B27" s="32">
        <v>1</v>
      </c>
      <c r="C27" s="32">
        <v>1101557</v>
      </c>
      <c r="D27" s="39">
        <v>45756</v>
      </c>
      <c r="E27" s="32" t="s">
        <v>15</v>
      </c>
      <c r="F27" s="32" t="str">
        <f t="shared" si="9"/>
        <v>M21</v>
      </c>
      <c r="G27" s="62" t="str">
        <f t="shared" si="10"/>
        <v>002</v>
      </c>
      <c r="H27" s="63" t="s">
        <v>43</v>
      </c>
      <c r="I27" s="64">
        <v>1</v>
      </c>
      <c r="J27" s="88" t="s">
        <v>31</v>
      </c>
      <c r="K27" s="37">
        <v>13</v>
      </c>
      <c r="L27" s="27">
        <v>0.11</v>
      </c>
      <c r="M27" s="19">
        <v>4.92</v>
      </c>
      <c r="N27" s="22">
        <f>TREN01[[#This Row],[T]]-TREN01[[#This Row],[H]]</f>
        <v>4.8099999999999996</v>
      </c>
      <c r="O27" s="20" t="str">
        <f t="shared" si="4"/>
        <v>OK</v>
      </c>
    </row>
    <row r="28" spans="1:15" x14ac:dyDescent="0.25">
      <c r="A28" s="91" t="s">
        <v>27</v>
      </c>
      <c r="B28" s="32">
        <v>1</v>
      </c>
      <c r="C28" s="32">
        <v>1101557</v>
      </c>
      <c r="D28" s="39">
        <v>45756</v>
      </c>
      <c r="E28" s="32" t="s">
        <v>15</v>
      </c>
      <c r="F28" s="32" t="str">
        <f t="shared" si="9"/>
        <v>M21</v>
      </c>
      <c r="G28" s="62" t="str">
        <f t="shared" ref="G28:I30" si="14">G27</f>
        <v>002</v>
      </c>
      <c r="H28" s="63" t="str">
        <f t="shared" si="14"/>
        <v>C4</v>
      </c>
      <c r="I28" s="64">
        <f t="shared" si="14"/>
        <v>1</v>
      </c>
      <c r="J28" s="88" t="s">
        <v>32</v>
      </c>
      <c r="K28" s="37">
        <v>13</v>
      </c>
      <c r="L28" s="27">
        <v>0.05</v>
      </c>
      <c r="M28" s="19">
        <v>4.9400000000000004</v>
      </c>
      <c r="N28" s="22">
        <f>TREN01[[#This Row],[T]]-TREN01[[#This Row],[H]]</f>
        <v>4.8900000000000006</v>
      </c>
      <c r="O28" s="20" t="str">
        <f t="shared" si="4"/>
        <v>OK</v>
      </c>
    </row>
    <row r="29" spans="1:15" x14ac:dyDescent="0.25">
      <c r="A29" s="91" t="s">
        <v>27</v>
      </c>
      <c r="B29" s="32">
        <v>1</v>
      </c>
      <c r="C29" s="32">
        <v>1101557</v>
      </c>
      <c r="D29" s="39">
        <v>45756</v>
      </c>
      <c r="E29" s="32" t="s">
        <v>15</v>
      </c>
      <c r="F29" s="32" t="str">
        <f t="shared" si="9"/>
        <v>M21</v>
      </c>
      <c r="G29" s="62" t="str">
        <f t="shared" si="14"/>
        <v>002</v>
      </c>
      <c r="H29" s="63" t="str">
        <f t="shared" si="14"/>
        <v>C4</v>
      </c>
      <c r="I29" s="64">
        <f t="shared" si="14"/>
        <v>1</v>
      </c>
      <c r="J29" s="88" t="s">
        <v>33</v>
      </c>
      <c r="K29" s="37">
        <v>14</v>
      </c>
      <c r="L29" s="27">
        <v>0.06</v>
      </c>
      <c r="M29" s="19">
        <v>5.08</v>
      </c>
      <c r="N29" s="22">
        <f>TREN01[[#This Row],[T]]-TREN01[[#This Row],[H]]</f>
        <v>5.0200000000000005</v>
      </c>
      <c r="O29" s="20" t="str">
        <f t="shared" si="4"/>
        <v>OK</v>
      </c>
    </row>
    <row r="30" spans="1:15" x14ac:dyDescent="0.25">
      <c r="A30" s="91" t="s">
        <v>27</v>
      </c>
      <c r="B30" s="32">
        <v>1</v>
      </c>
      <c r="C30" s="32">
        <v>1101557</v>
      </c>
      <c r="D30" s="39">
        <v>45756</v>
      </c>
      <c r="E30" s="32" t="s">
        <v>15</v>
      </c>
      <c r="F30" s="32" t="str">
        <f t="shared" si="9"/>
        <v>M21</v>
      </c>
      <c r="G30" s="62" t="str">
        <f t="shared" si="14"/>
        <v>002</v>
      </c>
      <c r="H30" s="63" t="str">
        <f t="shared" si="14"/>
        <v>C4</v>
      </c>
      <c r="I30" s="64">
        <f t="shared" si="14"/>
        <v>1</v>
      </c>
      <c r="J30" s="88" t="s">
        <v>34</v>
      </c>
      <c r="K30" s="37">
        <v>14</v>
      </c>
      <c r="L30" s="27">
        <v>0.67</v>
      </c>
      <c r="M30" s="19">
        <v>3.12</v>
      </c>
      <c r="N30" s="22">
        <f>TREN01[[#This Row],[T]]-TREN01[[#This Row],[H]]</f>
        <v>2.4500000000000002</v>
      </c>
      <c r="O30" s="20" t="str">
        <f t="shared" si="4"/>
        <v>OK</v>
      </c>
    </row>
    <row r="31" spans="1:15" x14ac:dyDescent="0.25">
      <c r="A31" s="91" t="s">
        <v>27</v>
      </c>
      <c r="B31" s="32">
        <v>1</v>
      </c>
      <c r="C31" s="32">
        <v>1101557</v>
      </c>
      <c r="D31" s="39">
        <v>45756</v>
      </c>
      <c r="E31" s="32" t="s">
        <v>15</v>
      </c>
      <c r="F31" s="32" t="str">
        <f t="shared" si="9"/>
        <v>M21</v>
      </c>
      <c r="G31" s="62" t="str">
        <f t="shared" ref="G31:H31" si="15">G30</f>
        <v>002</v>
      </c>
      <c r="H31" s="63" t="str">
        <f t="shared" si="15"/>
        <v>C4</v>
      </c>
      <c r="I31" s="64">
        <v>2</v>
      </c>
      <c r="J31" s="88" t="s">
        <v>35</v>
      </c>
      <c r="K31" s="37">
        <v>15</v>
      </c>
      <c r="L31" s="27">
        <v>0.21</v>
      </c>
      <c r="M31" s="19">
        <v>1.91</v>
      </c>
      <c r="N31" s="22">
        <f>TREN01[[#This Row],[T]]-TREN01[[#This Row],[H]]</f>
        <v>1.7</v>
      </c>
      <c r="O31" s="20" t="str">
        <f t="shared" si="4"/>
        <v>OK</v>
      </c>
    </row>
    <row r="32" spans="1:15" x14ac:dyDescent="0.25">
      <c r="A32" s="91" t="s">
        <v>27</v>
      </c>
      <c r="B32" s="32">
        <v>1</v>
      </c>
      <c r="C32" s="32">
        <v>1101557</v>
      </c>
      <c r="D32" s="39">
        <v>45756</v>
      </c>
      <c r="E32" s="32" t="s">
        <v>15</v>
      </c>
      <c r="F32" s="32" t="str">
        <f t="shared" si="9"/>
        <v>M21</v>
      </c>
      <c r="G32" s="62" t="str">
        <f t="shared" ref="G32:I34" si="16">G31</f>
        <v>002</v>
      </c>
      <c r="H32" s="63" t="str">
        <f t="shared" si="16"/>
        <v>C4</v>
      </c>
      <c r="I32" s="64">
        <f t="shared" si="16"/>
        <v>2</v>
      </c>
      <c r="J32" s="88" t="s">
        <v>36</v>
      </c>
      <c r="K32" s="37">
        <v>15</v>
      </c>
      <c r="L32" s="27">
        <v>1.08</v>
      </c>
      <c r="M32" s="19">
        <v>4.38</v>
      </c>
      <c r="N32" s="22">
        <f>TREN01[[#This Row],[T]]-TREN01[[#This Row],[H]]</f>
        <v>3.3</v>
      </c>
      <c r="O32" s="20" t="str">
        <f t="shared" si="4"/>
        <v>OK</v>
      </c>
    </row>
    <row r="33" spans="1:15" x14ac:dyDescent="0.25">
      <c r="A33" s="91" t="s">
        <v>27</v>
      </c>
      <c r="B33" s="32">
        <v>1</v>
      </c>
      <c r="C33" s="32">
        <v>1101557</v>
      </c>
      <c r="D33" s="39">
        <v>45756</v>
      </c>
      <c r="E33" s="32" t="s">
        <v>15</v>
      </c>
      <c r="F33" s="32" t="str">
        <f t="shared" si="9"/>
        <v>M21</v>
      </c>
      <c r="G33" s="62" t="str">
        <f t="shared" si="16"/>
        <v>002</v>
      </c>
      <c r="H33" s="63" t="str">
        <f t="shared" si="16"/>
        <v>C4</v>
      </c>
      <c r="I33" s="64">
        <f t="shared" si="16"/>
        <v>2</v>
      </c>
      <c r="J33" s="88" t="s">
        <v>37</v>
      </c>
      <c r="K33" s="37">
        <v>16</v>
      </c>
      <c r="L33" s="27">
        <v>1.26</v>
      </c>
      <c r="M33" s="19">
        <v>3.24</v>
      </c>
      <c r="N33" s="22">
        <f>TREN01[[#This Row],[T]]-TREN01[[#This Row],[H]]</f>
        <v>1.9800000000000002</v>
      </c>
      <c r="O33" s="20" t="str">
        <f t="shared" si="4"/>
        <v>OK</v>
      </c>
    </row>
    <row r="34" spans="1:15" x14ac:dyDescent="0.25">
      <c r="A34" s="91" t="s">
        <v>27</v>
      </c>
      <c r="B34" s="32">
        <v>1</v>
      </c>
      <c r="C34" s="32">
        <v>1101557</v>
      </c>
      <c r="D34" s="39">
        <v>45756</v>
      </c>
      <c r="E34" s="32" t="s">
        <v>15</v>
      </c>
      <c r="F34" s="32" t="str">
        <f t="shared" si="9"/>
        <v>M21</v>
      </c>
      <c r="G34" s="62" t="str">
        <f t="shared" si="16"/>
        <v>002</v>
      </c>
      <c r="H34" s="63" t="str">
        <f t="shared" si="16"/>
        <v>C4</v>
      </c>
      <c r="I34" s="64">
        <f t="shared" si="16"/>
        <v>2</v>
      </c>
      <c r="J34" s="88" t="s">
        <v>38</v>
      </c>
      <c r="K34" s="37">
        <v>16</v>
      </c>
      <c r="L34" s="27">
        <v>0.69</v>
      </c>
      <c r="M34" s="19">
        <v>1.98</v>
      </c>
      <c r="N34" s="22">
        <f>TREN01[[#This Row],[T]]-TREN01[[#This Row],[H]]</f>
        <v>1.29</v>
      </c>
      <c r="O34" s="20" t="str">
        <f t="shared" si="4"/>
        <v>OK</v>
      </c>
    </row>
    <row r="35" spans="1:15" x14ac:dyDescent="0.25">
      <c r="A35" s="91" t="s">
        <v>27</v>
      </c>
      <c r="B35" s="32">
        <v>1</v>
      </c>
      <c r="C35" s="32">
        <v>1101557</v>
      </c>
      <c r="D35" s="39">
        <v>45756</v>
      </c>
      <c r="E35" s="32" t="s">
        <v>15</v>
      </c>
      <c r="F35" s="32" t="s">
        <v>44</v>
      </c>
      <c r="G35" s="62" t="s">
        <v>45</v>
      </c>
      <c r="H35" s="63" t="s">
        <v>46</v>
      </c>
      <c r="I35" s="64">
        <v>1</v>
      </c>
      <c r="J35" s="88" t="s">
        <v>31</v>
      </c>
      <c r="K35" s="37">
        <v>17</v>
      </c>
      <c r="L35" s="27">
        <v>0.38</v>
      </c>
      <c r="M35" s="19">
        <v>1.99</v>
      </c>
      <c r="N35" s="22">
        <f>TREN01[[#This Row],[T]]-TREN01[[#This Row],[H]]</f>
        <v>1.6099999999999999</v>
      </c>
      <c r="O35" s="20" t="str">
        <f t="shared" si="4"/>
        <v>OK</v>
      </c>
    </row>
    <row r="36" spans="1:15" x14ac:dyDescent="0.25">
      <c r="A36" s="91" t="s">
        <v>27</v>
      </c>
      <c r="B36" s="32">
        <v>1</v>
      </c>
      <c r="C36" s="32">
        <v>1101557</v>
      </c>
      <c r="D36" s="39">
        <v>45756</v>
      </c>
      <c r="E36" s="32" t="s">
        <v>15</v>
      </c>
      <c r="F36" s="32" t="str">
        <f t="shared" ref="F36:F50" si="17">F35</f>
        <v>M22</v>
      </c>
      <c r="G36" s="62" t="str">
        <f t="shared" ref="G36:G43" si="18">G35</f>
        <v>302</v>
      </c>
      <c r="H36" s="63" t="str">
        <f t="shared" ref="H36:H39" si="19">H35</f>
        <v>C5</v>
      </c>
      <c r="I36" s="64">
        <f t="shared" ref="I36:I38" si="20">I35</f>
        <v>1</v>
      </c>
      <c r="J36" s="88" t="s">
        <v>32</v>
      </c>
      <c r="K36" s="37">
        <v>17</v>
      </c>
      <c r="L36" s="27">
        <v>1.03</v>
      </c>
      <c r="M36" s="19">
        <v>4.12</v>
      </c>
      <c r="N36" s="22">
        <f>TREN01[[#This Row],[T]]-TREN01[[#This Row],[H]]</f>
        <v>3.09</v>
      </c>
      <c r="O36" s="20" t="str">
        <f t="shared" si="4"/>
        <v>OK</v>
      </c>
    </row>
    <row r="37" spans="1:15" x14ac:dyDescent="0.25">
      <c r="A37" s="91" t="s">
        <v>27</v>
      </c>
      <c r="B37" s="32">
        <v>1</v>
      </c>
      <c r="C37" s="32">
        <v>1101557</v>
      </c>
      <c r="D37" s="39">
        <v>45756</v>
      </c>
      <c r="E37" s="32" t="s">
        <v>15</v>
      </c>
      <c r="F37" s="32" t="str">
        <f t="shared" si="17"/>
        <v>M22</v>
      </c>
      <c r="G37" s="62" t="str">
        <f t="shared" si="18"/>
        <v>302</v>
      </c>
      <c r="H37" s="63" t="str">
        <f t="shared" si="19"/>
        <v>C5</v>
      </c>
      <c r="I37" s="64">
        <f t="shared" si="20"/>
        <v>1</v>
      </c>
      <c r="J37" s="88" t="s">
        <v>33</v>
      </c>
      <c r="K37" s="37">
        <v>18</v>
      </c>
      <c r="L37" s="27">
        <v>0.56000000000000005</v>
      </c>
      <c r="M37" s="19">
        <v>4.53</v>
      </c>
      <c r="N37" s="22">
        <f>TREN01[[#This Row],[T]]-TREN01[[#This Row],[H]]</f>
        <v>3.97</v>
      </c>
      <c r="O37" s="20" t="str">
        <f t="shared" si="4"/>
        <v>OK</v>
      </c>
    </row>
    <row r="38" spans="1:15" x14ac:dyDescent="0.25">
      <c r="A38" s="91" t="s">
        <v>27</v>
      </c>
      <c r="B38" s="32">
        <v>1</v>
      </c>
      <c r="C38" s="32">
        <v>1101557</v>
      </c>
      <c r="D38" s="39">
        <v>45756</v>
      </c>
      <c r="E38" s="32" t="s">
        <v>15</v>
      </c>
      <c r="F38" s="32" t="str">
        <f t="shared" si="17"/>
        <v>M22</v>
      </c>
      <c r="G38" s="62" t="str">
        <f t="shared" si="18"/>
        <v>302</v>
      </c>
      <c r="H38" s="63" t="str">
        <f t="shared" si="19"/>
        <v>C5</v>
      </c>
      <c r="I38" s="64">
        <f t="shared" si="20"/>
        <v>1</v>
      </c>
      <c r="J38" s="88" t="s">
        <v>34</v>
      </c>
      <c r="K38" s="37">
        <v>18</v>
      </c>
      <c r="L38" s="27">
        <v>0.61</v>
      </c>
      <c r="M38" s="19">
        <v>0.97</v>
      </c>
      <c r="N38" s="22">
        <f>TREN01[[#This Row],[T]]-TREN01[[#This Row],[H]]</f>
        <v>0.36</v>
      </c>
      <c r="O38" s="20" t="str">
        <f t="shared" si="4"/>
        <v>Seguimiento</v>
      </c>
    </row>
    <row r="39" spans="1:15" x14ac:dyDescent="0.25">
      <c r="A39" s="91" t="s">
        <v>27</v>
      </c>
      <c r="B39" s="32">
        <v>1</v>
      </c>
      <c r="C39" s="32">
        <v>1101557</v>
      </c>
      <c r="D39" s="39">
        <v>45756</v>
      </c>
      <c r="E39" s="32" t="s">
        <v>15</v>
      </c>
      <c r="F39" s="32" t="str">
        <f t="shared" si="17"/>
        <v>M22</v>
      </c>
      <c r="G39" s="62" t="str">
        <f t="shared" si="18"/>
        <v>302</v>
      </c>
      <c r="H39" s="63" t="str">
        <f t="shared" si="19"/>
        <v>C5</v>
      </c>
      <c r="I39" s="64">
        <v>2</v>
      </c>
      <c r="J39" s="88" t="s">
        <v>35</v>
      </c>
      <c r="K39" s="37">
        <v>19</v>
      </c>
      <c r="L39" s="27">
        <v>0.59</v>
      </c>
      <c r="M39" s="19">
        <v>5.04</v>
      </c>
      <c r="N39" s="22">
        <f>TREN01[[#This Row],[T]]-TREN01[[#This Row],[H]]</f>
        <v>4.45</v>
      </c>
      <c r="O39" s="20" t="str">
        <f t="shared" si="4"/>
        <v>OK</v>
      </c>
    </row>
    <row r="40" spans="1:15" x14ac:dyDescent="0.25">
      <c r="A40" s="91" t="s">
        <v>27</v>
      </c>
      <c r="B40" s="32">
        <v>1</v>
      </c>
      <c r="C40" s="32">
        <v>1101557</v>
      </c>
      <c r="D40" s="39">
        <v>45756</v>
      </c>
      <c r="E40" s="32" t="s">
        <v>15</v>
      </c>
      <c r="F40" s="32" t="str">
        <f t="shared" si="17"/>
        <v>M22</v>
      </c>
      <c r="G40" s="62" t="str">
        <f t="shared" si="18"/>
        <v>302</v>
      </c>
      <c r="H40" s="63" t="str">
        <f t="shared" ref="H40:I42" si="21">H39</f>
        <v>C5</v>
      </c>
      <c r="I40" s="64">
        <f t="shared" si="21"/>
        <v>2</v>
      </c>
      <c r="J40" s="88" t="s">
        <v>36</v>
      </c>
      <c r="K40" s="37">
        <v>19</v>
      </c>
      <c r="L40" s="27">
        <v>1.27</v>
      </c>
      <c r="M40" s="19">
        <v>4.83</v>
      </c>
      <c r="N40" s="22">
        <f>TREN01[[#This Row],[T]]-TREN01[[#This Row],[H]]</f>
        <v>3.56</v>
      </c>
      <c r="O40" s="20" t="str">
        <f t="shared" si="4"/>
        <v>OK</v>
      </c>
    </row>
    <row r="41" spans="1:15" x14ac:dyDescent="0.25">
      <c r="A41" s="91" t="s">
        <v>27</v>
      </c>
      <c r="B41" s="32">
        <v>1</v>
      </c>
      <c r="C41" s="32">
        <v>1101557</v>
      </c>
      <c r="D41" s="39">
        <v>45756</v>
      </c>
      <c r="E41" s="32" t="s">
        <v>15</v>
      </c>
      <c r="F41" s="32" t="str">
        <f t="shared" si="17"/>
        <v>M22</v>
      </c>
      <c r="G41" s="62" t="str">
        <f t="shared" si="18"/>
        <v>302</v>
      </c>
      <c r="H41" s="63" t="str">
        <f t="shared" si="21"/>
        <v>C5</v>
      </c>
      <c r="I41" s="64">
        <f t="shared" si="21"/>
        <v>2</v>
      </c>
      <c r="J41" s="88" t="s">
        <v>37</v>
      </c>
      <c r="K41" s="37">
        <v>20</v>
      </c>
      <c r="L41" s="27">
        <v>0.22</v>
      </c>
      <c r="M41" s="19">
        <v>1.5</v>
      </c>
      <c r="N41" s="22">
        <f>TREN01[[#This Row],[T]]-TREN01[[#This Row],[H]]</f>
        <v>1.28</v>
      </c>
      <c r="O41" s="20" t="str">
        <f t="shared" si="4"/>
        <v>OK</v>
      </c>
    </row>
    <row r="42" spans="1:15" x14ac:dyDescent="0.25">
      <c r="A42" s="91" t="s">
        <v>27</v>
      </c>
      <c r="B42" s="32">
        <v>1</v>
      </c>
      <c r="C42" s="32">
        <v>1101557</v>
      </c>
      <c r="D42" s="39">
        <v>45756</v>
      </c>
      <c r="E42" s="32" t="s">
        <v>15</v>
      </c>
      <c r="F42" s="32" t="str">
        <f t="shared" si="17"/>
        <v>M22</v>
      </c>
      <c r="G42" s="62" t="str">
        <f t="shared" si="18"/>
        <v>302</v>
      </c>
      <c r="H42" s="63" t="str">
        <f t="shared" si="21"/>
        <v>C5</v>
      </c>
      <c r="I42" s="64">
        <f t="shared" si="21"/>
        <v>2</v>
      </c>
      <c r="J42" s="88" t="s">
        <v>38</v>
      </c>
      <c r="K42" s="37">
        <v>20</v>
      </c>
      <c r="L42" s="27">
        <v>0.44</v>
      </c>
      <c r="M42" s="19">
        <v>4.76</v>
      </c>
      <c r="N42" s="22">
        <f>TREN01[[#This Row],[T]]-TREN01[[#This Row],[H]]</f>
        <v>4.3199999999999994</v>
      </c>
      <c r="O42" s="20" t="str">
        <f t="shared" si="4"/>
        <v>OK</v>
      </c>
    </row>
    <row r="43" spans="1:15" x14ac:dyDescent="0.25">
      <c r="A43" s="91" t="s">
        <v>27</v>
      </c>
      <c r="B43" s="32">
        <v>1</v>
      </c>
      <c r="C43" s="32">
        <v>1101557</v>
      </c>
      <c r="D43" s="39">
        <v>45756</v>
      </c>
      <c r="E43" s="32" t="s">
        <v>15</v>
      </c>
      <c r="F43" s="32" t="str">
        <f t="shared" si="17"/>
        <v>M22</v>
      </c>
      <c r="G43" s="62" t="str">
        <f t="shared" si="18"/>
        <v>302</v>
      </c>
      <c r="H43" s="63" t="s">
        <v>47</v>
      </c>
      <c r="I43" s="64">
        <v>1</v>
      </c>
      <c r="J43" s="88" t="s">
        <v>31</v>
      </c>
      <c r="K43" s="37">
        <v>21</v>
      </c>
      <c r="L43" s="27">
        <v>0.63</v>
      </c>
      <c r="M43" s="19">
        <v>1.08</v>
      </c>
      <c r="N43" s="22">
        <f>TREN01[[#This Row],[T]]-TREN01[[#This Row],[H]]</f>
        <v>0.45000000000000007</v>
      </c>
      <c r="O43" s="20" t="str">
        <f t="shared" si="4"/>
        <v>Seguimiento</v>
      </c>
    </row>
    <row r="44" spans="1:15" x14ac:dyDescent="0.25">
      <c r="A44" s="91" t="s">
        <v>27</v>
      </c>
      <c r="B44" s="32">
        <v>1</v>
      </c>
      <c r="C44" s="32">
        <v>1101557</v>
      </c>
      <c r="D44" s="39">
        <v>45756</v>
      </c>
      <c r="E44" s="32" t="s">
        <v>15</v>
      </c>
      <c r="F44" s="32" t="str">
        <f t="shared" si="17"/>
        <v>M22</v>
      </c>
      <c r="G44" s="62" t="str">
        <f t="shared" ref="G44:I46" si="22">G43</f>
        <v>302</v>
      </c>
      <c r="H44" s="63" t="str">
        <f t="shared" si="22"/>
        <v>C6</v>
      </c>
      <c r="I44" s="64">
        <f t="shared" si="22"/>
        <v>1</v>
      </c>
      <c r="J44" s="88" t="s">
        <v>32</v>
      </c>
      <c r="K44" s="37">
        <v>21</v>
      </c>
      <c r="L44" s="27">
        <v>0.5</v>
      </c>
      <c r="M44" s="19">
        <v>4.9000000000000004</v>
      </c>
      <c r="N44" s="22">
        <f>TREN01[[#This Row],[T]]-TREN01[[#This Row],[H]]</f>
        <v>4.4000000000000004</v>
      </c>
      <c r="O44" s="20" t="str">
        <f t="shared" si="4"/>
        <v>OK</v>
      </c>
    </row>
    <row r="45" spans="1:15" x14ac:dyDescent="0.25">
      <c r="A45" s="91" t="s">
        <v>27</v>
      </c>
      <c r="B45" s="32">
        <v>1</v>
      </c>
      <c r="C45" s="32">
        <v>1101557</v>
      </c>
      <c r="D45" s="39">
        <v>45756</v>
      </c>
      <c r="E45" s="32" t="s">
        <v>15</v>
      </c>
      <c r="F45" s="32" t="str">
        <f t="shared" si="17"/>
        <v>M22</v>
      </c>
      <c r="G45" s="62" t="str">
        <f t="shared" si="22"/>
        <v>302</v>
      </c>
      <c r="H45" s="63" t="str">
        <f t="shared" si="22"/>
        <v>C6</v>
      </c>
      <c r="I45" s="64">
        <f t="shared" si="22"/>
        <v>1</v>
      </c>
      <c r="J45" s="88" t="s">
        <v>33</v>
      </c>
      <c r="K45" s="37">
        <v>22</v>
      </c>
      <c r="L45" s="27">
        <v>1.32</v>
      </c>
      <c r="M45" s="19">
        <v>2.2999999999999998</v>
      </c>
      <c r="N45" s="22">
        <f>TREN01[[#This Row],[T]]-TREN01[[#This Row],[H]]</f>
        <v>0.97999999999999976</v>
      </c>
      <c r="O45" s="20" t="str">
        <f t="shared" si="4"/>
        <v>Seguimiento</v>
      </c>
    </row>
    <row r="46" spans="1:15" x14ac:dyDescent="0.25">
      <c r="A46" s="91" t="s">
        <v>27</v>
      </c>
      <c r="B46" s="32">
        <v>1</v>
      </c>
      <c r="C46" s="32">
        <v>1101557</v>
      </c>
      <c r="D46" s="39">
        <v>45756</v>
      </c>
      <c r="E46" s="32" t="s">
        <v>15</v>
      </c>
      <c r="F46" s="32" t="str">
        <f t="shared" si="17"/>
        <v>M22</v>
      </c>
      <c r="G46" s="62" t="str">
        <f t="shared" si="22"/>
        <v>302</v>
      </c>
      <c r="H46" s="63" t="str">
        <f t="shared" si="22"/>
        <v>C6</v>
      </c>
      <c r="I46" s="64">
        <f t="shared" si="22"/>
        <v>1</v>
      </c>
      <c r="J46" s="88" t="s">
        <v>34</v>
      </c>
      <c r="K46" s="37">
        <v>22</v>
      </c>
      <c r="L46" s="27">
        <v>1.3</v>
      </c>
      <c r="M46" s="19">
        <v>1.99</v>
      </c>
      <c r="N46" s="22">
        <f>TREN01[[#This Row],[T]]-TREN01[[#This Row],[H]]</f>
        <v>0.69</v>
      </c>
      <c r="O46" s="20" t="str">
        <f t="shared" si="4"/>
        <v>Seguimiento</v>
      </c>
    </row>
    <row r="47" spans="1:15" x14ac:dyDescent="0.25">
      <c r="A47" s="91" t="s">
        <v>27</v>
      </c>
      <c r="B47" s="32">
        <v>1</v>
      </c>
      <c r="C47" s="32">
        <v>1101557</v>
      </c>
      <c r="D47" s="39">
        <v>45756</v>
      </c>
      <c r="E47" s="32" t="s">
        <v>15</v>
      </c>
      <c r="F47" s="32" t="str">
        <f t="shared" si="17"/>
        <v>M22</v>
      </c>
      <c r="G47" s="62" t="str">
        <f t="shared" ref="G47:H47" si="23">G46</f>
        <v>302</v>
      </c>
      <c r="H47" s="63" t="str">
        <f t="shared" si="23"/>
        <v>C6</v>
      </c>
      <c r="I47" s="64">
        <v>2</v>
      </c>
      <c r="J47" s="88" t="s">
        <v>35</v>
      </c>
      <c r="K47" s="37">
        <v>23</v>
      </c>
      <c r="L47" s="27">
        <v>1.03</v>
      </c>
      <c r="M47" s="19">
        <v>4.87</v>
      </c>
      <c r="N47" s="22">
        <f>TREN01[[#This Row],[T]]-TREN01[[#This Row],[H]]</f>
        <v>3.84</v>
      </c>
      <c r="O47" s="20" t="str">
        <f t="shared" si="4"/>
        <v>OK</v>
      </c>
    </row>
    <row r="48" spans="1:15" x14ac:dyDescent="0.25">
      <c r="A48" s="91" t="s">
        <v>27</v>
      </c>
      <c r="B48" s="32">
        <v>1</v>
      </c>
      <c r="C48" s="32">
        <v>1101557</v>
      </c>
      <c r="D48" s="39">
        <v>45756</v>
      </c>
      <c r="E48" s="32" t="s">
        <v>15</v>
      </c>
      <c r="F48" s="32" t="str">
        <f t="shared" si="17"/>
        <v>M22</v>
      </c>
      <c r="G48" s="62" t="str">
        <f t="shared" ref="G48:I50" si="24">G47</f>
        <v>302</v>
      </c>
      <c r="H48" s="63" t="str">
        <f t="shared" si="24"/>
        <v>C6</v>
      </c>
      <c r="I48" s="64">
        <f t="shared" si="24"/>
        <v>2</v>
      </c>
      <c r="J48" s="88" t="s">
        <v>36</v>
      </c>
      <c r="K48" s="37">
        <v>23</v>
      </c>
      <c r="L48" s="27">
        <v>0.51</v>
      </c>
      <c r="M48" s="19">
        <v>4.99</v>
      </c>
      <c r="N48" s="22">
        <f>TREN01[[#This Row],[T]]-TREN01[[#This Row],[H]]</f>
        <v>4.4800000000000004</v>
      </c>
      <c r="O48" s="20" t="str">
        <f t="shared" si="4"/>
        <v>OK</v>
      </c>
    </row>
    <row r="49" spans="1:15" x14ac:dyDescent="0.25">
      <c r="A49" s="91" t="s">
        <v>27</v>
      </c>
      <c r="B49" s="32">
        <v>1</v>
      </c>
      <c r="C49" s="32">
        <v>1101557</v>
      </c>
      <c r="D49" s="39">
        <v>45756</v>
      </c>
      <c r="E49" s="32" t="s">
        <v>15</v>
      </c>
      <c r="F49" s="32" t="str">
        <f t="shared" si="17"/>
        <v>M22</v>
      </c>
      <c r="G49" s="62" t="str">
        <f t="shared" si="24"/>
        <v>302</v>
      </c>
      <c r="H49" s="63" t="str">
        <f t="shared" si="24"/>
        <v>C6</v>
      </c>
      <c r="I49" s="64">
        <f t="shared" si="24"/>
        <v>2</v>
      </c>
      <c r="J49" s="88" t="s">
        <v>37</v>
      </c>
      <c r="K49" s="37">
        <v>24</v>
      </c>
      <c r="L49" s="27">
        <v>1.62</v>
      </c>
      <c r="M49" s="19">
        <v>3.22</v>
      </c>
      <c r="N49" s="22">
        <f>TREN01[[#This Row],[T]]-TREN01[[#This Row],[H]]</f>
        <v>1.6</v>
      </c>
      <c r="O49" s="20" t="str">
        <f t="shared" si="4"/>
        <v>OK</v>
      </c>
    </row>
    <row r="50" spans="1:15" x14ac:dyDescent="0.25">
      <c r="A50" s="91" t="s">
        <v>27</v>
      </c>
      <c r="B50" s="32">
        <v>1</v>
      </c>
      <c r="C50" s="32">
        <v>1101557</v>
      </c>
      <c r="D50" s="39">
        <v>45756</v>
      </c>
      <c r="E50" s="32" t="s">
        <v>15</v>
      </c>
      <c r="F50" s="32" t="str">
        <f t="shared" si="17"/>
        <v>M22</v>
      </c>
      <c r="G50" s="62" t="str">
        <f t="shared" si="24"/>
        <v>302</v>
      </c>
      <c r="H50" s="63" t="str">
        <f t="shared" si="24"/>
        <v>C6</v>
      </c>
      <c r="I50" s="64">
        <f t="shared" si="24"/>
        <v>2</v>
      </c>
      <c r="J50" s="88" t="s">
        <v>38</v>
      </c>
      <c r="K50" s="37">
        <v>24</v>
      </c>
      <c r="L50" s="27">
        <v>0.71</v>
      </c>
      <c r="M50" s="19">
        <v>4.8899999999999997</v>
      </c>
      <c r="N50" s="22">
        <f>TREN01[[#This Row],[T]]-TREN01[[#This Row],[H]]</f>
        <v>4.18</v>
      </c>
      <c r="O50" s="20" t="str">
        <f t="shared" si="4"/>
        <v>OK</v>
      </c>
    </row>
    <row r="51" spans="1:15" x14ac:dyDescent="0.25">
      <c r="A51" s="91" t="s">
        <v>27</v>
      </c>
      <c r="B51" s="32">
        <v>1</v>
      </c>
      <c r="C51" s="32">
        <v>1101557</v>
      </c>
      <c r="D51" s="39">
        <v>45756</v>
      </c>
      <c r="E51" s="32" t="s">
        <v>15</v>
      </c>
      <c r="F51" s="32" t="s">
        <v>44</v>
      </c>
      <c r="G51" s="62" t="s">
        <v>48</v>
      </c>
      <c r="H51" s="63" t="s">
        <v>47</v>
      </c>
      <c r="I51" s="64">
        <v>2</v>
      </c>
      <c r="J51" s="88" t="s">
        <v>31</v>
      </c>
      <c r="K51" s="37">
        <v>25</v>
      </c>
      <c r="L51" s="27">
        <v>0.53</v>
      </c>
      <c r="M51" s="19">
        <v>4.9800000000000004</v>
      </c>
      <c r="N51" s="22">
        <f>TREN01[[#This Row],[T]]-TREN01[[#This Row],[H]]</f>
        <v>4.45</v>
      </c>
      <c r="O51" s="20" t="str">
        <f t="shared" si="4"/>
        <v>OK</v>
      </c>
    </row>
    <row r="52" spans="1:15" x14ac:dyDescent="0.25">
      <c r="A52" s="91" t="s">
        <v>27</v>
      </c>
      <c r="B52" s="32">
        <v>1</v>
      </c>
      <c r="C52" s="32">
        <v>1101557</v>
      </c>
      <c r="D52" s="39">
        <v>45756</v>
      </c>
      <c r="E52" s="32" t="s">
        <v>15</v>
      </c>
      <c r="F52" s="32" t="str">
        <f t="shared" ref="F52:F66" si="25">F51</f>
        <v>M22</v>
      </c>
      <c r="G52" s="62" t="str">
        <f t="shared" ref="G52:G59" si="26">G51</f>
        <v>301</v>
      </c>
      <c r="H52" s="63" t="str">
        <f t="shared" ref="H52:H55" si="27">H51</f>
        <v>C6</v>
      </c>
      <c r="I52" s="64">
        <f t="shared" ref="I52:I54" si="28">I51</f>
        <v>2</v>
      </c>
      <c r="J52" s="88" t="s">
        <v>32</v>
      </c>
      <c r="K52" s="37">
        <v>25</v>
      </c>
      <c r="L52" s="27">
        <v>0.6</v>
      </c>
      <c r="M52" s="19">
        <v>2.41</v>
      </c>
      <c r="N52" s="22">
        <f>TREN01[[#This Row],[T]]-TREN01[[#This Row],[H]]</f>
        <v>1.81</v>
      </c>
      <c r="O52" s="20" t="str">
        <f t="shared" si="4"/>
        <v>OK</v>
      </c>
    </row>
    <row r="53" spans="1:15" x14ac:dyDescent="0.25">
      <c r="A53" s="91" t="s">
        <v>27</v>
      </c>
      <c r="B53" s="32">
        <v>1</v>
      </c>
      <c r="C53" s="32">
        <v>1101557</v>
      </c>
      <c r="D53" s="39">
        <v>45756</v>
      </c>
      <c r="E53" s="32" t="s">
        <v>15</v>
      </c>
      <c r="F53" s="32" t="str">
        <f t="shared" si="25"/>
        <v>M22</v>
      </c>
      <c r="G53" s="62" t="str">
        <f t="shared" si="26"/>
        <v>301</v>
      </c>
      <c r="H53" s="63" t="str">
        <f t="shared" si="27"/>
        <v>C6</v>
      </c>
      <c r="I53" s="64">
        <f t="shared" si="28"/>
        <v>2</v>
      </c>
      <c r="J53" s="88" t="s">
        <v>33</v>
      </c>
      <c r="K53" s="37">
        <v>26</v>
      </c>
      <c r="L53" s="27">
        <v>0.66</v>
      </c>
      <c r="M53" s="19">
        <v>1.56</v>
      </c>
      <c r="N53" s="22">
        <f>TREN01[[#This Row],[T]]-TREN01[[#This Row],[H]]</f>
        <v>0.9</v>
      </c>
      <c r="O53" s="20" t="str">
        <f t="shared" si="4"/>
        <v>Seguimiento</v>
      </c>
    </row>
    <row r="54" spans="1:15" x14ac:dyDescent="0.25">
      <c r="A54" s="91" t="s">
        <v>27</v>
      </c>
      <c r="B54" s="32">
        <v>1</v>
      </c>
      <c r="C54" s="32">
        <v>1101557</v>
      </c>
      <c r="D54" s="39">
        <v>45756</v>
      </c>
      <c r="E54" s="32" t="s">
        <v>15</v>
      </c>
      <c r="F54" s="32" t="str">
        <f t="shared" si="25"/>
        <v>M22</v>
      </c>
      <c r="G54" s="62" t="str">
        <f t="shared" si="26"/>
        <v>301</v>
      </c>
      <c r="H54" s="63" t="str">
        <f t="shared" si="27"/>
        <v>C6</v>
      </c>
      <c r="I54" s="64">
        <f t="shared" si="28"/>
        <v>2</v>
      </c>
      <c r="J54" s="88" t="s">
        <v>34</v>
      </c>
      <c r="K54" s="37">
        <v>26</v>
      </c>
      <c r="L54" s="27">
        <v>0.72</v>
      </c>
      <c r="M54" s="19">
        <v>4.66</v>
      </c>
      <c r="N54" s="22">
        <f>TREN01[[#This Row],[T]]-TREN01[[#This Row],[H]]</f>
        <v>3.9400000000000004</v>
      </c>
      <c r="O54" s="20" t="str">
        <f t="shared" si="4"/>
        <v>OK</v>
      </c>
    </row>
    <row r="55" spans="1:15" x14ac:dyDescent="0.25">
      <c r="A55" s="91" t="s">
        <v>27</v>
      </c>
      <c r="B55" s="32">
        <v>1</v>
      </c>
      <c r="C55" s="32">
        <v>1101557</v>
      </c>
      <c r="D55" s="39">
        <v>45756</v>
      </c>
      <c r="E55" s="32" t="s">
        <v>15</v>
      </c>
      <c r="F55" s="32" t="str">
        <f t="shared" si="25"/>
        <v>M22</v>
      </c>
      <c r="G55" s="62" t="str">
        <f t="shared" si="26"/>
        <v>301</v>
      </c>
      <c r="H55" s="63" t="str">
        <f t="shared" si="27"/>
        <v>C6</v>
      </c>
      <c r="I55" s="64">
        <v>1</v>
      </c>
      <c r="J55" s="88" t="s">
        <v>35</v>
      </c>
      <c r="K55" s="37">
        <v>27</v>
      </c>
      <c r="L55" s="27">
        <v>0.88</v>
      </c>
      <c r="M55" s="19">
        <v>4.74</v>
      </c>
      <c r="N55" s="22">
        <f>TREN01[[#This Row],[T]]-TREN01[[#This Row],[H]]</f>
        <v>3.8600000000000003</v>
      </c>
      <c r="O55" s="20" t="str">
        <f t="shared" si="4"/>
        <v>OK</v>
      </c>
    </row>
    <row r="56" spans="1:15" x14ac:dyDescent="0.25">
      <c r="A56" s="91" t="s">
        <v>27</v>
      </c>
      <c r="B56" s="32">
        <v>1</v>
      </c>
      <c r="C56" s="32">
        <v>1101557</v>
      </c>
      <c r="D56" s="39">
        <v>45756</v>
      </c>
      <c r="E56" s="32" t="s">
        <v>15</v>
      </c>
      <c r="F56" s="32" t="str">
        <f t="shared" si="25"/>
        <v>M22</v>
      </c>
      <c r="G56" s="62" t="str">
        <f t="shared" si="26"/>
        <v>301</v>
      </c>
      <c r="H56" s="63" t="str">
        <f t="shared" ref="H56:I58" si="29">H55</f>
        <v>C6</v>
      </c>
      <c r="I56" s="64">
        <f t="shared" si="29"/>
        <v>1</v>
      </c>
      <c r="J56" s="88" t="s">
        <v>36</v>
      </c>
      <c r="K56" s="37">
        <v>27</v>
      </c>
      <c r="L56" s="27">
        <v>1.1399999999999999</v>
      </c>
      <c r="M56" s="19">
        <v>4.93</v>
      </c>
      <c r="N56" s="22">
        <f>TREN01[[#This Row],[T]]-TREN01[[#This Row],[H]]</f>
        <v>3.79</v>
      </c>
      <c r="O56" s="20" t="str">
        <f t="shared" si="4"/>
        <v>OK</v>
      </c>
    </row>
    <row r="57" spans="1:15" x14ac:dyDescent="0.25">
      <c r="A57" s="91" t="s">
        <v>27</v>
      </c>
      <c r="B57" s="32">
        <v>1</v>
      </c>
      <c r="C57" s="32">
        <v>1101557</v>
      </c>
      <c r="D57" s="39">
        <v>45756</v>
      </c>
      <c r="E57" s="32" t="s">
        <v>15</v>
      </c>
      <c r="F57" s="32" t="str">
        <f t="shared" si="25"/>
        <v>M22</v>
      </c>
      <c r="G57" s="62" t="str">
        <f t="shared" si="26"/>
        <v>301</v>
      </c>
      <c r="H57" s="63" t="str">
        <f t="shared" si="29"/>
        <v>C6</v>
      </c>
      <c r="I57" s="64">
        <f t="shared" si="29"/>
        <v>1</v>
      </c>
      <c r="J57" s="88" t="s">
        <v>37</v>
      </c>
      <c r="K57" s="37">
        <v>28</v>
      </c>
      <c r="L57" s="27">
        <v>0.73</v>
      </c>
      <c r="M57" s="19">
        <v>4.63</v>
      </c>
      <c r="N57" s="22">
        <f>TREN01[[#This Row],[T]]-TREN01[[#This Row],[H]]</f>
        <v>3.9</v>
      </c>
      <c r="O57" s="20" t="str">
        <f t="shared" si="4"/>
        <v>OK</v>
      </c>
    </row>
    <row r="58" spans="1:15" x14ac:dyDescent="0.25">
      <c r="A58" s="91" t="s">
        <v>27</v>
      </c>
      <c r="B58" s="32">
        <v>1</v>
      </c>
      <c r="C58" s="32">
        <v>1101557</v>
      </c>
      <c r="D58" s="39">
        <v>45756</v>
      </c>
      <c r="E58" s="32" t="s">
        <v>15</v>
      </c>
      <c r="F58" s="32" t="str">
        <f t="shared" si="25"/>
        <v>M22</v>
      </c>
      <c r="G58" s="62" t="str">
        <f t="shared" si="26"/>
        <v>301</v>
      </c>
      <c r="H58" s="63" t="str">
        <f t="shared" si="29"/>
        <v>C6</v>
      </c>
      <c r="I58" s="64">
        <f t="shared" si="29"/>
        <v>1</v>
      </c>
      <c r="J58" s="88" t="s">
        <v>38</v>
      </c>
      <c r="K58" s="37">
        <v>28</v>
      </c>
      <c r="L58" s="27">
        <v>0.51</v>
      </c>
      <c r="M58" s="19">
        <v>4.97</v>
      </c>
      <c r="N58" s="22">
        <f>TREN01[[#This Row],[T]]-TREN01[[#This Row],[H]]</f>
        <v>4.46</v>
      </c>
      <c r="O58" s="20" t="str">
        <f t="shared" si="4"/>
        <v>OK</v>
      </c>
    </row>
    <row r="59" spans="1:15" x14ac:dyDescent="0.25">
      <c r="A59" s="91" t="s">
        <v>27</v>
      </c>
      <c r="B59" s="32">
        <v>1</v>
      </c>
      <c r="C59" s="32">
        <v>1101557</v>
      </c>
      <c r="D59" s="39">
        <v>45756</v>
      </c>
      <c r="E59" s="32" t="s">
        <v>15</v>
      </c>
      <c r="F59" s="32" t="str">
        <f t="shared" si="25"/>
        <v>M22</v>
      </c>
      <c r="G59" s="62" t="str">
        <f t="shared" si="26"/>
        <v>301</v>
      </c>
      <c r="H59" s="63" t="s">
        <v>46</v>
      </c>
      <c r="I59" s="64">
        <v>2</v>
      </c>
      <c r="J59" s="88" t="s">
        <v>31</v>
      </c>
      <c r="K59" s="37">
        <v>29</v>
      </c>
      <c r="L59" s="27">
        <v>0.66</v>
      </c>
      <c r="M59" s="19">
        <v>4.95</v>
      </c>
      <c r="N59" s="22">
        <f>TREN01[[#This Row],[T]]-TREN01[[#This Row],[H]]</f>
        <v>4.29</v>
      </c>
      <c r="O59" s="20" t="str">
        <f t="shared" si="4"/>
        <v>OK</v>
      </c>
    </row>
    <row r="60" spans="1:15" x14ac:dyDescent="0.25">
      <c r="A60" s="91" t="s">
        <v>27</v>
      </c>
      <c r="B60" s="32">
        <v>1</v>
      </c>
      <c r="C60" s="32">
        <v>1101557</v>
      </c>
      <c r="D60" s="39">
        <v>45756</v>
      </c>
      <c r="E60" s="32" t="s">
        <v>15</v>
      </c>
      <c r="F60" s="32" t="str">
        <f t="shared" si="25"/>
        <v>M22</v>
      </c>
      <c r="G60" s="62" t="str">
        <f t="shared" ref="G60:I62" si="30">G59</f>
        <v>301</v>
      </c>
      <c r="H60" s="63" t="str">
        <f t="shared" si="30"/>
        <v>C5</v>
      </c>
      <c r="I60" s="64">
        <f t="shared" si="30"/>
        <v>2</v>
      </c>
      <c r="J60" s="88" t="s">
        <v>32</v>
      </c>
      <c r="K60" s="37">
        <v>29</v>
      </c>
      <c r="L60" s="27">
        <v>0.46</v>
      </c>
      <c r="M60" s="19">
        <v>1.05</v>
      </c>
      <c r="N60" s="22">
        <f>TREN01[[#This Row],[T]]-TREN01[[#This Row],[H]]</f>
        <v>0.59000000000000008</v>
      </c>
      <c r="O60" s="20" t="str">
        <f t="shared" si="4"/>
        <v>Seguimiento</v>
      </c>
    </row>
    <row r="61" spans="1:15" x14ac:dyDescent="0.25">
      <c r="A61" s="91" t="s">
        <v>27</v>
      </c>
      <c r="B61" s="32">
        <v>1</v>
      </c>
      <c r="C61" s="32">
        <v>1101557</v>
      </c>
      <c r="D61" s="39">
        <v>45756</v>
      </c>
      <c r="E61" s="32" t="s">
        <v>15</v>
      </c>
      <c r="F61" s="32" t="str">
        <f t="shared" si="25"/>
        <v>M22</v>
      </c>
      <c r="G61" s="62" t="str">
        <f t="shared" si="30"/>
        <v>301</v>
      </c>
      <c r="H61" s="63" t="str">
        <f t="shared" si="30"/>
        <v>C5</v>
      </c>
      <c r="I61" s="64">
        <f t="shared" si="30"/>
        <v>2</v>
      </c>
      <c r="J61" s="88" t="s">
        <v>33</v>
      </c>
      <c r="K61" s="37">
        <v>30</v>
      </c>
      <c r="L61" s="27">
        <v>0.36</v>
      </c>
      <c r="M61" s="19">
        <v>1.67</v>
      </c>
      <c r="N61" s="22">
        <f>TREN01[[#This Row],[T]]-TREN01[[#This Row],[H]]</f>
        <v>1.31</v>
      </c>
      <c r="O61" s="20" t="str">
        <f t="shared" si="4"/>
        <v>OK</v>
      </c>
    </row>
    <row r="62" spans="1:15" x14ac:dyDescent="0.25">
      <c r="A62" s="91" t="s">
        <v>27</v>
      </c>
      <c r="B62" s="32">
        <v>1</v>
      </c>
      <c r="C62" s="32">
        <v>1101557</v>
      </c>
      <c r="D62" s="39">
        <v>45756</v>
      </c>
      <c r="E62" s="32" t="s">
        <v>15</v>
      </c>
      <c r="F62" s="32" t="str">
        <f t="shared" si="25"/>
        <v>M22</v>
      </c>
      <c r="G62" s="62" t="str">
        <f t="shared" si="30"/>
        <v>301</v>
      </c>
      <c r="H62" s="63" t="str">
        <f t="shared" si="30"/>
        <v>C5</v>
      </c>
      <c r="I62" s="64">
        <f t="shared" si="30"/>
        <v>2</v>
      </c>
      <c r="J62" s="88" t="s">
        <v>34</v>
      </c>
      <c r="K62" s="37">
        <v>30</v>
      </c>
      <c r="L62" s="27">
        <v>0.45</v>
      </c>
      <c r="M62" s="19">
        <v>2.48</v>
      </c>
      <c r="N62" s="22">
        <f>TREN01[[#This Row],[T]]-TREN01[[#This Row],[H]]</f>
        <v>2.0299999999999998</v>
      </c>
      <c r="O62" s="20" t="str">
        <f t="shared" si="4"/>
        <v>OK</v>
      </c>
    </row>
    <row r="63" spans="1:15" x14ac:dyDescent="0.25">
      <c r="A63" s="91" t="s">
        <v>27</v>
      </c>
      <c r="B63" s="32">
        <v>1</v>
      </c>
      <c r="C63" s="32">
        <v>1101557</v>
      </c>
      <c r="D63" s="39">
        <v>45756</v>
      </c>
      <c r="E63" s="32" t="s">
        <v>15</v>
      </c>
      <c r="F63" s="32" t="str">
        <f t="shared" si="25"/>
        <v>M22</v>
      </c>
      <c r="G63" s="62" t="str">
        <f t="shared" ref="G63:H63" si="31">G62</f>
        <v>301</v>
      </c>
      <c r="H63" s="63" t="str">
        <f t="shared" si="31"/>
        <v>C5</v>
      </c>
      <c r="I63" s="64">
        <v>1</v>
      </c>
      <c r="J63" s="88" t="s">
        <v>35</v>
      </c>
      <c r="K63" s="37">
        <v>31</v>
      </c>
      <c r="L63" s="27">
        <v>0.45</v>
      </c>
      <c r="M63" s="19">
        <v>2.27</v>
      </c>
      <c r="N63" s="22">
        <f>TREN01[[#This Row],[T]]-TREN01[[#This Row],[H]]</f>
        <v>1.82</v>
      </c>
      <c r="O63" s="20" t="str">
        <f t="shared" si="4"/>
        <v>OK</v>
      </c>
    </row>
    <row r="64" spans="1:15" x14ac:dyDescent="0.25">
      <c r="A64" s="91" t="s">
        <v>27</v>
      </c>
      <c r="B64" s="32">
        <v>1</v>
      </c>
      <c r="C64" s="32">
        <v>1101557</v>
      </c>
      <c r="D64" s="39">
        <v>45756</v>
      </c>
      <c r="E64" s="32" t="s">
        <v>15</v>
      </c>
      <c r="F64" s="32" t="str">
        <f t="shared" si="25"/>
        <v>M22</v>
      </c>
      <c r="G64" s="62" t="str">
        <f t="shared" ref="G64:I66" si="32">G63</f>
        <v>301</v>
      </c>
      <c r="H64" s="63" t="str">
        <f t="shared" si="32"/>
        <v>C5</v>
      </c>
      <c r="I64" s="64">
        <f t="shared" si="32"/>
        <v>1</v>
      </c>
      <c r="J64" s="88" t="s">
        <v>36</v>
      </c>
      <c r="K64" s="37">
        <v>31</v>
      </c>
      <c r="L64" s="27">
        <v>1.34</v>
      </c>
      <c r="M64" s="19">
        <v>3.1</v>
      </c>
      <c r="N64" s="22">
        <f>TREN01[[#This Row],[T]]-TREN01[[#This Row],[H]]</f>
        <v>1.76</v>
      </c>
      <c r="O64" s="20" t="str">
        <f t="shared" si="4"/>
        <v>OK</v>
      </c>
    </row>
    <row r="65" spans="1:15" x14ac:dyDescent="0.25">
      <c r="A65" s="91" t="s">
        <v>27</v>
      </c>
      <c r="B65" s="32">
        <v>1</v>
      </c>
      <c r="C65" s="32">
        <v>1101557</v>
      </c>
      <c r="D65" s="39">
        <v>45756</v>
      </c>
      <c r="E65" s="32" t="s">
        <v>15</v>
      </c>
      <c r="F65" s="32" t="str">
        <f t="shared" si="25"/>
        <v>M22</v>
      </c>
      <c r="G65" s="62" t="str">
        <f t="shared" si="32"/>
        <v>301</v>
      </c>
      <c r="H65" s="63" t="str">
        <f t="shared" si="32"/>
        <v>C5</v>
      </c>
      <c r="I65" s="64">
        <f t="shared" si="32"/>
        <v>1</v>
      </c>
      <c r="J65" s="88" t="s">
        <v>37</v>
      </c>
      <c r="K65" s="37">
        <v>32</v>
      </c>
      <c r="L65" s="27">
        <v>1.02</v>
      </c>
      <c r="M65" s="19">
        <v>2.4900000000000002</v>
      </c>
      <c r="N65" s="22">
        <f>TREN01[[#This Row],[T]]-TREN01[[#This Row],[H]]</f>
        <v>1.4700000000000002</v>
      </c>
      <c r="O65" s="20" t="str">
        <f t="shared" si="4"/>
        <v>OK</v>
      </c>
    </row>
    <row r="66" spans="1:15" x14ac:dyDescent="0.25">
      <c r="A66" s="91" t="s">
        <v>27</v>
      </c>
      <c r="B66" s="32">
        <v>1</v>
      </c>
      <c r="C66" s="32">
        <v>1101557</v>
      </c>
      <c r="D66" s="39">
        <v>45756</v>
      </c>
      <c r="E66" s="32" t="s">
        <v>15</v>
      </c>
      <c r="F66" s="32" t="str">
        <f t="shared" si="25"/>
        <v>M22</v>
      </c>
      <c r="G66" s="62" t="str">
        <f t="shared" si="32"/>
        <v>301</v>
      </c>
      <c r="H66" s="63" t="str">
        <f t="shared" si="32"/>
        <v>C5</v>
      </c>
      <c r="I66" s="64">
        <f t="shared" si="32"/>
        <v>1</v>
      </c>
      <c r="J66" s="88" t="s">
        <v>38</v>
      </c>
      <c r="K66" s="37">
        <v>32</v>
      </c>
      <c r="L66" s="27">
        <v>0.48</v>
      </c>
      <c r="M66" s="19">
        <v>2.14</v>
      </c>
      <c r="N66" s="22">
        <f>TREN01[[#This Row],[T]]-TREN01[[#This Row],[H]]</f>
        <v>1.6600000000000001</v>
      </c>
      <c r="O66" s="20" t="str">
        <f t="shared" si="4"/>
        <v>OK</v>
      </c>
    </row>
    <row r="67" spans="1:15" x14ac:dyDescent="0.25">
      <c r="A67" s="91" t="s">
        <v>27</v>
      </c>
      <c r="B67" s="32">
        <v>1</v>
      </c>
      <c r="C67" s="32">
        <v>1101557</v>
      </c>
      <c r="D67" s="39">
        <v>45756</v>
      </c>
      <c r="E67" s="32" t="s">
        <v>15</v>
      </c>
      <c r="F67" s="32" t="s">
        <v>40</v>
      </c>
      <c r="G67" s="62" t="s">
        <v>49</v>
      </c>
      <c r="H67" s="63" t="s">
        <v>43</v>
      </c>
      <c r="I67" s="64">
        <v>2</v>
      </c>
      <c r="J67" s="88" t="s">
        <v>31</v>
      </c>
      <c r="K67" s="37">
        <v>33</v>
      </c>
      <c r="L67" s="27">
        <v>0.62</v>
      </c>
      <c r="M67" s="19">
        <v>1.72</v>
      </c>
      <c r="N67" s="22">
        <f>TREN01[[#This Row],[T]]-TREN01[[#This Row],[H]]</f>
        <v>1.1000000000000001</v>
      </c>
      <c r="O67" s="20" t="str">
        <f t="shared" si="4"/>
        <v>OK</v>
      </c>
    </row>
    <row r="68" spans="1:15" x14ac:dyDescent="0.25">
      <c r="A68" s="91" t="s">
        <v>27</v>
      </c>
      <c r="B68" s="32">
        <v>1</v>
      </c>
      <c r="C68" s="32">
        <v>1101557</v>
      </c>
      <c r="D68" s="39">
        <v>45756</v>
      </c>
      <c r="E68" s="32" t="s">
        <v>15</v>
      </c>
      <c r="F68" s="32" t="str">
        <f t="shared" ref="F68:F82" si="33">F67</f>
        <v>M21</v>
      </c>
      <c r="G68" s="62" t="str">
        <f t="shared" ref="G68:G75" si="34">G67</f>
        <v>004</v>
      </c>
      <c r="H68" s="63" t="str">
        <f t="shared" ref="H68:H71" si="35">H67</f>
        <v>C4</v>
      </c>
      <c r="I68" s="64">
        <f t="shared" ref="I68:I70" si="36">I67</f>
        <v>2</v>
      </c>
      <c r="J68" s="88" t="s">
        <v>32</v>
      </c>
      <c r="K68" s="37">
        <v>33</v>
      </c>
      <c r="L68" s="27">
        <v>0.51</v>
      </c>
      <c r="M68" s="19">
        <v>1.57</v>
      </c>
      <c r="N68" s="22">
        <f>TREN01[[#This Row],[T]]-TREN01[[#This Row],[H]]</f>
        <v>1.06</v>
      </c>
      <c r="O68" s="20" t="str">
        <f t="shared" ref="O68:O131" si="37">IF(N68&lt;=0,"Critico",IF(N68&lt;=0.2,"Cambio",IF(N68&lt;=1,"Seguimiento",IF(L68&gt;=1.7,"Reperfilado","OK"))))</f>
        <v>OK</v>
      </c>
    </row>
    <row r="69" spans="1:15" x14ac:dyDescent="0.25">
      <c r="A69" s="91" t="s">
        <v>27</v>
      </c>
      <c r="B69" s="32">
        <v>1</v>
      </c>
      <c r="C69" s="32">
        <v>1101557</v>
      </c>
      <c r="D69" s="39">
        <v>45756</v>
      </c>
      <c r="E69" s="32" t="s">
        <v>15</v>
      </c>
      <c r="F69" s="32" t="str">
        <f t="shared" si="33"/>
        <v>M21</v>
      </c>
      <c r="G69" s="62" t="str">
        <f t="shared" si="34"/>
        <v>004</v>
      </c>
      <c r="H69" s="63" t="str">
        <f t="shared" si="35"/>
        <v>C4</v>
      </c>
      <c r="I69" s="64">
        <f t="shared" si="36"/>
        <v>2</v>
      </c>
      <c r="J69" s="88" t="s">
        <v>33</v>
      </c>
      <c r="K69" s="37">
        <v>34</v>
      </c>
      <c r="L69" s="27">
        <v>7.0000000000000007E-2</v>
      </c>
      <c r="M69" s="19">
        <v>4.95</v>
      </c>
      <c r="N69" s="22">
        <f>TREN01[[#This Row],[T]]-TREN01[[#This Row],[H]]</f>
        <v>4.88</v>
      </c>
      <c r="O69" s="20" t="str">
        <f t="shared" si="37"/>
        <v>OK</v>
      </c>
    </row>
    <row r="70" spans="1:15" x14ac:dyDescent="0.25">
      <c r="A70" s="91" t="s">
        <v>27</v>
      </c>
      <c r="B70" s="32">
        <v>1</v>
      </c>
      <c r="C70" s="32">
        <v>1101557</v>
      </c>
      <c r="D70" s="39">
        <v>45756</v>
      </c>
      <c r="E70" s="32" t="s">
        <v>15</v>
      </c>
      <c r="F70" s="32" t="str">
        <f t="shared" si="33"/>
        <v>M21</v>
      </c>
      <c r="G70" s="62" t="str">
        <f t="shared" si="34"/>
        <v>004</v>
      </c>
      <c r="H70" s="63" t="str">
        <f t="shared" si="35"/>
        <v>C4</v>
      </c>
      <c r="I70" s="64">
        <f t="shared" si="36"/>
        <v>2</v>
      </c>
      <c r="J70" s="88" t="s">
        <v>34</v>
      </c>
      <c r="K70" s="37">
        <v>34</v>
      </c>
      <c r="L70" s="27">
        <v>0.73</v>
      </c>
      <c r="M70" s="19">
        <v>2.08</v>
      </c>
      <c r="N70" s="22">
        <f>TREN01[[#This Row],[T]]-TREN01[[#This Row],[H]]</f>
        <v>1.35</v>
      </c>
      <c r="O70" s="20" t="str">
        <f t="shared" si="37"/>
        <v>OK</v>
      </c>
    </row>
    <row r="71" spans="1:15" x14ac:dyDescent="0.25">
      <c r="A71" s="91" t="s">
        <v>27</v>
      </c>
      <c r="B71" s="32">
        <v>1</v>
      </c>
      <c r="C71" s="32">
        <v>1101557</v>
      </c>
      <c r="D71" s="39">
        <v>45756</v>
      </c>
      <c r="E71" s="32" t="s">
        <v>15</v>
      </c>
      <c r="F71" s="32" t="str">
        <f t="shared" si="33"/>
        <v>M21</v>
      </c>
      <c r="G71" s="62" t="str">
        <f t="shared" si="34"/>
        <v>004</v>
      </c>
      <c r="H71" s="63" t="str">
        <f t="shared" si="35"/>
        <v>C4</v>
      </c>
      <c r="I71" s="64">
        <v>1</v>
      </c>
      <c r="J71" s="88" t="s">
        <v>35</v>
      </c>
      <c r="K71" s="37">
        <v>35</v>
      </c>
      <c r="L71" s="27">
        <v>0.18</v>
      </c>
      <c r="M71" s="19">
        <v>2.1800000000000002</v>
      </c>
      <c r="N71" s="22">
        <f>TREN01[[#This Row],[T]]-TREN01[[#This Row],[H]]</f>
        <v>2</v>
      </c>
      <c r="O71" s="20" t="str">
        <f t="shared" si="37"/>
        <v>OK</v>
      </c>
    </row>
    <row r="72" spans="1:15" x14ac:dyDescent="0.25">
      <c r="A72" s="91" t="s">
        <v>27</v>
      </c>
      <c r="B72" s="32">
        <v>1</v>
      </c>
      <c r="C72" s="32">
        <v>1101557</v>
      </c>
      <c r="D72" s="39">
        <v>45756</v>
      </c>
      <c r="E72" s="32" t="s">
        <v>15</v>
      </c>
      <c r="F72" s="32" t="str">
        <f t="shared" si="33"/>
        <v>M21</v>
      </c>
      <c r="G72" s="62" t="str">
        <f t="shared" si="34"/>
        <v>004</v>
      </c>
      <c r="H72" s="63" t="str">
        <f t="shared" ref="H72:I74" si="38">H71</f>
        <v>C4</v>
      </c>
      <c r="I72" s="64">
        <f t="shared" si="38"/>
        <v>1</v>
      </c>
      <c r="J72" s="88" t="s">
        <v>36</v>
      </c>
      <c r="K72" s="37">
        <v>35</v>
      </c>
      <c r="L72" s="27">
        <v>0.14000000000000001</v>
      </c>
      <c r="M72" s="19">
        <v>1.41</v>
      </c>
      <c r="N72" s="22">
        <f>TREN01[[#This Row],[T]]-TREN01[[#This Row],[H]]</f>
        <v>1.27</v>
      </c>
      <c r="O72" s="20" t="str">
        <f t="shared" si="37"/>
        <v>OK</v>
      </c>
    </row>
    <row r="73" spans="1:15" x14ac:dyDescent="0.25">
      <c r="A73" s="91" t="s">
        <v>27</v>
      </c>
      <c r="B73" s="32">
        <v>1</v>
      </c>
      <c r="C73" s="32">
        <v>1101557</v>
      </c>
      <c r="D73" s="39">
        <v>45756</v>
      </c>
      <c r="E73" s="32" t="s">
        <v>15</v>
      </c>
      <c r="F73" s="32" t="str">
        <f t="shared" si="33"/>
        <v>M21</v>
      </c>
      <c r="G73" s="62" t="str">
        <f t="shared" si="34"/>
        <v>004</v>
      </c>
      <c r="H73" s="63" t="str">
        <f t="shared" si="38"/>
        <v>C4</v>
      </c>
      <c r="I73" s="64">
        <f t="shared" si="38"/>
        <v>1</v>
      </c>
      <c r="J73" s="88" t="s">
        <v>37</v>
      </c>
      <c r="K73" s="37">
        <v>36</v>
      </c>
      <c r="L73" s="27">
        <v>0.16</v>
      </c>
      <c r="M73" s="19">
        <v>1.6</v>
      </c>
      <c r="N73" s="22">
        <f>TREN01[[#This Row],[T]]-TREN01[[#This Row],[H]]</f>
        <v>1.4400000000000002</v>
      </c>
      <c r="O73" s="20" t="str">
        <f t="shared" si="37"/>
        <v>OK</v>
      </c>
    </row>
    <row r="74" spans="1:15" x14ac:dyDescent="0.25">
      <c r="A74" s="91" t="s">
        <v>27</v>
      </c>
      <c r="B74" s="32">
        <v>1</v>
      </c>
      <c r="C74" s="32">
        <v>1101557</v>
      </c>
      <c r="D74" s="39">
        <v>45756</v>
      </c>
      <c r="E74" s="32" t="s">
        <v>15</v>
      </c>
      <c r="F74" s="32" t="str">
        <f t="shared" si="33"/>
        <v>M21</v>
      </c>
      <c r="G74" s="62" t="str">
        <f t="shared" si="34"/>
        <v>004</v>
      </c>
      <c r="H74" s="63" t="str">
        <f t="shared" si="38"/>
        <v>C4</v>
      </c>
      <c r="I74" s="64">
        <f t="shared" si="38"/>
        <v>1</v>
      </c>
      <c r="J74" s="88" t="s">
        <v>38</v>
      </c>
      <c r="K74" s="37">
        <v>36</v>
      </c>
      <c r="L74" s="27">
        <v>0.14000000000000001</v>
      </c>
      <c r="M74" s="19">
        <v>4.84</v>
      </c>
      <c r="N74" s="22">
        <f>TREN01[[#This Row],[T]]-TREN01[[#This Row],[H]]</f>
        <v>4.7</v>
      </c>
      <c r="O74" s="20" t="str">
        <f t="shared" si="37"/>
        <v>OK</v>
      </c>
    </row>
    <row r="75" spans="1:15" x14ac:dyDescent="0.25">
      <c r="A75" s="91" t="s">
        <v>27</v>
      </c>
      <c r="B75" s="32">
        <v>1</v>
      </c>
      <c r="C75" s="32">
        <v>1101557</v>
      </c>
      <c r="D75" s="39">
        <v>45756</v>
      </c>
      <c r="E75" s="32" t="s">
        <v>15</v>
      </c>
      <c r="F75" s="32" t="str">
        <f t="shared" si="33"/>
        <v>M21</v>
      </c>
      <c r="G75" s="62" t="str">
        <f t="shared" si="34"/>
        <v>004</v>
      </c>
      <c r="H75" s="63" t="s">
        <v>42</v>
      </c>
      <c r="I75" s="64">
        <v>2</v>
      </c>
      <c r="J75" s="88" t="s">
        <v>31</v>
      </c>
      <c r="K75" s="37">
        <v>37</v>
      </c>
      <c r="L75" s="27">
        <v>0.8</v>
      </c>
      <c r="M75" s="19">
        <v>3.44</v>
      </c>
      <c r="N75" s="22">
        <f>TREN01[[#This Row],[T]]-TREN01[[#This Row],[H]]</f>
        <v>2.6399999999999997</v>
      </c>
      <c r="O75" s="20" t="str">
        <f t="shared" si="37"/>
        <v>OK</v>
      </c>
    </row>
    <row r="76" spans="1:15" x14ac:dyDescent="0.25">
      <c r="A76" s="91" t="s">
        <v>27</v>
      </c>
      <c r="B76" s="32">
        <v>1</v>
      </c>
      <c r="C76" s="32">
        <v>1101557</v>
      </c>
      <c r="D76" s="39">
        <v>45756</v>
      </c>
      <c r="E76" s="32" t="s">
        <v>15</v>
      </c>
      <c r="F76" s="32" t="str">
        <f t="shared" si="33"/>
        <v>M21</v>
      </c>
      <c r="G76" s="62" t="str">
        <f t="shared" ref="G76:I78" si="39">G75</f>
        <v>004</v>
      </c>
      <c r="H76" s="63" t="str">
        <f t="shared" si="39"/>
        <v>C3</v>
      </c>
      <c r="I76" s="64">
        <f t="shared" si="39"/>
        <v>2</v>
      </c>
      <c r="J76" s="88" t="s">
        <v>32</v>
      </c>
      <c r="K76" s="37">
        <v>37</v>
      </c>
      <c r="L76" s="27">
        <v>0.28999999999999998</v>
      </c>
      <c r="M76" s="19">
        <v>3.07</v>
      </c>
      <c r="N76" s="22">
        <f>TREN01[[#This Row],[T]]-TREN01[[#This Row],[H]]</f>
        <v>2.78</v>
      </c>
      <c r="O76" s="20" t="str">
        <f t="shared" si="37"/>
        <v>OK</v>
      </c>
    </row>
    <row r="77" spans="1:15" x14ac:dyDescent="0.25">
      <c r="A77" s="91" t="s">
        <v>27</v>
      </c>
      <c r="B77" s="32">
        <v>1</v>
      </c>
      <c r="C77" s="32">
        <v>1101557</v>
      </c>
      <c r="D77" s="39">
        <v>45756</v>
      </c>
      <c r="E77" s="32" t="s">
        <v>15</v>
      </c>
      <c r="F77" s="32" t="str">
        <f t="shared" si="33"/>
        <v>M21</v>
      </c>
      <c r="G77" s="62" t="str">
        <f t="shared" si="39"/>
        <v>004</v>
      </c>
      <c r="H77" s="63" t="str">
        <f t="shared" si="39"/>
        <v>C3</v>
      </c>
      <c r="I77" s="64">
        <f t="shared" si="39"/>
        <v>2</v>
      </c>
      <c r="J77" s="88" t="s">
        <v>33</v>
      </c>
      <c r="K77" s="37">
        <v>38</v>
      </c>
      <c r="L77" s="27">
        <v>0.18</v>
      </c>
      <c r="M77" s="19">
        <v>1.56</v>
      </c>
      <c r="N77" s="22">
        <f>TREN01[[#This Row],[T]]-TREN01[[#This Row],[H]]</f>
        <v>1.3800000000000001</v>
      </c>
      <c r="O77" s="20" t="str">
        <f t="shared" si="37"/>
        <v>OK</v>
      </c>
    </row>
    <row r="78" spans="1:15" x14ac:dyDescent="0.25">
      <c r="A78" s="91" t="s">
        <v>27</v>
      </c>
      <c r="B78" s="32">
        <v>1</v>
      </c>
      <c r="C78" s="32">
        <v>1101557</v>
      </c>
      <c r="D78" s="39">
        <v>45756</v>
      </c>
      <c r="E78" s="32" t="s">
        <v>15</v>
      </c>
      <c r="F78" s="32" t="str">
        <f t="shared" si="33"/>
        <v>M21</v>
      </c>
      <c r="G78" s="62" t="str">
        <f t="shared" si="39"/>
        <v>004</v>
      </c>
      <c r="H78" s="63" t="str">
        <f t="shared" si="39"/>
        <v>C3</v>
      </c>
      <c r="I78" s="64">
        <f t="shared" si="39"/>
        <v>2</v>
      </c>
      <c r="J78" s="88" t="s">
        <v>34</v>
      </c>
      <c r="K78" s="37">
        <v>38</v>
      </c>
      <c r="L78" s="101">
        <v>1.0900000000000001</v>
      </c>
      <c r="M78" s="31">
        <v>4.2</v>
      </c>
      <c r="N78" s="22">
        <f>TREN01[[#This Row],[T]]-TREN01[[#This Row],[H]]</f>
        <v>3.1100000000000003</v>
      </c>
      <c r="O78" s="20" t="str">
        <f t="shared" si="37"/>
        <v>OK</v>
      </c>
    </row>
    <row r="79" spans="1:15" x14ac:dyDescent="0.25">
      <c r="A79" s="91" t="s">
        <v>27</v>
      </c>
      <c r="B79" s="32">
        <v>1</v>
      </c>
      <c r="C79" s="32">
        <v>1101557</v>
      </c>
      <c r="D79" s="39">
        <v>45756</v>
      </c>
      <c r="E79" s="32" t="s">
        <v>15</v>
      </c>
      <c r="F79" s="32" t="str">
        <f t="shared" si="33"/>
        <v>M21</v>
      </c>
      <c r="G79" s="62" t="str">
        <f t="shared" ref="G79:H79" si="40">G78</f>
        <v>004</v>
      </c>
      <c r="H79" s="63" t="str">
        <f t="shared" si="40"/>
        <v>C3</v>
      </c>
      <c r="I79" s="64">
        <v>1</v>
      </c>
      <c r="J79" s="88" t="s">
        <v>35</v>
      </c>
      <c r="K79" s="37">
        <v>39</v>
      </c>
      <c r="L79" s="27">
        <v>0.33</v>
      </c>
      <c r="M79" s="19">
        <v>2.63</v>
      </c>
      <c r="N79" s="22">
        <f>TREN01[[#This Row],[T]]-TREN01[[#This Row],[H]]</f>
        <v>2.2999999999999998</v>
      </c>
      <c r="O79" s="20" t="str">
        <f t="shared" si="37"/>
        <v>OK</v>
      </c>
    </row>
    <row r="80" spans="1:15" x14ac:dyDescent="0.25">
      <c r="A80" s="91" t="s">
        <v>27</v>
      </c>
      <c r="B80" s="32">
        <v>1</v>
      </c>
      <c r="C80" s="32">
        <v>1101557</v>
      </c>
      <c r="D80" s="39">
        <v>45756</v>
      </c>
      <c r="E80" s="32" t="s">
        <v>15</v>
      </c>
      <c r="F80" s="32" t="str">
        <f t="shared" si="33"/>
        <v>M21</v>
      </c>
      <c r="G80" s="62" t="str">
        <f t="shared" ref="G80:I82" si="41">G79</f>
        <v>004</v>
      </c>
      <c r="H80" s="63" t="str">
        <f t="shared" si="41"/>
        <v>C3</v>
      </c>
      <c r="I80" s="64">
        <f t="shared" si="41"/>
        <v>1</v>
      </c>
      <c r="J80" s="88" t="s">
        <v>36</v>
      </c>
      <c r="K80" s="37">
        <v>39</v>
      </c>
      <c r="L80" s="27">
        <v>0.46</v>
      </c>
      <c r="M80" s="19">
        <v>3.43</v>
      </c>
      <c r="N80" s="22">
        <f>TREN01[[#This Row],[T]]-TREN01[[#This Row],[H]]</f>
        <v>2.97</v>
      </c>
      <c r="O80" s="20" t="str">
        <f t="shared" si="37"/>
        <v>OK</v>
      </c>
    </row>
    <row r="81" spans="1:15" x14ac:dyDescent="0.25">
      <c r="A81" s="91" t="s">
        <v>27</v>
      </c>
      <c r="B81" s="32">
        <v>1</v>
      </c>
      <c r="C81" s="32">
        <v>1101557</v>
      </c>
      <c r="D81" s="39">
        <v>45756</v>
      </c>
      <c r="E81" s="32" t="s">
        <v>15</v>
      </c>
      <c r="F81" s="32" t="str">
        <f t="shared" si="33"/>
        <v>M21</v>
      </c>
      <c r="G81" s="62" t="str">
        <f t="shared" si="41"/>
        <v>004</v>
      </c>
      <c r="H81" s="63" t="str">
        <f t="shared" si="41"/>
        <v>C3</v>
      </c>
      <c r="I81" s="64">
        <f t="shared" si="41"/>
        <v>1</v>
      </c>
      <c r="J81" s="88" t="s">
        <v>37</v>
      </c>
      <c r="K81" s="37">
        <v>40</v>
      </c>
      <c r="L81" s="27">
        <v>0.39</v>
      </c>
      <c r="M81" s="19">
        <v>2.7</v>
      </c>
      <c r="N81" s="22">
        <f>TREN01[[#This Row],[T]]-TREN01[[#This Row],[H]]</f>
        <v>2.31</v>
      </c>
      <c r="O81" s="20" t="str">
        <f t="shared" si="37"/>
        <v>OK</v>
      </c>
    </row>
    <row r="82" spans="1:15" x14ac:dyDescent="0.25">
      <c r="A82" s="91" t="s">
        <v>27</v>
      </c>
      <c r="B82" s="32">
        <v>1</v>
      </c>
      <c r="C82" s="32">
        <v>1101557</v>
      </c>
      <c r="D82" s="39">
        <v>45756</v>
      </c>
      <c r="E82" s="32" t="s">
        <v>15</v>
      </c>
      <c r="F82" s="32" t="str">
        <f t="shared" si="33"/>
        <v>M21</v>
      </c>
      <c r="G82" s="62" t="str">
        <f t="shared" si="41"/>
        <v>004</v>
      </c>
      <c r="H82" s="63" t="str">
        <f t="shared" si="41"/>
        <v>C3</v>
      </c>
      <c r="I82" s="64">
        <f t="shared" si="41"/>
        <v>1</v>
      </c>
      <c r="J82" s="88" t="s">
        <v>38</v>
      </c>
      <c r="K82" s="37">
        <v>40</v>
      </c>
      <c r="L82" s="27">
        <v>0.34</v>
      </c>
      <c r="M82" s="19">
        <v>1.93</v>
      </c>
      <c r="N82" s="22">
        <f>TREN01[[#This Row],[T]]-TREN01[[#This Row],[H]]</f>
        <v>1.5899999999999999</v>
      </c>
      <c r="O82" s="20" t="str">
        <f t="shared" si="37"/>
        <v>OK</v>
      </c>
    </row>
    <row r="83" spans="1:15" x14ac:dyDescent="0.25">
      <c r="A83" s="91" t="s">
        <v>27</v>
      </c>
      <c r="B83" s="32">
        <v>1</v>
      </c>
      <c r="C83" s="32">
        <v>1101557</v>
      </c>
      <c r="D83" s="39">
        <v>45756</v>
      </c>
      <c r="E83" s="32" t="s">
        <v>15</v>
      </c>
      <c r="F83" s="32" t="s">
        <v>28</v>
      </c>
      <c r="G83" s="62" t="s">
        <v>50</v>
      </c>
      <c r="H83" s="63" t="s">
        <v>39</v>
      </c>
      <c r="I83" s="64">
        <v>2</v>
      </c>
      <c r="J83" s="88" t="s">
        <v>31</v>
      </c>
      <c r="K83" s="37">
        <v>41</v>
      </c>
      <c r="L83" s="27">
        <v>0.51</v>
      </c>
      <c r="M83" s="19">
        <v>1.3</v>
      </c>
      <c r="N83" s="22">
        <f>TREN01[[#This Row],[T]]-TREN01[[#This Row],[H]]</f>
        <v>0.79</v>
      </c>
      <c r="O83" s="20" t="str">
        <f t="shared" si="37"/>
        <v>Seguimiento</v>
      </c>
    </row>
    <row r="84" spans="1:15" x14ac:dyDescent="0.25">
      <c r="A84" s="91" t="s">
        <v>27</v>
      </c>
      <c r="B84" s="32">
        <v>1</v>
      </c>
      <c r="C84" s="32">
        <v>1101557</v>
      </c>
      <c r="D84" s="39">
        <v>45756</v>
      </c>
      <c r="E84" s="32" t="s">
        <v>15</v>
      </c>
      <c r="F84" s="32" t="str">
        <f t="shared" ref="F84:F98" si="42">F83</f>
        <v>M20</v>
      </c>
      <c r="G84" s="62" t="str">
        <f t="shared" ref="G84:G91" si="43">G83</f>
        <v>003</v>
      </c>
      <c r="H84" s="63" t="str">
        <f t="shared" ref="H84:H87" si="44">H83</f>
        <v>C2</v>
      </c>
      <c r="I84" s="64">
        <f t="shared" ref="I84:I86" si="45">I83</f>
        <v>2</v>
      </c>
      <c r="J84" s="88" t="s">
        <v>32</v>
      </c>
      <c r="K84" s="37">
        <v>41</v>
      </c>
      <c r="L84" s="27">
        <v>0.43</v>
      </c>
      <c r="M84" s="19">
        <v>3.97</v>
      </c>
      <c r="N84" s="22">
        <f>TREN01[[#This Row],[T]]-TREN01[[#This Row],[H]]</f>
        <v>3.54</v>
      </c>
      <c r="O84" s="20" t="str">
        <f t="shared" si="37"/>
        <v>OK</v>
      </c>
    </row>
    <row r="85" spans="1:15" x14ac:dyDescent="0.25">
      <c r="A85" s="91" t="s">
        <v>27</v>
      </c>
      <c r="B85" s="32">
        <v>1</v>
      </c>
      <c r="C85" s="32">
        <v>1101557</v>
      </c>
      <c r="D85" s="39">
        <v>45756</v>
      </c>
      <c r="E85" s="32" t="s">
        <v>15</v>
      </c>
      <c r="F85" s="32" t="str">
        <f t="shared" si="42"/>
        <v>M20</v>
      </c>
      <c r="G85" s="62" t="str">
        <f t="shared" si="43"/>
        <v>003</v>
      </c>
      <c r="H85" s="63" t="str">
        <f t="shared" si="44"/>
        <v>C2</v>
      </c>
      <c r="I85" s="64">
        <f t="shared" si="45"/>
        <v>2</v>
      </c>
      <c r="J85" s="88" t="s">
        <v>33</v>
      </c>
      <c r="K85" s="37">
        <v>42</v>
      </c>
      <c r="L85" s="27">
        <v>0.52</v>
      </c>
      <c r="M85" s="19">
        <v>4.4800000000000004</v>
      </c>
      <c r="N85" s="22">
        <f>TREN01[[#This Row],[T]]-TREN01[[#This Row],[H]]</f>
        <v>3.9600000000000004</v>
      </c>
      <c r="O85" s="20" t="str">
        <f t="shared" si="37"/>
        <v>OK</v>
      </c>
    </row>
    <row r="86" spans="1:15" x14ac:dyDescent="0.25">
      <c r="A86" s="91" t="s">
        <v>27</v>
      </c>
      <c r="B86" s="32">
        <v>1</v>
      </c>
      <c r="C86" s="32">
        <v>1101557</v>
      </c>
      <c r="D86" s="39">
        <v>45756</v>
      </c>
      <c r="E86" s="32" t="s">
        <v>15</v>
      </c>
      <c r="F86" s="32" t="str">
        <f t="shared" si="42"/>
        <v>M20</v>
      </c>
      <c r="G86" s="62" t="str">
        <f t="shared" si="43"/>
        <v>003</v>
      </c>
      <c r="H86" s="63" t="str">
        <f t="shared" si="44"/>
        <v>C2</v>
      </c>
      <c r="I86" s="64">
        <f t="shared" si="45"/>
        <v>2</v>
      </c>
      <c r="J86" s="88" t="s">
        <v>34</v>
      </c>
      <c r="K86" s="37">
        <v>42</v>
      </c>
      <c r="L86" s="27">
        <v>1</v>
      </c>
      <c r="M86" s="19">
        <v>1.83</v>
      </c>
      <c r="N86" s="22">
        <f>TREN01[[#This Row],[T]]-TREN01[[#This Row],[H]]</f>
        <v>0.83000000000000007</v>
      </c>
      <c r="O86" s="20" t="str">
        <f t="shared" si="37"/>
        <v>Seguimiento</v>
      </c>
    </row>
    <row r="87" spans="1:15" x14ac:dyDescent="0.25">
      <c r="A87" s="91" t="s">
        <v>27</v>
      </c>
      <c r="B87" s="32">
        <v>1</v>
      </c>
      <c r="C87" s="32">
        <v>1101557</v>
      </c>
      <c r="D87" s="39">
        <v>45756</v>
      </c>
      <c r="E87" s="32" t="s">
        <v>15</v>
      </c>
      <c r="F87" s="32" t="str">
        <f t="shared" si="42"/>
        <v>M20</v>
      </c>
      <c r="G87" s="62" t="str">
        <f t="shared" si="43"/>
        <v>003</v>
      </c>
      <c r="H87" s="63" t="str">
        <f t="shared" si="44"/>
        <v>C2</v>
      </c>
      <c r="I87" s="64">
        <v>1</v>
      </c>
      <c r="J87" s="88" t="s">
        <v>35</v>
      </c>
      <c r="K87" s="37">
        <v>43</v>
      </c>
      <c r="L87" s="27">
        <v>0.48</v>
      </c>
      <c r="M87" s="19">
        <v>4.3</v>
      </c>
      <c r="N87" s="22">
        <f>TREN01[[#This Row],[T]]-TREN01[[#This Row],[H]]</f>
        <v>3.82</v>
      </c>
      <c r="O87" s="20" t="str">
        <f t="shared" si="37"/>
        <v>OK</v>
      </c>
    </row>
    <row r="88" spans="1:15" x14ac:dyDescent="0.25">
      <c r="A88" s="91" t="s">
        <v>27</v>
      </c>
      <c r="B88" s="32">
        <v>1</v>
      </c>
      <c r="C88" s="32">
        <v>1101557</v>
      </c>
      <c r="D88" s="39">
        <v>45756</v>
      </c>
      <c r="E88" s="32" t="s">
        <v>15</v>
      </c>
      <c r="F88" s="32" t="str">
        <f t="shared" si="42"/>
        <v>M20</v>
      </c>
      <c r="G88" s="62" t="str">
        <f t="shared" si="43"/>
        <v>003</v>
      </c>
      <c r="H88" s="63" t="str">
        <f t="shared" ref="H88:I90" si="46">H87</f>
        <v>C2</v>
      </c>
      <c r="I88" s="64">
        <f t="shared" si="46"/>
        <v>1</v>
      </c>
      <c r="J88" s="88" t="s">
        <v>36</v>
      </c>
      <c r="K88" s="37">
        <v>43</v>
      </c>
      <c r="L88" s="27">
        <v>0.11</v>
      </c>
      <c r="M88" s="19">
        <v>3.65</v>
      </c>
      <c r="N88" s="22">
        <f>TREN01[[#This Row],[T]]-TREN01[[#This Row],[H]]</f>
        <v>3.54</v>
      </c>
      <c r="O88" s="20" t="str">
        <f t="shared" si="37"/>
        <v>OK</v>
      </c>
    </row>
    <row r="89" spans="1:15" x14ac:dyDescent="0.25">
      <c r="A89" s="91" t="s">
        <v>27</v>
      </c>
      <c r="B89" s="32">
        <v>1</v>
      </c>
      <c r="C89" s="32">
        <v>1101557</v>
      </c>
      <c r="D89" s="39">
        <v>45756</v>
      </c>
      <c r="E89" s="32" t="s">
        <v>15</v>
      </c>
      <c r="F89" s="32" t="str">
        <f t="shared" si="42"/>
        <v>M20</v>
      </c>
      <c r="G89" s="62" t="str">
        <f t="shared" si="43"/>
        <v>003</v>
      </c>
      <c r="H89" s="63" t="str">
        <f t="shared" si="46"/>
        <v>C2</v>
      </c>
      <c r="I89" s="64">
        <f t="shared" si="46"/>
        <v>1</v>
      </c>
      <c r="J89" s="88" t="s">
        <v>37</v>
      </c>
      <c r="K89" s="37">
        <v>44</v>
      </c>
      <c r="L89" s="27">
        <v>0.2</v>
      </c>
      <c r="M89" s="19">
        <v>3.45</v>
      </c>
      <c r="N89" s="22">
        <f>TREN01[[#This Row],[T]]-TREN01[[#This Row],[H]]</f>
        <v>3.25</v>
      </c>
      <c r="O89" s="20" t="str">
        <f t="shared" si="37"/>
        <v>OK</v>
      </c>
    </row>
    <row r="90" spans="1:15" x14ac:dyDescent="0.25">
      <c r="A90" s="91" t="s">
        <v>27</v>
      </c>
      <c r="B90" s="32">
        <v>1</v>
      </c>
      <c r="C90" s="32">
        <v>1101557</v>
      </c>
      <c r="D90" s="39">
        <v>45756</v>
      </c>
      <c r="E90" s="32" t="s">
        <v>15</v>
      </c>
      <c r="F90" s="32" t="str">
        <f t="shared" si="42"/>
        <v>M20</v>
      </c>
      <c r="G90" s="62" t="str">
        <f t="shared" si="43"/>
        <v>003</v>
      </c>
      <c r="H90" s="63" t="str">
        <f t="shared" si="46"/>
        <v>C2</v>
      </c>
      <c r="I90" s="64">
        <f t="shared" si="46"/>
        <v>1</v>
      </c>
      <c r="J90" s="88" t="s">
        <v>38</v>
      </c>
      <c r="K90" s="37">
        <v>44</v>
      </c>
      <c r="L90" s="27">
        <v>0.52</v>
      </c>
      <c r="M90" s="19">
        <v>3.77</v>
      </c>
      <c r="N90" s="22">
        <f>TREN01[[#This Row],[T]]-TREN01[[#This Row],[H]]</f>
        <v>3.25</v>
      </c>
      <c r="O90" s="20" t="str">
        <f t="shared" si="37"/>
        <v>OK</v>
      </c>
    </row>
    <row r="91" spans="1:15" x14ac:dyDescent="0.25">
      <c r="A91" s="91" t="s">
        <v>27</v>
      </c>
      <c r="B91" s="32">
        <v>1</v>
      </c>
      <c r="C91" s="32">
        <v>1101557</v>
      </c>
      <c r="D91" s="39">
        <v>45756</v>
      </c>
      <c r="E91" s="32" t="s">
        <v>15</v>
      </c>
      <c r="F91" s="32" t="str">
        <f t="shared" si="42"/>
        <v>M20</v>
      </c>
      <c r="G91" s="62" t="str">
        <f t="shared" si="43"/>
        <v>003</v>
      </c>
      <c r="H91" s="63" t="s">
        <v>30</v>
      </c>
      <c r="I91" s="64">
        <v>2</v>
      </c>
      <c r="J91" s="88" t="s">
        <v>31</v>
      </c>
      <c r="K91" s="37">
        <v>45</v>
      </c>
      <c r="L91" s="27">
        <v>0.15</v>
      </c>
      <c r="M91" s="19">
        <v>4.76</v>
      </c>
      <c r="N91" s="22">
        <f>TREN01[[#This Row],[T]]-TREN01[[#This Row],[H]]</f>
        <v>4.6099999999999994</v>
      </c>
      <c r="O91" s="20" t="str">
        <f t="shared" si="37"/>
        <v>OK</v>
      </c>
    </row>
    <row r="92" spans="1:15" x14ac:dyDescent="0.25">
      <c r="A92" s="91" t="s">
        <v>27</v>
      </c>
      <c r="B92" s="32">
        <v>1</v>
      </c>
      <c r="C92" s="32">
        <v>1101557</v>
      </c>
      <c r="D92" s="39">
        <v>45756</v>
      </c>
      <c r="E92" s="32" t="s">
        <v>15</v>
      </c>
      <c r="F92" s="32" t="str">
        <f t="shared" si="42"/>
        <v>M20</v>
      </c>
      <c r="G92" s="62" t="str">
        <f t="shared" ref="G92:I94" si="47">G91</f>
        <v>003</v>
      </c>
      <c r="H92" s="63" t="str">
        <f t="shared" si="47"/>
        <v>C1</v>
      </c>
      <c r="I92" s="64">
        <f t="shared" si="47"/>
        <v>2</v>
      </c>
      <c r="J92" s="88" t="s">
        <v>32</v>
      </c>
      <c r="K92" s="37">
        <v>45</v>
      </c>
      <c r="L92" s="27">
        <v>7.0000000000000007E-2</v>
      </c>
      <c r="M92" s="19">
        <v>5.07</v>
      </c>
      <c r="N92" s="22">
        <f>TREN01[[#This Row],[T]]-TREN01[[#This Row],[H]]</f>
        <v>5</v>
      </c>
      <c r="O92" s="20" t="str">
        <f t="shared" si="37"/>
        <v>OK</v>
      </c>
    </row>
    <row r="93" spans="1:15" x14ac:dyDescent="0.25">
      <c r="A93" s="91" t="s">
        <v>27</v>
      </c>
      <c r="B93" s="32">
        <v>1</v>
      </c>
      <c r="C93" s="32">
        <v>1101557</v>
      </c>
      <c r="D93" s="39">
        <v>45756</v>
      </c>
      <c r="E93" s="32" t="s">
        <v>15</v>
      </c>
      <c r="F93" s="32" t="str">
        <f t="shared" si="42"/>
        <v>M20</v>
      </c>
      <c r="G93" s="62" t="str">
        <f t="shared" si="47"/>
        <v>003</v>
      </c>
      <c r="H93" s="63" t="str">
        <f t="shared" si="47"/>
        <v>C1</v>
      </c>
      <c r="I93" s="64">
        <f t="shared" si="47"/>
        <v>2</v>
      </c>
      <c r="J93" s="88" t="s">
        <v>33</v>
      </c>
      <c r="K93" s="37">
        <v>46</v>
      </c>
      <c r="L93" s="27">
        <v>0.15</v>
      </c>
      <c r="M93" s="19">
        <v>2.06</v>
      </c>
      <c r="N93" s="22">
        <f>TREN01[[#This Row],[T]]-TREN01[[#This Row],[H]]</f>
        <v>1.9100000000000001</v>
      </c>
      <c r="O93" s="20" t="str">
        <f t="shared" si="37"/>
        <v>OK</v>
      </c>
    </row>
    <row r="94" spans="1:15" x14ac:dyDescent="0.25">
      <c r="A94" s="91" t="s">
        <v>27</v>
      </c>
      <c r="B94" s="32">
        <v>1</v>
      </c>
      <c r="C94" s="32">
        <v>1101557</v>
      </c>
      <c r="D94" s="39">
        <v>45756</v>
      </c>
      <c r="E94" s="32" t="s">
        <v>15</v>
      </c>
      <c r="F94" s="32" t="str">
        <f t="shared" si="42"/>
        <v>M20</v>
      </c>
      <c r="G94" s="62" t="str">
        <f t="shared" si="47"/>
        <v>003</v>
      </c>
      <c r="H94" s="63" t="str">
        <f t="shared" si="47"/>
        <v>C1</v>
      </c>
      <c r="I94" s="64">
        <f t="shared" si="47"/>
        <v>2</v>
      </c>
      <c r="J94" s="88" t="s">
        <v>34</v>
      </c>
      <c r="K94" s="37">
        <v>46</v>
      </c>
      <c r="L94" s="27">
        <v>0.49</v>
      </c>
      <c r="M94" s="19">
        <v>0.68</v>
      </c>
      <c r="N94" s="22">
        <f>TREN01[[#This Row],[T]]-TREN01[[#This Row],[H]]</f>
        <v>0.19000000000000006</v>
      </c>
      <c r="O94" s="20" t="str">
        <f t="shared" si="37"/>
        <v>Cambio</v>
      </c>
    </row>
    <row r="95" spans="1:15" x14ac:dyDescent="0.25">
      <c r="A95" s="91" t="s">
        <v>27</v>
      </c>
      <c r="B95" s="32">
        <v>1</v>
      </c>
      <c r="C95" s="32">
        <v>1101557</v>
      </c>
      <c r="D95" s="39">
        <v>45756</v>
      </c>
      <c r="E95" s="32" t="s">
        <v>15</v>
      </c>
      <c r="F95" s="32" t="str">
        <f t="shared" si="42"/>
        <v>M20</v>
      </c>
      <c r="G95" s="62" t="str">
        <f t="shared" ref="G95:H95" si="48">G94</f>
        <v>003</v>
      </c>
      <c r="H95" s="63" t="str">
        <f t="shared" si="48"/>
        <v>C1</v>
      </c>
      <c r="I95" s="64">
        <v>1</v>
      </c>
      <c r="J95" s="88" t="s">
        <v>35</v>
      </c>
      <c r="K95" s="37">
        <v>47</v>
      </c>
      <c r="L95" s="27">
        <v>0.27</v>
      </c>
      <c r="M95" s="19">
        <v>1.4</v>
      </c>
      <c r="N95" s="22">
        <f>TREN01[[#This Row],[T]]-TREN01[[#This Row],[H]]</f>
        <v>1.1299999999999999</v>
      </c>
      <c r="O95" s="20" t="str">
        <f t="shared" si="37"/>
        <v>OK</v>
      </c>
    </row>
    <row r="96" spans="1:15" x14ac:dyDescent="0.25">
      <c r="A96" s="91" t="s">
        <v>27</v>
      </c>
      <c r="B96" s="32">
        <v>1</v>
      </c>
      <c r="C96" s="32">
        <v>1101557</v>
      </c>
      <c r="D96" s="39">
        <v>45756</v>
      </c>
      <c r="E96" s="32" t="s">
        <v>15</v>
      </c>
      <c r="F96" s="32" t="str">
        <f t="shared" si="42"/>
        <v>M20</v>
      </c>
      <c r="G96" s="62" t="str">
        <f t="shared" ref="G96:I98" si="49">G95</f>
        <v>003</v>
      </c>
      <c r="H96" s="63" t="str">
        <f t="shared" si="49"/>
        <v>C1</v>
      </c>
      <c r="I96" s="64">
        <f t="shared" si="49"/>
        <v>1</v>
      </c>
      <c r="J96" s="88" t="s">
        <v>36</v>
      </c>
      <c r="K96" s="37">
        <v>47</v>
      </c>
      <c r="L96" s="27">
        <v>0.46</v>
      </c>
      <c r="M96" s="19">
        <v>4.8099999999999996</v>
      </c>
      <c r="N96" s="22">
        <f>TREN01[[#This Row],[T]]-TREN01[[#This Row],[H]]</f>
        <v>4.3499999999999996</v>
      </c>
      <c r="O96" s="20" t="str">
        <f t="shared" si="37"/>
        <v>OK</v>
      </c>
    </row>
    <row r="97" spans="1:15" x14ac:dyDescent="0.25">
      <c r="A97" s="91" t="s">
        <v>27</v>
      </c>
      <c r="B97" s="32">
        <v>1</v>
      </c>
      <c r="C97" s="32">
        <v>1101557</v>
      </c>
      <c r="D97" s="39">
        <v>45756</v>
      </c>
      <c r="E97" s="32" t="s">
        <v>15</v>
      </c>
      <c r="F97" s="32" t="str">
        <f t="shared" si="42"/>
        <v>M20</v>
      </c>
      <c r="G97" s="62" t="str">
        <f t="shared" si="49"/>
        <v>003</v>
      </c>
      <c r="H97" s="63" t="str">
        <f t="shared" si="49"/>
        <v>C1</v>
      </c>
      <c r="I97" s="64">
        <f t="shared" si="49"/>
        <v>1</v>
      </c>
      <c r="J97" s="88" t="s">
        <v>37</v>
      </c>
      <c r="K97" s="37">
        <v>48</v>
      </c>
      <c r="L97" s="27">
        <v>0.28000000000000003</v>
      </c>
      <c r="M97" s="19">
        <v>1.73</v>
      </c>
      <c r="N97" s="22">
        <f>TREN01[[#This Row],[T]]-TREN01[[#This Row],[H]]</f>
        <v>1.45</v>
      </c>
      <c r="O97" s="20" t="str">
        <f t="shared" si="37"/>
        <v>OK</v>
      </c>
    </row>
    <row r="98" spans="1:15" ht="15.75" thickBot="1" x14ac:dyDescent="0.3">
      <c r="A98" s="92" t="s">
        <v>27</v>
      </c>
      <c r="B98" s="48">
        <v>1</v>
      </c>
      <c r="C98" s="48">
        <v>1101557</v>
      </c>
      <c r="D98" s="49">
        <v>45756</v>
      </c>
      <c r="E98" s="48" t="s">
        <v>15</v>
      </c>
      <c r="F98" s="48" t="str">
        <f t="shared" si="42"/>
        <v>M20</v>
      </c>
      <c r="G98" s="68" t="str">
        <f t="shared" si="49"/>
        <v>003</v>
      </c>
      <c r="H98" s="69" t="str">
        <f t="shared" si="49"/>
        <v>C1</v>
      </c>
      <c r="I98" s="70">
        <f t="shared" si="49"/>
        <v>1</v>
      </c>
      <c r="J98" s="102" t="s">
        <v>38</v>
      </c>
      <c r="K98" s="37">
        <v>48</v>
      </c>
      <c r="L98" s="35">
        <v>0.46</v>
      </c>
      <c r="M98" s="34">
        <v>1.1599999999999999</v>
      </c>
      <c r="N98" s="22">
        <f>TREN01[[#This Row],[T]]-TREN01[[#This Row],[H]]</f>
        <v>0.7</v>
      </c>
      <c r="O98" s="20" t="str">
        <f t="shared" si="37"/>
        <v>Seguimiento</v>
      </c>
    </row>
    <row r="99" spans="1:15" x14ac:dyDescent="0.25">
      <c r="A99" s="93" t="s">
        <v>16</v>
      </c>
      <c r="B99" s="36">
        <v>1</v>
      </c>
      <c r="C99" s="36">
        <v>1107200</v>
      </c>
      <c r="D99" s="52">
        <v>45791</v>
      </c>
      <c r="E99" s="36" t="s">
        <v>15</v>
      </c>
      <c r="F99" s="36" t="s">
        <v>28</v>
      </c>
      <c r="G99" s="65" t="s">
        <v>29</v>
      </c>
      <c r="H99" s="66" t="s">
        <v>30</v>
      </c>
      <c r="I99" s="67">
        <v>1</v>
      </c>
      <c r="J99" s="40" t="s">
        <v>31</v>
      </c>
      <c r="K99" s="37">
        <v>1</v>
      </c>
      <c r="L99" s="17">
        <v>7.0000000000000007E-2</v>
      </c>
      <c r="M99" s="19">
        <v>4.54</v>
      </c>
      <c r="N99" s="22">
        <f>TREN01[[#This Row],[T]]-TREN01[[#This Row],[H]]</f>
        <v>4.47</v>
      </c>
      <c r="O99" s="20" t="str">
        <f t="shared" si="37"/>
        <v>OK</v>
      </c>
    </row>
    <row r="100" spans="1:15" x14ac:dyDescent="0.25">
      <c r="A100" s="91" t="s">
        <v>16</v>
      </c>
      <c r="B100" s="32">
        <v>1</v>
      </c>
      <c r="C100" s="32">
        <v>1107200</v>
      </c>
      <c r="D100" s="39">
        <v>45791</v>
      </c>
      <c r="E100" s="32" t="s">
        <v>15</v>
      </c>
      <c r="F100" s="32" t="str">
        <f t="shared" ref="F100:F114" si="50">F99</f>
        <v>M20</v>
      </c>
      <c r="G100" s="62" t="str">
        <f t="shared" ref="G100:G114" si="51">G99</f>
        <v>001</v>
      </c>
      <c r="H100" s="63" t="str">
        <f t="shared" ref="H100:H106" si="52">H99</f>
        <v>C1</v>
      </c>
      <c r="I100" s="64">
        <f t="shared" ref="I100:I102" si="53">I99</f>
        <v>1</v>
      </c>
      <c r="J100" s="40" t="s">
        <v>32</v>
      </c>
      <c r="K100" s="37">
        <v>1</v>
      </c>
      <c r="L100" s="17">
        <v>0.12</v>
      </c>
      <c r="M100" s="19">
        <v>2.19</v>
      </c>
      <c r="N100" s="22">
        <f>TREN01[[#This Row],[T]]-TREN01[[#This Row],[H]]</f>
        <v>2.0699999999999998</v>
      </c>
      <c r="O100" s="20" t="str">
        <f t="shared" si="37"/>
        <v>OK</v>
      </c>
    </row>
    <row r="101" spans="1:15" x14ac:dyDescent="0.25">
      <c r="A101" s="93" t="s">
        <v>16</v>
      </c>
      <c r="B101" s="32">
        <v>1</v>
      </c>
      <c r="C101" s="32">
        <v>1107200</v>
      </c>
      <c r="D101" s="39">
        <v>45791</v>
      </c>
      <c r="E101" s="32" t="s">
        <v>15</v>
      </c>
      <c r="F101" s="32" t="str">
        <f t="shared" si="50"/>
        <v>M20</v>
      </c>
      <c r="G101" s="62" t="str">
        <f t="shared" si="51"/>
        <v>001</v>
      </c>
      <c r="H101" s="63" t="str">
        <f t="shared" si="52"/>
        <v>C1</v>
      </c>
      <c r="I101" s="64">
        <f t="shared" si="53"/>
        <v>1</v>
      </c>
      <c r="J101" s="40" t="s">
        <v>33</v>
      </c>
      <c r="K101" s="37">
        <v>2</v>
      </c>
      <c r="L101" s="17">
        <v>0.31</v>
      </c>
      <c r="M101" s="19">
        <v>2.25</v>
      </c>
      <c r="N101" s="22">
        <f>TREN01[[#This Row],[T]]-TREN01[[#This Row],[H]]</f>
        <v>1.94</v>
      </c>
      <c r="O101" s="20" t="str">
        <f t="shared" si="37"/>
        <v>OK</v>
      </c>
    </row>
    <row r="102" spans="1:15" x14ac:dyDescent="0.25">
      <c r="A102" s="93" t="s">
        <v>16</v>
      </c>
      <c r="B102" s="32">
        <v>1</v>
      </c>
      <c r="C102" s="32">
        <v>1107200</v>
      </c>
      <c r="D102" s="39">
        <v>45791</v>
      </c>
      <c r="E102" s="32" t="s">
        <v>15</v>
      </c>
      <c r="F102" s="32" t="str">
        <f t="shared" si="50"/>
        <v>M20</v>
      </c>
      <c r="G102" s="62" t="str">
        <f t="shared" si="51"/>
        <v>001</v>
      </c>
      <c r="H102" s="63" t="str">
        <f t="shared" si="52"/>
        <v>C1</v>
      </c>
      <c r="I102" s="64">
        <f t="shared" si="53"/>
        <v>1</v>
      </c>
      <c r="J102" s="40" t="s">
        <v>34</v>
      </c>
      <c r="K102" s="37">
        <v>2</v>
      </c>
      <c r="L102" s="17">
        <v>0.59</v>
      </c>
      <c r="M102" s="19">
        <v>2.93</v>
      </c>
      <c r="N102" s="22">
        <f>TREN01[[#This Row],[T]]-TREN01[[#This Row],[H]]</f>
        <v>2.3400000000000003</v>
      </c>
      <c r="O102" s="20" t="str">
        <f t="shared" si="37"/>
        <v>OK</v>
      </c>
    </row>
    <row r="103" spans="1:15" x14ac:dyDescent="0.25">
      <c r="A103" s="93" t="s">
        <v>16</v>
      </c>
      <c r="B103" s="32">
        <v>1</v>
      </c>
      <c r="C103" s="32">
        <v>1107200</v>
      </c>
      <c r="D103" s="39">
        <v>45791</v>
      </c>
      <c r="E103" s="32" t="s">
        <v>15</v>
      </c>
      <c r="F103" s="32" t="str">
        <f t="shared" si="50"/>
        <v>M20</v>
      </c>
      <c r="G103" s="62" t="str">
        <f t="shared" si="51"/>
        <v>001</v>
      </c>
      <c r="H103" s="63" t="str">
        <f t="shared" si="52"/>
        <v>C1</v>
      </c>
      <c r="I103" s="64">
        <v>2</v>
      </c>
      <c r="J103" s="40" t="s">
        <v>35</v>
      </c>
      <c r="K103" s="37">
        <v>3</v>
      </c>
      <c r="L103" s="17">
        <v>0.19</v>
      </c>
      <c r="M103" s="19">
        <v>4.3499999999999996</v>
      </c>
      <c r="N103" s="22">
        <f>TREN01[[#This Row],[T]]-TREN01[[#This Row],[H]]</f>
        <v>4.1599999999999993</v>
      </c>
      <c r="O103" s="20" t="str">
        <f t="shared" si="37"/>
        <v>OK</v>
      </c>
    </row>
    <row r="104" spans="1:15" x14ac:dyDescent="0.25">
      <c r="A104" s="93" t="s">
        <v>16</v>
      </c>
      <c r="B104" s="32">
        <v>1</v>
      </c>
      <c r="C104" s="32">
        <v>1107200</v>
      </c>
      <c r="D104" s="39">
        <v>45791</v>
      </c>
      <c r="E104" s="32" t="s">
        <v>15</v>
      </c>
      <c r="F104" s="32" t="str">
        <f t="shared" si="50"/>
        <v>M20</v>
      </c>
      <c r="G104" s="62" t="str">
        <f t="shared" si="51"/>
        <v>001</v>
      </c>
      <c r="H104" s="63" t="str">
        <f t="shared" si="52"/>
        <v>C1</v>
      </c>
      <c r="I104" s="64">
        <f t="shared" ref="I104:I106" si="54">I103</f>
        <v>2</v>
      </c>
      <c r="J104" s="40" t="s">
        <v>36</v>
      </c>
      <c r="K104" s="37">
        <v>3</v>
      </c>
      <c r="L104" s="17">
        <v>0.04</v>
      </c>
      <c r="M104" s="19">
        <v>4.3600000000000003</v>
      </c>
      <c r="N104" s="22">
        <f>TREN01[[#This Row],[T]]-TREN01[[#This Row],[H]]</f>
        <v>4.32</v>
      </c>
      <c r="O104" s="20" t="str">
        <f t="shared" si="37"/>
        <v>OK</v>
      </c>
    </row>
    <row r="105" spans="1:15" x14ac:dyDescent="0.25">
      <c r="A105" s="93" t="s">
        <v>16</v>
      </c>
      <c r="B105" s="32">
        <v>1</v>
      </c>
      <c r="C105" s="32">
        <v>1107200</v>
      </c>
      <c r="D105" s="39">
        <v>45791</v>
      </c>
      <c r="E105" s="32" t="s">
        <v>15</v>
      </c>
      <c r="F105" s="32" t="str">
        <f t="shared" si="50"/>
        <v>M20</v>
      </c>
      <c r="G105" s="62" t="str">
        <f t="shared" si="51"/>
        <v>001</v>
      </c>
      <c r="H105" s="63" t="str">
        <f t="shared" si="52"/>
        <v>C1</v>
      </c>
      <c r="I105" s="64">
        <f t="shared" si="54"/>
        <v>2</v>
      </c>
      <c r="J105" s="40" t="s">
        <v>37</v>
      </c>
      <c r="K105" s="37">
        <v>4</v>
      </c>
      <c r="L105" s="17">
        <v>0.64</v>
      </c>
      <c r="M105" s="19">
        <v>3.85</v>
      </c>
      <c r="N105" s="22">
        <f>TREN01[[#This Row],[T]]-TREN01[[#This Row],[H]]</f>
        <v>3.21</v>
      </c>
      <c r="O105" s="20" t="str">
        <f t="shared" si="37"/>
        <v>OK</v>
      </c>
    </row>
    <row r="106" spans="1:15" x14ac:dyDescent="0.25">
      <c r="A106" s="93" t="s">
        <v>16</v>
      </c>
      <c r="B106" s="32">
        <v>1</v>
      </c>
      <c r="C106" s="32">
        <v>1107200</v>
      </c>
      <c r="D106" s="39">
        <v>45791</v>
      </c>
      <c r="E106" s="32" t="s">
        <v>15</v>
      </c>
      <c r="F106" s="32" t="str">
        <f t="shared" si="50"/>
        <v>M20</v>
      </c>
      <c r="G106" s="62" t="str">
        <f t="shared" si="51"/>
        <v>001</v>
      </c>
      <c r="H106" s="63" t="str">
        <f t="shared" si="52"/>
        <v>C1</v>
      </c>
      <c r="I106" s="64">
        <f t="shared" si="54"/>
        <v>2</v>
      </c>
      <c r="J106" s="40" t="s">
        <v>38</v>
      </c>
      <c r="K106" s="37">
        <v>4</v>
      </c>
      <c r="L106" s="17">
        <v>0.74</v>
      </c>
      <c r="M106" s="19">
        <v>3.4</v>
      </c>
      <c r="N106" s="22">
        <f>TREN01[[#This Row],[T]]-TREN01[[#This Row],[H]]</f>
        <v>2.66</v>
      </c>
      <c r="O106" s="20" t="str">
        <f t="shared" si="37"/>
        <v>OK</v>
      </c>
    </row>
    <row r="107" spans="1:15" x14ac:dyDescent="0.25">
      <c r="A107" s="93" t="s">
        <v>16</v>
      </c>
      <c r="B107" s="32">
        <v>1</v>
      </c>
      <c r="C107" s="32">
        <v>1107200</v>
      </c>
      <c r="D107" s="39">
        <v>45791</v>
      </c>
      <c r="E107" s="32" t="s">
        <v>15</v>
      </c>
      <c r="F107" s="32" t="str">
        <f t="shared" si="50"/>
        <v>M20</v>
      </c>
      <c r="G107" s="62" t="str">
        <f t="shared" si="51"/>
        <v>001</v>
      </c>
      <c r="H107" s="63" t="s">
        <v>39</v>
      </c>
      <c r="I107" s="64">
        <v>1</v>
      </c>
      <c r="J107" s="40" t="s">
        <v>31</v>
      </c>
      <c r="K107" s="37">
        <v>5</v>
      </c>
      <c r="L107" s="17">
        <v>0.06</v>
      </c>
      <c r="M107" s="19">
        <v>4.42</v>
      </c>
      <c r="N107" s="22">
        <f>TREN01[[#This Row],[T]]-TREN01[[#This Row],[H]]</f>
        <v>4.3600000000000003</v>
      </c>
      <c r="O107" s="20" t="str">
        <f t="shared" si="37"/>
        <v>OK</v>
      </c>
    </row>
    <row r="108" spans="1:15" x14ac:dyDescent="0.25">
      <c r="A108" s="93" t="s">
        <v>16</v>
      </c>
      <c r="B108" s="32">
        <v>1</v>
      </c>
      <c r="C108" s="32">
        <v>1107200</v>
      </c>
      <c r="D108" s="39">
        <v>45791</v>
      </c>
      <c r="E108" s="32" t="s">
        <v>15</v>
      </c>
      <c r="F108" s="32" t="str">
        <f t="shared" si="50"/>
        <v>M20</v>
      </c>
      <c r="G108" s="62" t="str">
        <f t="shared" si="51"/>
        <v>001</v>
      </c>
      <c r="H108" s="63" t="str">
        <f t="shared" ref="H108:H114" si="55">H107</f>
        <v>C2</v>
      </c>
      <c r="I108" s="64">
        <f t="shared" ref="I108:I110" si="56">I107</f>
        <v>1</v>
      </c>
      <c r="J108" s="40" t="s">
        <v>32</v>
      </c>
      <c r="K108" s="37">
        <v>5</v>
      </c>
      <c r="L108" s="17">
        <v>0.02</v>
      </c>
      <c r="M108" s="19">
        <v>3.94</v>
      </c>
      <c r="N108" s="22">
        <f>TREN01[[#This Row],[T]]-TREN01[[#This Row],[H]]</f>
        <v>3.92</v>
      </c>
      <c r="O108" s="20" t="str">
        <f t="shared" si="37"/>
        <v>OK</v>
      </c>
    </row>
    <row r="109" spans="1:15" x14ac:dyDescent="0.25">
      <c r="A109" s="93" t="s">
        <v>16</v>
      </c>
      <c r="B109" s="32">
        <v>1</v>
      </c>
      <c r="C109" s="32">
        <v>1107200</v>
      </c>
      <c r="D109" s="39">
        <v>45791</v>
      </c>
      <c r="E109" s="32" t="s">
        <v>15</v>
      </c>
      <c r="F109" s="32" t="str">
        <f t="shared" si="50"/>
        <v>M20</v>
      </c>
      <c r="G109" s="62" t="str">
        <f t="shared" si="51"/>
        <v>001</v>
      </c>
      <c r="H109" s="63" t="str">
        <f t="shared" si="55"/>
        <v>C2</v>
      </c>
      <c r="I109" s="64">
        <f t="shared" si="56"/>
        <v>1</v>
      </c>
      <c r="J109" s="40" t="s">
        <v>33</v>
      </c>
      <c r="K109" s="37">
        <v>6</v>
      </c>
      <c r="L109" s="17">
        <v>0.37</v>
      </c>
      <c r="M109" s="19">
        <v>0.67</v>
      </c>
      <c r="N109" s="22">
        <f>TREN01[[#This Row],[T]]-TREN01[[#This Row],[H]]</f>
        <v>0.30000000000000004</v>
      </c>
      <c r="O109" s="20" t="str">
        <f t="shared" si="37"/>
        <v>Seguimiento</v>
      </c>
    </row>
    <row r="110" spans="1:15" x14ac:dyDescent="0.25">
      <c r="A110" s="93" t="s">
        <v>16</v>
      </c>
      <c r="B110" s="32">
        <v>1</v>
      </c>
      <c r="C110" s="32">
        <v>1107200</v>
      </c>
      <c r="D110" s="39">
        <v>45791</v>
      </c>
      <c r="E110" s="32" t="s">
        <v>15</v>
      </c>
      <c r="F110" s="32" t="str">
        <f t="shared" si="50"/>
        <v>M20</v>
      </c>
      <c r="G110" s="62" t="str">
        <f t="shared" si="51"/>
        <v>001</v>
      </c>
      <c r="H110" s="63" t="str">
        <f t="shared" si="55"/>
        <v>C2</v>
      </c>
      <c r="I110" s="64">
        <f t="shared" si="56"/>
        <v>1</v>
      </c>
      <c r="J110" s="40" t="s">
        <v>34</v>
      </c>
      <c r="K110" s="37">
        <v>6</v>
      </c>
      <c r="L110" s="17">
        <v>0.09</v>
      </c>
      <c r="M110" s="19">
        <v>1.98</v>
      </c>
      <c r="N110" s="22">
        <f>TREN01[[#This Row],[T]]-TREN01[[#This Row],[H]]</f>
        <v>1.89</v>
      </c>
      <c r="O110" s="20" t="str">
        <f t="shared" si="37"/>
        <v>OK</v>
      </c>
    </row>
    <row r="111" spans="1:15" x14ac:dyDescent="0.25">
      <c r="A111" s="93" t="s">
        <v>16</v>
      </c>
      <c r="B111" s="32">
        <v>1</v>
      </c>
      <c r="C111" s="32">
        <v>1107200</v>
      </c>
      <c r="D111" s="39">
        <v>45791</v>
      </c>
      <c r="E111" s="32" t="s">
        <v>15</v>
      </c>
      <c r="F111" s="32" t="str">
        <f t="shared" si="50"/>
        <v>M20</v>
      </c>
      <c r="G111" s="62" t="str">
        <f t="shared" si="51"/>
        <v>001</v>
      </c>
      <c r="H111" s="63" t="str">
        <f t="shared" si="55"/>
        <v>C2</v>
      </c>
      <c r="I111" s="64">
        <v>2</v>
      </c>
      <c r="J111" s="40" t="s">
        <v>35</v>
      </c>
      <c r="K111" s="37">
        <v>7</v>
      </c>
      <c r="L111" s="17">
        <v>0.09</v>
      </c>
      <c r="M111" s="19">
        <v>4.87</v>
      </c>
      <c r="N111" s="22">
        <f>TREN01[[#This Row],[T]]-TREN01[[#This Row],[H]]</f>
        <v>4.78</v>
      </c>
      <c r="O111" s="20" t="str">
        <f t="shared" si="37"/>
        <v>OK</v>
      </c>
    </row>
    <row r="112" spans="1:15" x14ac:dyDescent="0.25">
      <c r="A112" s="93" t="s">
        <v>16</v>
      </c>
      <c r="B112" s="32">
        <v>1</v>
      </c>
      <c r="C112" s="32">
        <v>1107200</v>
      </c>
      <c r="D112" s="39">
        <v>45791</v>
      </c>
      <c r="E112" s="32" t="s">
        <v>15</v>
      </c>
      <c r="F112" s="32" t="str">
        <f t="shared" si="50"/>
        <v>M20</v>
      </c>
      <c r="G112" s="62" t="str">
        <f t="shared" si="51"/>
        <v>001</v>
      </c>
      <c r="H112" s="63" t="str">
        <f t="shared" si="55"/>
        <v>C2</v>
      </c>
      <c r="I112" s="64">
        <f t="shared" ref="I112:I114" si="57">I111</f>
        <v>2</v>
      </c>
      <c r="J112" s="40" t="s">
        <v>36</v>
      </c>
      <c r="K112" s="37">
        <v>7</v>
      </c>
      <c r="L112" s="17">
        <v>0.13</v>
      </c>
      <c r="M112" s="19">
        <v>4.17</v>
      </c>
      <c r="N112" s="22">
        <f>TREN01[[#This Row],[T]]-TREN01[[#This Row],[H]]</f>
        <v>4.04</v>
      </c>
      <c r="O112" s="20" t="str">
        <f t="shared" si="37"/>
        <v>OK</v>
      </c>
    </row>
    <row r="113" spans="1:15" x14ac:dyDescent="0.25">
      <c r="A113" s="93" t="s">
        <v>16</v>
      </c>
      <c r="B113" s="32">
        <v>1</v>
      </c>
      <c r="C113" s="32">
        <v>1107200</v>
      </c>
      <c r="D113" s="39">
        <v>45791</v>
      </c>
      <c r="E113" s="32" t="s">
        <v>15</v>
      </c>
      <c r="F113" s="32" t="str">
        <f t="shared" si="50"/>
        <v>M20</v>
      </c>
      <c r="G113" s="62" t="str">
        <f t="shared" si="51"/>
        <v>001</v>
      </c>
      <c r="H113" s="63" t="str">
        <f t="shared" si="55"/>
        <v>C2</v>
      </c>
      <c r="I113" s="64">
        <f t="shared" si="57"/>
        <v>2</v>
      </c>
      <c r="J113" s="40" t="s">
        <v>37</v>
      </c>
      <c r="K113" s="37">
        <v>8</v>
      </c>
      <c r="L113" s="17">
        <v>0.38</v>
      </c>
      <c r="M113" s="19">
        <v>0.83</v>
      </c>
      <c r="N113" s="22">
        <f>TREN01[[#This Row],[T]]-TREN01[[#This Row],[H]]</f>
        <v>0.44999999999999996</v>
      </c>
      <c r="O113" s="20" t="str">
        <f t="shared" si="37"/>
        <v>Seguimiento</v>
      </c>
    </row>
    <row r="114" spans="1:15" x14ac:dyDescent="0.25">
      <c r="A114" s="93" t="s">
        <v>16</v>
      </c>
      <c r="B114" s="32">
        <v>1</v>
      </c>
      <c r="C114" s="32">
        <v>1107200</v>
      </c>
      <c r="D114" s="39">
        <v>45791</v>
      </c>
      <c r="E114" s="32" t="s">
        <v>15</v>
      </c>
      <c r="F114" s="32" t="str">
        <f t="shared" si="50"/>
        <v>M20</v>
      </c>
      <c r="G114" s="62" t="str">
        <f t="shared" si="51"/>
        <v>001</v>
      </c>
      <c r="H114" s="63" t="str">
        <f t="shared" si="55"/>
        <v>C2</v>
      </c>
      <c r="I114" s="64">
        <f t="shared" si="57"/>
        <v>2</v>
      </c>
      <c r="J114" s="40" t="s">
        <v>38</v>
      </c>
      <c r="K114" s="37">
        <v>8</v>
      </c>
      <c r="L114" s="17">
        <v>0.11</v>
      </c>
      <c r="M114" s="19">
        <v>2.02</v>
      </c>
      <c r="N114" s="22">
        <f>TREN01[[#This Row],[T]]-TREN01[[#This Row],[H]]</f>
        <v>1.91</v>
      </c>
      <c r="O114" s="20" t="str">
        <f t="shared" si="37"/>
        <v>OK</v>
      </c>
    </row>
    <row r="115" spans="1:15" x14ac:dyDescent="0.25">
      <c r="A115" s="93" t="s">
        <v>16</v>
      </c>
      <c r="B115" s="32">
        <v>1</v>
      </c>
      <c r="C115" s="32">
        <v>1107200</v>
      </c>
      <c r="D115" s="39">
        <v>45791</v>
      </c>
      <c r="E115" s="32" t="s">
        <v>15</v>
      </c>
      <c r="F115" s="32" t="s">
        <v>40</v>
      </c>
      <c r="G115" s="62" t="s">
        <v>41</v>
      </c>
      <c r="H115" s="63" t="s">
        <v>42</v>
      </c>
      <c r="I115" s="64">
        <v>1</v>
      </c>
      <c r="J115" s="40" t="s">
        <v>31</v>
      </c>
      <c r="K115" s="37">
        <v>9</v>
      </c>
      <c r="L115" s="17">
        <v>0.59</v>
      </c>
      <c r="M115" s="19">
        <v>4.21</v>
      </c>
      <c r="N115" s="22">
        <f>TREN01[[#This Row],[T]]-TREN01[[#This Row],[H]]</f>
        <v>3.62</v>
      </c>
      <c r="O115" s="20" t="str">
        <f t="shared" si="37"/>
        <v>OK</v>
      </c>
    </row>
    <row r="116" spans="1:15" x14ac:dyDescent="0.25">
      <c r="A116" s="93" t="s">
        <v>16</v>
      </c>
      <c r="B116" s="32">
        <v>1</v>
      </c>
      <c r="C116" s="32">
        <v>1107200</v>
      </c>
      <c r="D116" s="39">
        <v>45791</v>
      </c>
      <c r="E116" s="32" t="s">
        <v>15</v>
      </c>
      <c r="F116" s="32" t="str">
        <f t="shared" ref="F116:F130" si="58">F115</f>
        <v>M21</v>
      </c>
      <c r="G116" s="62" t="str">
        <f t="shared" ref="G116:G130" si="59">G115</f>
        <v>002</v>
      </c>
      <c r="H116" s="63" t="str">
        <f t="shared" ref="H116:H122" si="60">H115</f>
        <v>C3</v>
      </c>
      <c r="I116" s="64">
        <f t="shared" ref="I116:I118" si="61">I115</f>
        <v>1</v>
      </c>
      <c r="J116" s="40" t="s">
        <v>32</v>
      </c>
      <c r="K116" s="37">
        <v>9</v>
      </c>
      <c r="L116" s="17">
        <v>0.4</v>
      </c>
      <c r="M116" s="19">
        <v>3.15</v>
      </c>
      <c r="N116" s="22">
        <f>TREN01[[#This Row],[T]]-TREN01[[#This Row],[H]]</f>
        <v>2.75</v>
      </c>
      <c r="O116" s="20" t="str">
        <f t="shared" si="37"/>
        <v>OK</v>
      </c>
    </row>
    <row r="117" spans="1:15" x14ac:dyDescent="0.25">
      <c r="A117" s="93" t="s">
        <v>16</v>
      </c>
      <c r="B117" s="32">
        <v>1</v>
      </c>
      <c r="C117" s="32">
        <v>1107200</v>
      </c>
      <c r="D117" s="39">
        <v>45791</v>
      </c>
      <c r="E117" s="32" t="s">
        <v>15</v>
      </c>
      <c r="F117" s="32" t="str">
        <f t="shared" si="58"/>
        <v>M21</v>
      </c>
      <c r="G117" s="62" t="str">
        <f t="shared" si="59"/>
        <v>002</v>
      </c>
      <c r="H117" s="63" t="str">
        <f t="shared" si="60"/>
        <v>C3</v>
      </c>
      <c r="I117" s="64">
        <f t="shared" si="61"/>
        <v>1</v>
      </c>
      <c r="J117" s="40" t="s">
        <v>33</v>
      </c>
      <c r="K117" s="37">
        <v>10</v>
      </c>
      <c r="L117" s="17">
        <v>0.99</v>
      </c>
      <c r="M117" s="19">
        <v>4.82</v>
      </c>
      <c r="N117" s="22">
        <f>TREN01[[#This Row],[T]]-TREN01[[#This Row],[H]]</f>
        <v>3.83</v>
      </c>
      <c r="O117" s="20" t="str">
        <f t="shared" si="37"/>
        <v>OK</v>
      </c>
    </row>
    <row r="118" spans="1:15" x14ac:dyDescent="0.25">
      <c r="A118" s="93" t="s">
        <v>16</v>
      </c>
      <c r="B118" s="32">
        <v>1</v>
      </c>
      <c r="C118" s="32">
        <v>1107200</v>
      </c>
      <c r="D118" s="39">
        <v>45791</v>
      </c>
      <c r="E118" s="32" t="s">
        <v>15</v>
      </c>
      <c r="F118" s="32" t="str">
        <f t="shared" si="58"/>
        <v>M21</v>
      </c>
      <c r="G118" s="62" t="str">
        <f t="shared" si="59"/>
        <v>002</v>
      </c>
      <c r="H118" s="63" t="str">
        <f t="shared" si="60"/>
        <v>C3</v>
      </c>
      <c r="I118" s="64">
        <f t="shared" si="61"/>
        <v>1</v>
      </c>
      <c r="J118" s="40" t="s">
        <v>34</v>
      </c>
      <c r="K118" s="37">
        <v>10</v>
      </c>
      <c r="L118" s="17">
        <v>0.66</v>
      </c>
      <c r="M118" s="19">
        <v>2.95</v>
      </c>
      <c r="N118" s="22">
        <f>TREN01[[#This Row],[T]]-TREN01[[#This Row],[H]]</f>
        <v>2.29</v>
      </c>
      <c r="O118" s="20" t="str">
        <f t="shared" si="37"/>
        <v>OK</v>
      </c>
    </row>
    <row r="119" spans="1:15" x14ac:dyDescent="0.25">
      <c r="A119" s="93" t="s">
        <v>16</v>
      </c>
      <c r="B119" s="32">
        <v>1</v>
      </c>
      <c r="C119" s="32">
        <v>1107200</v>
      </c>
      <c r="D119" s="39">
        <v>45791</v>
      </c>
      <c r="E119" s="32" t="s">
        <v>15</v>
      </c>
      <c r="F119" s="32" t="str">
        <f t="shared" si="58"/>
        <v>M21</v>
      </c>
      <c r="G119" s="62" t="str">
        <f t="shared" si="59"/>
        <v>002</v>
      </c>
      <c r="H119" s="63" t="str">
        <f t="shared" si="60"/>
        <v>C3</v>
      </c>
      <c r="I119" s="64">
        <v>2</v>
      </c>
      <c r="J119" s="40" t="s">
        <v>35</v>
      </c>
      <c r="K119" s="37">
        <v>11</v>
      </c>
      <c r="L119" s="17">
        <v>0.1</v>
      </c>
      <c r="M119" s="19">
        <v>1.32</v>
      </c>
      <c r="N119" s="22">
        <f>TREN01[[#This Row],[T]]-TREN01[[#This Row],[H]]</f>
        <v>1.22</v>
      </c>
      <c r="O119" s="20" t="str">
        <f t="shared" si="37"/>
        <v>OK</v>
      </c>
    </row>
    <row r="120" spans="1:15" x14ac:dyDescent="0.25">
      <c r="A120" s="93" t="s">
        <v>16</v>
      </c>
      <c r="B120" s="32">
        <v>1</v>
      </c>
      <c r="C120" s="32">
        <v>1107200</v>
      </c>
      <c r="D120" s="39">
        <v>45791</v>
      </c>
      <c r="E120" s="32" t="s">
        <v>15</v>
      </c>
      <c r="F120" s="32" t="str">
        <f t="shared" si="58"/>
        <v>M21</v>
      </c>
      <c r="G120" s="62" t="str">
        <f t="shared" si="59"/>
        <v>002</v>
      </c>
      <c r="H120" s="63" t="str">
        <f t="shared" si="60"/>
        <v>C3</v>
      </c>
      <c r="I120" s="64">
        <f t="shared" ref="I120:I122" si="62">I119</f>
        <v>2</v>
      </c>
      <c r="J120" s="40" t="s">
        <v>36</v>
      </c>
      <c r="K120" s="37">
        <v>11</v>
      </c>
      <c r="L120" s="17">
        <v>0.2</v>
      </c>
      <c r="M120" s="19">
        <v>2.65</v>
      </c>
      <c r="N120" s="22">
        <f>TREN01[[#This Row],[T]]-TREN01[[#This Row],[H]]</f>
        <v>2.4499999999999997</v>
      </c>
      <c r="O120" s="20" t="str">
        <f t="shared" si="37"/>
        <v>OK</v>
      </c>
    </row>
    <row r="121" spans="1:15" x14ac:dyDescent="0.25">
      <c r="A121" s="93" t="s">
        <v>16</v>
      </c>
      <c r="B121" s="32">
        <v>1</v>
      </c>
      <c r="C121" s="32">
        <v>1107200</v>
      </c>
      <c r="D121" s="39">
        <v>45791</v>
      </c>
      <c r="E121" s="32" t="s">
        <v>15</v>
      </c>
      <c r="F121" s="32" t="str">
        <f t="shared" si="58"/>
        <v>M21</v>
      </c>
      <c r="G121" s="62" t="str">
        <f t="shared" si="59"/>
        <v>002</v>
      </c>
      <c r="H121" s="63" t="str">
        <f t="shared" si="60"/>
        <v>C3</v>
      </c>
      <c r="I121" s="64">
        <f t="shared" si="62"/>
        <v>2</v>
      </c>
      <c r="J121" s="40" t="s">
        <v>37</v>
      </c>
      <c r="K121" s="37">
        <v>12</v>
      </c>
      <c r="L121" s="17">
        <v>0.18</v>
      </c>
      <c r="M121" s="19">
        <v>2.2000000000000002</v>
      </c>
      <c r="N121" s="22">
        <f>TREN01[[#This Row],[T]]-TREN01[[#This Row],[H]]</f>
        <v>2.02</v>
      </c>
      <c r="O121" s="20" t="str">
        <f t="shared" si="37"/>
        <v>OK</v>
      </c>
    </row>
    <row r="122" spans="1:15" x14ac:dyDescent="0.25">
      <c r="A122" s="93" t="s">
        <v>16</v>
      </c>
      <c r="B122" s="32">
        <v>1</v>
      </c>
      <c r="C122" s="32">
        <v>1107200</v>
      </c>
      <c r="D122" s="39">
        <v>45791</v>
      </c>
      <c r="E122" s="32" t="s">
        <v>15</v>
      </c>
      <c r="F122" s="32" t="str">
        <f t="shared" si="58"/>
        <v>M21</v>
      </c>
      <c r="G122" s="62" t="str">
        <f t="shared" si="59"/>
        <v>002</v>
      </c>
      <c r="H122" s="63" t="str">
        <f t="shared" si="60"/>
        <v>C3</v>
      </c>
      <c r="I122" s="64">
        <f t="shared" si="62"/>
        <v>2</v>
      </c>
      <c r="J122" s="40" t="s">
        <v>38</v>
      </c>
      <c r="K122" s="37">
        <v>12</v>
      </c>
      <c r="L122" s="17">
        <v>1.08</v>
      </c>
      <c r="M122" s="19">
        <v>4.18</v>
      </c>
      <c r="N122" s="22">
        <f>TREN01[[#This Row],[T]]-TREN01[[#This Row],[H]]</f>
        <v>3.0999999999999996</v>
      </c>
      <c r="O122" s="20" t="str">
        <f t="shared" si="37"/>
        <v>OK</v>
      </c>
    </row>
    <row r="123" spans="1:15" x14ac:dyDescent="0.25">
      <c r="A123" s="93" t="s">
        <v>16</v>
      </c>
      <c r="B123" s="32">
        <v>1</v>
      </c>
      <c r="C123" s="32">
        <v>1107200</v>
      </c>
      <c r="D123" s="39">
        <v>45791</v>
      </c>
      <c r="E123" s="32" t="s">
        <v>15</v>
      </c>
      <c r="F123" s="32" t="str">
        <f t="shared" si="58"/>
        <v>M21</v>
      </c>
      <c r="G123" s="62" t="str">
        <f t="shared" si="59"/>
        <v>002</v>
      </c>
      <c r="H123" s="63" t="s">
        <v>43</v>
      </c>
      <c r="I123" s="64">
        <v>1</v>
      </c>
      <c r="J123" s="40" t="s">
        <v>31</v>
      </c>
      <c r="K123" s="37">
        <v>13</v>
      </c>
      <c r="L123" s="17">
        <v>0.11</v>
      </c>
      <c r="M123" s="19">
        <v>4.8</v>
      </c>
      <c r="N123" s="22">
        <f>TREN01[[#This Row],[T]]-TREN01[[#This Row],[H]]</f>
        <v>4.6899999999999995</v>
      </c>
      <c r="O123" s="20" t="str">
        <f t="shared" si="37"/>
        <v>OK</v>
      </c>
    </row>
    <row r="124" spans="1:15" x14ac:dyDescent="0.25">
      <c r="A124" s="93" t="s">
        <v>16</v>
      </c>
      <c r="B124" s="32">
        <v>1</v>
      </c>
      <c r="C124" s="32">
        <v>1107200</v>
      </c>
      <c r="D124" s="39">
        <v>45791</v>
      </c>
      <c r="E124" s="32" t="s">
        <v>15</v>
      </c>
      <c r="F124" s="32" t="str">
        <f t="shared" si="58"/>
        <v>M21</v>
      </c>
      <c r="G124" s="62" t="str">
        <f t="shared" si="59"/>
        <v>002</v>
      </c>
      <c r="H124" s="63" t="str">
        <f t="shared" ref="H124:H130" si="63">H123</f>
        <v>C4</v>
      </c>
      <c r="I124" s="64">
        <f t="shared" ref="I124:I126" si="64">I123</f>
        <v>1</v>
      </c>
      <c r="J124" s="40" t="s">
        <v>32</v>
      </c>
      <c r="K124" s="37">
        <v>13</v>
      </c>
      <c r="L124" s="17">
        <v>0.06</v>
      </c>
      <c r="M124" s="19">
        <v>4.8</v>
      </c>
      <c r="N124" s="22">
        <f>TREN01[[#This Row],[T]]-TREN01[[#This Row],[H]]</f>
        <v>4.74</v>
      </c>
      <c r="O124" s="20" t="str">
        <f t="shared" si="37"/>
        <v>OK</v>
      </c>
    </row>
    <row r="125" spans="1:15" x14ac:dyDescent="0.25">
      <c r="A125" s="93" t="s">
        <v>16</v>
      </c>
      <c r="B125" s="32">
        <v>1</v>
      </c>
      <c r="C125" s="32">
        <v>1107200</v>
      </c>
      <c r="D125" s="39">
        <v>45791</v>
      </c>
      <c r="E125" s="32" t="s">
        <v>15</v>
      </c>
      <c r="F125" s="32" t="str">
        <f t="shared" si="58"/>
        <v>M21</v>
      </c>
      <c r="G125" s="62" t="str">
        <f t="shared" si="59"/>
        <v>002</v>
      </c>
      <c r="H125" s="63" t="str">
        <f t="shared" si="63"/>
        <v>C4</v>
      </c>
      <c r="I125" s="64">
        <f t="shared" si="64"/>
        <v>1</v>
      </c>
      <c r="J125" s="40" t="s">
        <v>33</v>
      </c>
      <c r="K125" s="37">
        <v>14</v>
      </c>
      <c r="L125" s="17">
        <v>0.05</v>
      </c>
      <c r="M125" s="19">
        <v>4.99</v>
      </c>
      <c r="N125" s="22">
        <f>TREN01[[#This Row],[T]]-TREN01[[#This Row],[H]]</f>
        <v>4.9400000000000004</v>
      </c>
      <c r="O125" s="20" t="str">
        <f t="shared" si="37"/>
        <v>OK</v>
      </c>
    </row>
    <row r="126" spans="1:15" x14ac:dyDescent="0.25">
      <c r="A126" s="93" t="s">
        <v>16</v>
      </c>
      <c r="B126" s="32">
        <v>1</v>
      </c>
      <c r="C126" s="32">
        <v>1107200</v>
      </c>
      <c r="D126" s="39">
        <v>45791</v>
      </c>
      <c r="E126" s="32" t="s">
        <v>15</v>
      </c>
      <c r="F126" s="32" t="str">
        <f t="shared" si="58"/>
        <v>M21</v>
      </c>
      <c r="G126" s="62" t="str">
        <f t="shared" si="59"/>
        <v>002</v>
      </c>
      <c r="H126" s="63" t="str">
        <f t="shared" si="63"/>
        <v>C4</v>
      </c>
      <c r="I126" s="64">
        <f t="shared" si="64"/>
        <v>1</v>
      </c>
      <c r="J126" s="40" t="s">
        <v>34</v>
      </c>
      <c r="K126" s="37">
        <v>14</v>
      </c>
      <c r="L126" s="17">
        <v>0.1</v>
      </c>
      <c r="M126" s="19">
        <v>4.82</v>
      </c>
      <c r="N126" s="22">
        <f>TREN01[[#This Row],[T]]-TREN01[[#This Row],[H]]</f>
        <v>4.7200000000000006</v>
      </c>
      <c r="O126" s="20" t="str">
        <f t="shared" si="37"/>
        <v>OK</v>
      </c>
    </row>
    <row r="127" spans="1:15" x14ac:dyDescent="0.25">
      <c r="A127" s="93" t="s">
        <v>16</v>
      </c>
      <c r="B127" s="32">
        <v>1</v>
      </c>
      <c r="C127" s="32">
        <v>1107200</v>
      </c>
      <c r="D127" s="39">
        <v>45791</v>
      </c>
      <c r="E127" s="32" t="s">
        <v>15</v>
      </c>
      <c r="F127" s="32" t="str">
        <f t="shared" si="58"/>
        <v>M21</v>
      </c>
      <c r="G127" s="62" t="str">
        <f t="shared" si="59"/>
        <v>002</v>
      </c>
      <c r="H127" s="63" t="str">
        <f t="shared" si="63"/>
        <v>C4</v>
      </c>
      <c r="I127" s="64">
        <v>2</v>
      </c>
      <c r="J127" s="40" t="s">
        <v>35</v>
      </c>
      <c r="K127" s="37">
        <v>15</v>
      </c>
      <c r="L127" s="17">
        <v>0.24</v>
      </c>
      <c r="M127" s="19">
        <v>1.75</v>
      </c>
      <c r="N127" s="22">
        <f>TREN01[[#This Row],[T]]-TREN01[[#This Row],[H]]</f>
        <v>1.51</v>
      </c>
      <c r="O127" s="20" t="str">
        <f t="shared" si="37"/>
        <v>OK</v>
      </c>
    </row>
    <row r="128" spans="1:15" x14ac:dyDescent="0.25">
      <c r="A128" s="93" t="s">
        <v>16</v>
      </c>
      <c r="B128" s="32">
        <v>1</v>
      </c>
      <c r="C128" s="32">
        <v>1107200</v>
      </c>
      <c r="D128" s="39">
        <v>45791</v>
      </c>
      <c r="E128" s="32" t="s">
        <v>15</v>
      </c>
      <c r="F128" s="32" t="str">
        <f t="shared" si="58"/>
        <v>M21</v>
      </c>
      <c r="G128" s="62" t="str">
        <f t="shared" si="59"/>
        <v>002</v>
      </c>
      <c r="H128" s="63" t="str">
        <f t="shared" si="63"/>
        <v>C4</v>
      </c>
      <c r="I128" s="64">
        <f t="shared" ref="I128:I130" si="65">I127</f>
        <v>2</v>
      </c>
      <c r="J128" s="40" t="s">
        <v>36</v>
      </c>
      <c r="K128" s="37">
        <v>15</v>
      </c>
      <c r="L128" s="17">
        <v>1.06</v>
      </c>
      <c r="M128" s="19">
        <v>4.28</v>
      </c>
      <c r="N128" s="22">
        <f>TREN01[[#This Row],[T]]-TREN01[[#This Row],[H]]</f>
        <v>3.22</v>
      </c>
      <c r="O128" s="20" t="str">
        <f t="shared" si="37"/>
        <v>OK</v>
      </c>
    </row>
    <row r="129" spans="1:15" x14ac:dyDescent="0.25">
      <c r="A129" s="93" t="s">
        <v>16</v>
      </c>
      <c r="B129" s="32">
        <v>1</v>
      </c>
      <c r="C129" s="32">
        <v>1107200</v>
      </c>
      <c r="D129" s="39">
        <v>45791</v>
      </c>
      <c r="E129" s="32" t="s">
        <v>15</v>
      </c>
      <c r="F129" s="32" t="str">
        <f t="shared" si="58"/>
        <v>M21</v>
      </c>
      <c r="G129" s="62" t="str">
        <f t="shared" si="59"/>
        <v>002</v>
      </c>
      <c r="H129" s="63" t="str">
        <f t="shared" si="63"/>
        <v>C4</v>
      </c>
      <c r="I129" s="64">
        <f t="shared" si="65"/>
        <v>2</v>
      </c>
      <c r="J129" s="40" t="s">
        <v>37</v>
      </c>
      <c r="K129" s="37">
        <v>16</v>
      </c>
      <c r="L129" s="17">
        <v>1.19</v>
      </c>
      <c r="M129" s="19">
        <v>3.28</v>
      </c>
      <c r="N129" s="22">
        <f>TREN01[[#This Row],[T]]-TREN01[[#This Row],[H]]</f>
        <v>2.09</v>
      </c>
      <c r="O129" s="20" t="str">
        <f t="shared" si="37"/>
        <v>OK</v>
      </c>
    </row>
    <row r="130" spans="1:15" x14ac:dyDescent="0.25">
      <c r="A130" s="93" t="s">
        <v>16</v>
      </c>
      <c r="B130" s="32">
        <v>1</v>
      </c>
      <c r="C130" s="32">
        <v>1107200</v>
      </c>
      <c r="D130" s="39">
        <v>45791</v>
      </c>
      <c r="E130" s="32" t="s">
        <v>15</v>
      </c>
      <c r="F130" s="32" t="str">
        <f t="shared" si="58"/>
        <v>M21</v>
      </c>
      <c r="G130" s="62" t="str">
        <f t="shared" si="59"/>
        <v>002</v>
      </c>
      <c r="H130" s="63" t="str">
        <f t="shared" si="63"/>
        <v>C4</v>
      </c>
      <c r="I130" s="64">
        <f t="shared" si="65"/>
        <v>2</v>
      </c>
      <c r="J130" s="40" t="s">
        <v>38</v>
      </c>
      <c r="K130" s="37">
        <v>16</v>
      </c>
      <c r="L130" s="17">
        <v>0.67</v>
      </c>
      <c r="M130" s="19">
        <v>1.77</v>
      </c>
      <c r="N130" s="22">
        <f>TREN01[[#This Row],[T]]-TREN01[[#This Row],[H]]</f>
        <v>1.1000000000000001</v>
      </c>
      <c r="O130" s="20" t="str">
        <f t="shared" si="37"/>
        <v>OK</v>
      </c>
    </row>
    <row r="131" spans="1:15" x14ac:dyDescent="0.25">
      <c r="A131" s="93" t="s">
        <v>16</v>
      </c>
      <c r="B131" s="32">
        <v>1</v>
      </c>
      <c r="C131" s="32">
        <v>1107200</v>
      </c>
      <c r="D131" s="39">
        <v>45791</v>
      </c>
      <c r="E131" s="32" t="s">
        <v>15</v>
      </c>
      <c r="F131" s="32" t="s">
        <v>44</v>
      </c>
      <c r="G131" s="62" t="s">
        <v>45</v>
      </c>
      <c r="H131" s="63" t="s">
        <v>46</v>
      </c>
      <c r="I131" s="64">
        <v>1</v>
      </c>
      <c r="J131" s="40" t="s">
        <v>31</v>
      </c>
      <c r="K131" s="37">
        <v>17</v>
      </c>
      <c r="L131" s="17">
        <v>0.44</v>
      </c>
      <c r="M131" s="19">
        <v>2.2000000000000002</v>
      </c>
      <c r="N131" s="22">
        <f>TREN01[[#This Row],[T]]-TREN01[[#This Row],[H]]</f>
        <v>1.7600000000000002</v>
      </c>
      <c r="O131" s="20" t="str">
        <f t="shared" si="37"/>
        <v>OK</v>
      </c>
    </row>
    <row r="132" spans="1:15" x14ac:dyDescent="0.25">
      <c r="A132" s="93" t="s">
        <v>16</v>
      </c>
      <c r="B132" s="32">
        <v>1</v>
      </c>
      <c r="C132" s="32">
        <v>1107200</v>
      </c>
      <c r="D132" s="39">
        <v>45791</v>
      </c>
      <c r="E132" s="32" t="s">
        <v>15</v>
      </c>
      <c r="F132" s="32" t="str">
        <f t="shared" ref="F132:F146" si="66">F131</f>
        <v>M22</v>
      </c>
      <c r="G132" s="62" t="str">
        <f t="shared" ref="G132:G146" si="67">G131</f>
        <v>302</v>
      </c>
      <c r="H132" s="63" t="str">
        <f t="shared" ref="H132:H138" si="68">H131</f>
        <v>C5</v>
      </c>
      <c r="I132" s="64">
        <f t="shared" ref="I132:I134" si="69">I131</f>
        <v>1</v>
      </c>
      <c r="J132" s="40" t="s">
        <v>32</v>
      </c>
      <c r="K132" s="37">
        <v>17</v>
      </c>
      <c r="L132" s="17">
        <v>1</v>
      </c>
      <c r="M132" s="19">
        <v>4.26</v>
      </c>
      <c r="N132" s="22">
        <f>TREN01[[#This Row],[T]]-TREN01[[#This Row],[H]]</f>
        <v>3.26</v>
      </c>
      <c r="O132" s="20" t="str">
        <f t="shared" ref="O132:O195" si="70">IF(N132&lt;=0,"Critico",IF(N132&lt;=0.2,"Cambio",IF(N132&lt;=1,"Seguimiento",IF(L132&gt;=1.7,"Reperfilado","OK"))))</f>
        <v>OK</v>
      </c>
    </row>
    <row r="133" spans="1:15" x14ac:dyDescent="0.25">
      <c r="A133" s="93" t="s">
        <v>16</v>
      </c>
      <c r="B133" s="32">
        <v>1</v>
      </c>
      <c r="C133" s="32">
        <v>1107200</v>
      </c>
      <c r="D133" s="39">
        <v>45791</v>
      </c>
      <c r="E133" s="32" t="s">
        <v>15</v>
      </c>
      <c r="F133" s="32" t="str">
        <f t="shared" si="66"/>
        <v>M22</v>
      </c>
      <c r="G133" s="62" t="str">
        <f t="shared" si="67"/>
        <v>302</v>
      </c>
      <c r="H133" s="63" t="str">
        <f t="shared" si="68"/>
        <v>C5</v>
      </c>
      <c r="I133" s="64">
        <f t="shared" si="69"/>
        <v>1</v>
      </c>
      <c r="J133" s="40" t="s">
        <v>33</v>
      </c>
      <c r="K133" s="37">
        <v>18</v>
      </c>
      <c r="L133" s="17">
        <v>0.54</v>
      </c>
      <c r="M133" s="19">
        <v>4.32</v>
      </c>
      <c r="N133" s="22">
        <f>TREN01[[#This Row],[T]]-TREN01[[#This Row],[H]]</f>
        <v>3.7800000000000002</v>
      </c>
      <c r="O133" s="20" t="str">
        <f t="shared" si="70"/>
        <v>OK</v>
      </c>
    </row>
    <row r="134" spans="1:15" x14ac:dyDescent="0.25">
      <c r="A134" s="93" t="s">
        <v>16</v>
      </c>
      <c r="B134" s="32">
        <v>1</v>
      </c>
      <c r="C134" s="32">
        <v>1107200</v>
      </c>
      <c r="D134" s="39">
        <v>45791</v>
      </c>
      <c r="E134" s="32" t="s">
        <v>15</v>
      </c>
      <c r="F134" s="32" t="str">
        <f t="shared" si="66"/>
        <v>M22</v>
      </c>
      <c r="G134" s="62" t="str">
        <f t="shared" si="67"/>
        <v>302</v>
      </c>
      <c r="H134" s="63" t="str">
        <f t="shared" si="68"/>
        <v>C5</v>
      </c>
      <c r="I134" s="64">
        <f t="shared" si="69"/>
        <v>1</v>
      </c>
      <c r="J134" s="40" t="s">
        <v>34</v>
      </c>
      <c r="K134" s="37">
        <v>18</v>
      </c>
      <c r="L134" s="17">
        <v>0.52</v>
      </c>
      <c r="M134" s="19">
        <v>1.01</v>
      </c>
      <c r="N134" s="22">
        <f>TREN01[[#This Row],[T]]-TREN01[[#This Row],[H]]</f>
        <v>0.49</v>
      </c>
      <c r="O134" s="20" t="str">
        <f t="shared" si="70"/>
        <v>Seguimiento</v>
      </c>
    </row>
    <row r="135" spans="1:15" x14ac:dyDescent="0.25">
      <c r="A135" s="93" t="s">
        <v>16</v>
      </c>
      <c r="B135" s="32">
        <v>1</v>
      </c>
      <c r="C135" s="32">
        <v>1107200</v>
      </c>
      <c r="D135" s="39">
        <v>45791</v>
      </c>
      <c r="E135" s="32" t="s">
        <v>15</v>
      </c>
      <c r="F135" s="32" t="str">
        <f t="shared" si="66"/>
        <v>M22</v>
      </c>
      <c r="G135" s="62" t="str">
        <f t="shared" si="67"/>
        <v>302</v>
      </c>
      <c r="H135" s="63" t="str">
        <f t="shared" si="68"/>
        <v>C5</v>
      </c>
      <c r="I135" s="64">
        <v>2</v>
      </c>
      <c r="J135" s="40" t="s">
        <v>35</v>
      </c>
      <c r="K135" s="37">
        <v>19</v>
      </c>
      <c r="L135" s="17">
        <v>0.62</v>
      </c>
      <c r="M135" s="19">
        <v>5.1100000000000003</v>
      </c>
      <c r="N135" s="22">
        <f>TREN01[[#This Row],[T]]-TREN01[[#This Row],[H]]</f>
        <v>4.49</v>
      </c>
      <c r="O135" s="20" t="str">
        <f t="shared" si="70"/>
        <v>OK</v>
      </c>
    </row>
    <row r="136" spans="1:15" x14ac:dyDescent="0.25">
      <c r="A136" s="93" t="s">
        <v>16</v>
      </c>
      <c r="B136" s="32">
        <v>1</v>
      </c>
      <c r="C136" s="32">
        <v>1107200</v>
      </c>
      <c r="D136" s="39">
        <v>45791</v>
      </c>
      <c r="E136" s="32" t="s">
        <v>15</v>
      </c>
      <c r="F136" s="32" t="str">
        <f t="shared" si="66"/>
        <v>M22</v>
      </c>
      <c r="G136" s="62" t="str">
        <f t="shared" si="67"/>
        <v>302</v>
      </c>
      <c r="H136" s="63" t="str">
        <f t="shared" si="68"/>
        <v>C5</v>
      </c>
      <c r="I136" s="64">
        <f t="shared" ref="I136:I138" si="71">I135</f>
        <v>2</v>
      </c>
      <c r="J136" s="40" t="s">
        <v>36</v>
      </c>
      <c r="K136" s="37">
        <v>19</v>
      </c>
      <c r="L136" s="17">
        <v>1.28</v>
      </c>
      <c r="M136" s="19">
        <v>4.54</v>
      </c>
      <c r="N136" s="22">
        <f>TREN01[[#This Row],[T]]-TREN01[[#This Row],[H]]</f>
        <v>3.26</v>
      </c>
      <c r="O136" s="20" t="str">
        <f t="shared" si="70"/>
        <v>OK</v>
      </c>
    </row>
    <row r="137" spans="1:15" x14ac:dyDescent="0.25">
      <c r="A137" s="93" t="s">
        <v>16</v>
      </c>
      <c r="B137" s="32">
        <v>1</v>
      </c>
      <c r="C137" s="32">
        <v>1107200</v>
      </c>
      <c r="D137" s="39">
        <v>45791</v>
      </c>
      <c r="E137" s="32" t="s">
        <v>15</v>
      </c>
      <c r="F137" s="32" t="str">
        <f t="shared" si="66"/>
        <v>M22</v>
      </c>
      <c r="G137" s="62" t="str">
        <f t="shared" si="67"/>
        <v>302</v>
      </c>
      <c r="H137" s="63" t="str">
        <f t="shared" si="68"/>
        <v>C5</v>
      </c>
      <c r="I137" s="64">
        <f t="shared" si="71"/>
        <v>2</v>
      </c>
      <c r="J137" s="40" t="s">
        <v>37</v>
      </c>
      <c r="K137" s="37">
        <v>20</v>
      </c>
      <c r="L137" s="17">
        <v>0.22</v>
      </c>
      <c r="M137" s="19">
        <v>2.02</v>
      </c>
      <c r="N137" s="22">
        <f>TREN01[[#This Row],[T]]-TREN01[[#This Row],[H]]</f>
        <v>1.8</v>
      </c>
      <c r="O137" s="20" t="str">
        <f t="shared" si="70"/>
        <v>OK</v>
      </c>
    </row>
    <row r="138" spans="1:15" x14ac:dyDescent="0.25">
      <c r="A138" s="93" t="s">
        <v>16</v>
      </c>
      <c r="B138" s="32">
        <v>1</v>
      </c>
      <c r="C138" s="32">
        <v>1107200</v>
      </c>
      <c r="D138" s="39">
        <v>45791</v>
      </c>
      <c r="E138" s="32" t="s">
        <v>15</v>
      </c>
      <c r="F138" s="32" t="str">
        <f t="shared" si="66"/>
        <v>M22</v>
      </c>
      <c r="G138" s="62" t="str">
        <f t="shared" si="67"/>
        <v>302</v>
      </c>
      <c r="H138" s="63" t="str">
        <f t="shared" si="68"/>
        <v>C5</v>
      </c>
      <c r="I138" s="64">
        <f t="shared" si="71"/>
        <v>2</v>
      </c>
      <c r="J138" s="40" t="s">
        <v>38</v>
      </c>
      <c r="K138" s="37">
        <v>20</v>
      </c>
      <c r="L138" s="17">
        <v>0.41</v>
      </c>
      <c r="M138" s="19">
        <v>4.6500000000000004</v>
      </c>
      <c r="N138" s="22">
        <f>TREN01[[#This Row],[T]]-TREN01[[#This Row],[H]]</f>
        <v>4.24</v>
      </c>
      <c r="O138" s="20" t="str">
        <f t="shared" si="70"/>
        <v>OK</v>
      </c>
    </row>
    <row r="139" spans="1:15" x14ac:dyDescent="0.25">
      <c r="A139" s="93" t="s">
        <v>16</v>
      </c>
      <c r="B139" s="32">
        <v>1</v>
      </c>
      <c r="C139" s="32">
        <v>1107200</v>
      </c>
      <c r="D139" s="39">
        <v>45791</v>
      </c>
      <c r="E139" s="32" t="s">
        <v>15</v>
      </c>
      <c r="F139" s="32" t="str">
        <f t="shared" si="66"/>
        <v>M22</v>
      </c>
      <c r="G139" s="62" t="str">
        <f t="shared" si="67"/>
        <v>302</v>
      </c>
      <c r="H139" s="63" t="s">
        <v>47</v>
      </c>
      <c r="I139" s="64">
        <v>1</v>
      </c>
      <c r="J139" s="40" t="s">
        <v>31</v>
      </c>
      <c r="K139" s="37">
        <v>21</v>
      </c>
      <c r="L139" s="17">
        <v>0.68</v>
      </c>
      <c r="M139" s="19">
        <v>1.96</v>
      </c>
      <c r="N139" s="22">
        <f>TREN01[[#This Row],[T]]-TREN01[[#This Row],[H]]</f>
        <v>1.2799999999999998</v>
      </c>
      <c r="O139" s="20" t="str">
        <f t="shared" si="70"/>
        <v>OK</v>
      </c>
    </row>
    <row r="140" spans="1:15" x14ac:dyDescent="0.25">
      <c r="A140" s="93" t="s">
        <v>16</v>
      </c>
      <c r="B140" s="32">
        <v>1</v>
      </c>
      <c r="C140" s="32">
        <v>1107200</v>
      </c>
      <c r="D140" s="39">
        <v>45791</v>
      </c>
      <c r="E140" s="32" t="s">
        <v>15</v>
      </c>
      <c r="F140" s="32" t="str">
        <f t="shared" si="66"/>
        <v>M22</v>
      </c>
      <c r="G140" s="62" t="str">
        <f t="shared" si="67"/>
        <v>302</v>
      </c>
      <c r="H140" s="63" t="str">
        <f t="shared" ref="H140:H146" si="72">H139</f>
        <v>C6</v>
      </c>
      <c r="I140" s="64">
        <f t="shared" ref="I140:I142" si="73">I139</f>
        <v>1</v>
      </c>
      <c r="J140" s="40" t="s">
        <v>32</v>
      </c>
      <c r="K140" s="37">
        <v>21</v>
      </c>
      <c r="L140" s="17">
        <v>0.56000000000000005</v>
      </c>
      <c r="M140" s="19">
        <v>4.83</v>
      </c>
      <c r="N140" s="22">
        <f>TREN01[[#This Row],[T]]-TREN01[[#This Row],[H]]</f>
        <v>4.2699999999999996</v>
      </c>
      <c r="O140" s="20" t="str">
        <f t="shared" si="70"/>
        <v>OK</v>
      </c>
    </row>
    <row r="141" spans="1:15" x14ac:dyDescent="0.25">
      <c r="A141" s="93" t="s">
        <v>16</v>
      </c>
      <c r="B141" s="32">
        <v>1</v>
      </c>
      <c r="C141" s="32">
        <v>1107200</v>
      </c>
      <c r="D141" s="39">
        <v>45791</v>
      </c>
      <c r="E141" s="32" t="s">
        <v>15</v>
      </c>
      <c r="F141" s="32" t="str">
        <f t="shared" si="66"/>
        <v>M22</v>
      </c>
      <c r="G141" s="62" t="str">
        <f t="shared" si="67"/>
        <v>302</v>
      </c>
      <c r="H141" s="63" t="str">
        <f t="shared" si="72"/>
        <v>C6</v>
      </c>
      <c r="I141" s="64">
        <f t="shared" si="73"/>
        <v>1</v>
      </c>
      <c r="J141" s="40" t="s">
        <v>33</v>
      </c>
      <c r="K141" s="37">
        <v>22</v>
      </c>
      <c r="L141" s="17">
        <v>1.26</v>
      </c>
      <c r="M141" s="19">
        <v>2.59</v>
      </c>
      <c r="N141" s="22">
        <f>TREN01[[#This Row],[T]]-TREN01[[#This Row],[H]]</f>
        <v>1.3299999999999998</v>
      </c>
      <c r="O141" s="20" t="str">
        <f t="shared" si="70"/>
        <v>OK</v>
      </c>
    </row>
    <row r="142" spans="1:15" x14ac:dyDescent="0.25">
      <c r="A142" s="93" t="s">
        <v>16</v>
      </c>
      <c r="B142" s="32">
        <v>1</v>
      </c>
      <c r="C142" s="32">
        <v>1107200</v>
      </c>
      <c r="D142" s="39">
        <v>45791</v>
      </c>
      <c r="E142" s="32" t="s">
        <v>15</v>
      </c>
      <c r="F142" s="32" t="str">
        <f t="shared" si="66"/>
        <v>M22</v>
      </c>
      <c r="G142" s="62" t="str">
        <f t="shared" si="67"/>
        <v>302</v>
      </c>
      <c r="H142" s="63" t="str">
        <f t="shared" si="72"/>
        <v>C6</v>
      </c>
      <c r="I142" s="64">
        <f t="shared" si="73"/>
        <v>1</v>
      </c>
      <c r="J142" s="40" t="s">
        <v>34</v>
      </c>
      <c r="K142" s="37">
        <v>22</v>
      </c>
      <c r="L142" s="17">
        <v>1.29</v>
      </c>
      <c r="M142" s="19">
        <v>1.95</v>
      </c>
      <c r="N142" s="22">
        <f>TREN01[[#This Row],[T]]-TREN01[[#This Row],[H]]</f>
        <v>0.65999999999999992</v>
      </c>
      <c r="O142" s="20" t="str">
        <f t="shared" si="70"/>
        <v>Seguimiento</v>
      </c>
    </row>
    <row r="143" spans="1:15" x14ac:dyDescent="0.25">
      <c r="A143" s="93" t="s">
        <v>16</v>
      </c>
      <c r="B143" s="32">
        <v>1</v>
      </c>
      <c r="C143" s="32">
        <v>1107200</v>
      </c>
      <c r="D143" s="39">
        <v>45791</v>
      </c>
      <c r="E143" s="32" t="s">
        <v>15</v>
      </c>
      <c r="F143" s="32" t="str">
        <f t="shared" si="66"/>
        <v>M22</v>
      </c>
      <c r="G143" s="62" t="str">
        <f t="shared" si="67"/>
        <v>302</v>
      </c>
      <c r="H143" s="63" t="str">
        <f t="shared" si="72"/>
        <v>C6</v>
      </c>
      <c r="I143" s="64">
        <v>2</v>
      </c>
      <c r="J143" s="40" t="s">
        <v>35</v>
      </c>
      <c r="K143" s="37">
        <v>23</v>
      </c>
      <c r="L143" s="17">
        <v>0.89</v>
      </c>
      <c r="M143" s="19">
        <v>4.8499999999999996</v>
      </c>
      <c r="N143" s="22">
        <f>TREN01[[#This Row],[T]]-TREN01[[#This Row],[H]]</f>
        <v>3.9599999999999995</v>
      </c>
      <c r="O143" s="20" t="str">
        <f t="shared" si="70"/>
        <v>OK</v>
      </c>
    </row>
    <row r="144" spans="1:15" x14ac:dyDescent="0.25">
      <c r="A144" s="93" t="s">
        <v>16</v>
      </c>
      <c r="B144" s="32">
        <v>1</v>
      </c>
      <c r="C144" s="32">
        <v>1107200</v>
      </c>
      <c r="D144" s="39">
        <v>45791</v>
      </c>
      <c r="E144" s="32" t="s">
        <v>15</v>
      </c>
      <c r="F144" s="32" t="str">
        <f t="shared" si="66"/>
        <v>M22</v>
      </c>
      <c r="G144" s="62" t="str">
        <f t="shared" si="67"/>
        <v>302</v>
      </c>
      <c r="H144" s="63" t="str">
        <f t="shared" si="72"/>
        <v>C6</v>
      </c>
      <c r="I144" s="64">
        <f t="shared" ref="I144:I146" si="74">I143</f>
        <v>2</v>
      </c>
      <c r="J144" s="40" t="s">
        <v>36</v>
      </c>
      <c r="K144" s="37">
        <v>23</v>
      </c>
      <c r="L144" s="17">
        <v>0.53</v>
      </c>
      <c r="M144" s="19">
        <v>4.9800000000000004</v>
      </c>
      <c r="N144" s="22">
        <f>TREN01[[#This Row],[T]]-TREN01[[#This Row],[H]]</f>
        <v>4.45</v>
      </c>
      <c r="O144" s="20" t="str">
        <f t="shared" si="70"/>
        <v>OK</v>
      </c>
    </row>
    <row r="145" spans="1:15" x14ac:dyDescent="0.25">
      <c r="A145" s="93" t="s">
        <v>16</v>
      </c>
      <c r="B145" s="32">
        <v>1</v>
      </c>
      <c r="C145" s="32">
        <v>1107200</v>
      </c>
      <c r="D145" s="39">
        <v>45791</v>
      </c>
      <c r="E145" s="32" t="s">
        <v>15</v>
      </c>
      <c r="F145" s="32" t="str">
        <f t="shared" si="66"/>
        <v>M22</v>
      </c>
      <c r="G145" s="62" t="str">
        <f t="shared" si="67"/>
        <v>302</v>
      </c>
      <c r="H145" s="63" t="str">
        <f t="shared" si="72"/>
        <v>C6</v>
      </c>
      <c r="I145" s="64">
        <f t="shared" si="74"/>
        <v>2</v>
      </c>
      <c r="J145" s="40" t="s">
        <v>37</v>
      </c>
      <c r="K145" s="37">
        <v>24</v>
      </c>
      <c r="L145" s="17">
        <v>1.54</v>
      </c>
      <c r="M145" s="19">
        <v>2.92</v>
      </c>
      <c r="N145" s="22">
        <f>TREN01[[#This Row],[T]]-TREN01[[#This Row],[H]]</f>
        <v>1.38</v>
      </c>
      <c r="O145" s="20" t="str">
        <f t="shared" si="70"/>
        <v>OK</v>
      </c>
    </row>
    <row r="146" spans="1:15" x14ac:dyDescent="0.25">
      <c r="A146" s="93" t="s">
        <v>16</v>
      </c>
      <c r="B146" s="32">
        <v>1</v>
      </c>
      <c r="C146" s="32">
        <v>1107200</v>
      </c>
      <c r="D146" s="39">
        <v>45791</v>
      </c>
      <c r="E146" s="32" t="s">
        <v>15</v>
      </c>
      <c r="F146" s="32" t="str">
        <f t="shared" si="66"/>
        <v>M22</v>
      </c>
      <c r="G146" s="62" t="str">
        <f t="shared" si="67"/>
        <v>302</v>
      </c>
      <c r="H146" s="63" t="str">
        <f t="shared" si="72"/>
        <v>C6</v>
      </c>
      <c r="I146" s="64">
        <f t="shared" si="74"/>
        <v>2</v>
      </c>
      <c r="J146" s="40" t="s">
        <v>38</v>
      </c>
      <c r="K146" s="37">
        <v>24</v>
      </c>
      <c r="L146" s="17">
        <v>0.72</v>
      </c>
      <c r="M146" s="19">
        <v>4.83</v>
      </c>
      <c r="N146" s="22">
        <f>TREN01[[#This Row],[T]]-TREN01[[#This Row],[H]]</f>
        <v>4.1100000000000003</v>
      </c>
      <c r="O146" s="20" t="str">
        <f t="shared" si="70"/>
        <v>OK</v>
      </c>
    </row>
    <row r="147" spans="1:15" x14ac:dyDescent="0.25">
      <c r="A147" s="93" t="s">
        <v>16</v>
      </c>
      <c r="B147" s="32">
        <v>1</v>
      </c>
      <c r="C147" s="32">
        <v>1107200</v>
      </c>
      <c r="D147" s="39">
        <v>45791</v>
      </c>
      <c r="E147" s="32" t="s">
        <v>15</v>
      </c>
      <c r="F147" s="32" t="s">
        <v>44</v>
      </c>
      <c r="G147" s="62" t="s">
        <v>48</v>
      </c>
      <c r="H147" s="63" t="s">
        <v>47</v>
      </c>
      <c r="I147" s="64">
        <v>2</v>
      </c>
      <c r="J147" s="40" t="s">
        <v>31</v>
      </c>
      <c r="K147" s="37">
        <v>25</v>
      </c>
      <c r="L147" s="17">
        <v>0.54</v>
      </c>
      <c r="M147" s="19">
        <v>4.95</v>
      </c>
      <c r="N147" s="22">
        <f>TREN01[[#This Row],[T]]-TREN01[[#This Row],[H]]</f>
        <v>4.41</v>
      </c>
      <c r="O147" s="20" t="str">
        <f t="shared" si="70"/>
        <v>OK</v>
      </c>
    </row>
    <row r="148" spans="1:15" x14ac:dyDescent="0.25">
      <c r="A148" s="93" t="s">
        <v>16</v>
      </c>
      <c r="B148" s="32">
        <v>1</v>
      </c>
      <c r="C148" s="32">
        <v>1107200</v>
      </c>
      <c r="D148" s="39">
        <v>45791</v>
      </c>
      <c r="E148" s="32" t="s">
        <v>15</v>
      </c>
      <c r="F148" s="32" t="str">
        <f t="shared" ref="F148:F162" si="75">F147</f>
        <v>M22</v>
      </c>
      <c r="G148" s="62" t="str">
        <f t="shared" ref="G148:G162" si="76">G147</f>
        <v>301</v>
      </c>
      <c r="H148" s="63" t="str">
        <f t="shared" ref="H148:H154" si="77">H147</f>
        <v>C6</v>
      </c>
      <c r="I148" s="64">
        <f t="shared" ref="I148:I150" si="78">I147</f>
        <v>2</v>
      </c>
      <c r="J148" s="40" t="s">
        <v>32</v>
      </c>
      <c r="K148" s="37">
        <v>25</v>
      </c>
      <c r="L148" s="17">
        <v>0.6</v>
      </c>
      <c r="M148" s="19">
        <v>1.79</v>
      </c>
      <c r="N148" s="22">
        <f>TREN01[[#This Row],[T]]-TREN01[[#This Row],[H]]</f>
        <v>1.19</v>
      </c>
      <c r="O148" s="20" t="str">
        <f t="shared" si="70"/>
        <v>OK</v>
      </c>
    </row>
    <row r="149" spans="1:15" x14ac:dyDescent="0.25">
      <c r="A149" s="93" t="s">
        <v>16</v>
      </c>
      <c r="B149" s="32">
        <v>1</v>
      </c>
      <c r="C149" s="32">
        <v>1107200</v>
      </c>
      <c r="D149" s="39">
        <v>45791</v>
      </c>
      <c r="E149" s="32" t="s">
        <v>15</v>
      </c>
      <c r="F149" s="32" t="str">
        <f t="shared" si="75"/>
        <v>M22</v>
      </c>
      <c r="G149" s="62" t="str">
        <f t="shared" si="76"/>
        <v>301</v>
      </c>
      <c r="H149" s="63" t="str">
        <f t="shared" si="77"/>
        <v>C6</v>
      </c>
      <c r="I149" s="64">
        <f t="shared" si="78"/>
        <v>2</v>
      </c>
      <c r="J149" s="40" t="s">
        <v>33</v>
      </c>
      <c r="K149" s="37">
        <v>26</v>
      </c>
      <c r="L149" s="17">
        <v>0.72</v>
      </c>
      <c r="M149" s="19">
        <v>1.75</v>
      </c>
      <c r="N149" s="22">
        <f>TREN01[[#This Row],[T]]-TREN01[[#This Row],[H]]</f>
        <v>1.03</v>
      </c>
      <c r="O149" s="20" t="str">
        <f t="shared" si="70"/>
        <v>OK</v>
      </c>
    </row>
    <row r="150" spans="1:15" x14ac:dyDescent="0.25">
      <c r="A150" s="93" t="s">
        <v>16</v>
      </c>
      <c r="B150" s="32">
        <v>1</v>
      </c>
      <c r="C150" s="32">
        <v>1107200</v>
      </c>
      <c r="D150" s="39">
        <v>45791</v>
      </c>
      <c r="E150" s="32" t="s">
        <v>15</v>
      </c>
      <c r="F150" s="32" t="str">
        <f t="shared" si="75"/>
        <v>M22</v>
      </c>
      <c r="G150" s="62" t="str">
        <f t="shared" si="76"/>
        <v>301</v>
      </c>
      <c r="H150" s="63" t="str">
        <f t="shared" si="77"/>
        <v>C6</v>
      </c>
      <c r="I150" s="64">
        <f t="shared" si="78"/>
        <v>2</v>
      </c>
      <c r="J150" s="40" t="s">
        <v>34</v>
      </c>
      <c r="K150" s="37">
        <v>26</v>
      </c>
      <c r="L150" s="17">
        <v>0.74</v>
      </c>
      <c r="M150" s="19">
        <v>4.76</v>
      </c>
      <c r="N150" s="22">
        <f>TREN01[[#This Row],[T]]-TREN01[[#This Row],[H]]</f>
        <v>4.0199999999999996</v>
      </c>
      <c r="O150" s="20" t="str">
        <f t="shared" si="70"/>
        <v>OK</v>
      </c>
    </row>
    <row r="151" spans="1:15" x14ac:dyDescent="0.25">
      <c r="A151" s="93" t="s">
        <v>16</v>
      </c>
      <c r="B151" s="32">
        <v>1</v>
      </c>
      <c r="C151" s="32">
        <v>1107200</v>
      </c>
      <c r="D151" s="39">
        <v>45791</v>
      </c>
      <c r="E151" s="32" t="s">
        <v>15</v>
      </c>
      <c r="F151" s="32" t="str">
        <f t="shared" si="75"/>
        <v>M22</v>
      </c>
      <c r="G151" s="62" t="str">
        <f t="shared" si="76"/>
        <v>301</v>
      </c>
      <c r="H151" s="63" t="str">
        <f t="shared" si="77"/>
        <v>C6</v>
      </c>
      <c r="I151" s="64">
        <v>1</v>
      </c>
      <c r="J151" s="40" t="s">
        <v>35</v>
      </c>
      <c r="K151" s="37">
        <v>27</v>
      </c>
      <c r="L151" s="17">
        <v>0.99</v>
      </c>
      <c r="M151" s="19">
        <v>4.96</v>
      </c>
      <c r="N151" s="22">
        <f>TREN01[[#This Row],[T]]-TREN01[[#This Row],[H]]</f>
        <v>3.9699999999999998</v>
      </c>
      <c r="O151" s="20" t="str">
        <f t="shared" si="70"/>
        <v>OK</v>
      </c>
    </row>
    <row r="152" spans="1:15" x14ac:dyDescent="0.25">
      <c r="A152" s="93" t="s">
        <v>16</v>
      </c>
      <c r="B152" s="32">
        <v>1</v>
      </c>
      <c r="C152" s="32">
        <v>1107200</v>
      </c>
      <c r="D152" s="39">
        <v>45791</v>
      </c>
      <c r="E152" s="32" t="s">
        <v>15</v>
      </c>
      <c r="F152" s="32" t="str">
        <f t="shared" si="75"/>
        <v>M22</v>
      </c>
      <c r="G152" s="62" t="str">
        <f t="shared" si="76"/>
        <v>301</v>
      </c>
      <c r="H152" s="63" t="str">
        <f t="shared" si="77"/>
        <v>C6</v>
      </c>
      <c r="I152" s="64">
        <f t="shared" ref="I152:I154" si="79">I151</f>
        <v>1</v>
      </c>
      <c r="J152" s="40" t="s">
        <v>36</v>
      </c>
      <c r="K152" s="37">
        <v>27</v>
      </c>
      <c r="L152" s="17">
        <v>1.28</v>
      </c>
      <c r="M152" s="19">
        <v>4.99</v>
      </c>
      <c r="N152" s="22">
        <f>TREN01[[#This Row],[T]]-TREN01[[#This Row],[H]]</f>
        <v>3.71</v>
      </c>
      <c r="O152" s="20" t="str">
        <f t="shared" si="70"/>
        <v>OK</v>
      </c>
    </row>
    <row r="153" spans="1:15" x14ac:dyDescent="0.25">
      <c r="A153" s="93" t="s">
        <v>16</v>
      </c>
      <c r="B153" s="32">
        <v>1</v>
      </c>
      <c r="C153" s="32">
        <v>1107200</v>
      </c>
      <c r="D153" s="39">
        <v>45791</v>
      </c>
      <c r="E153" s="32" t="s">
        <v>15</v>
      </c>
      <c r="F153" s="32" t="str">
        <f t="shared" si="75"/>
        <v>M22</v>
      </c>
      <c r="G153" s="62" t="str">
        <f t="shared" si="76"/>
        <v>301</v>
      </c>
      <c r="H153" s="63" t="str">
        <f t="shared" si="77"/>
        <v>C6</v>
      </c>
      <c r="I153" s="64">
        <f t="shared" si="79"/>
        <v>1</v>
      </c>
      <c r="J153" s="40" t="s">
        <v>37</v>
      </c>
      <c r="K153" s="37">
        <v>28</v>
      </c>
      <c r="L153" s="17">
        <v>0.76</v>
      </c>
      <c r="M153" s="19">
        <v>4.66</v>
      </c>
      <c r="N153" s="22">
        <f>TREN01[[#This Row],[T]]-TREN01[[#This Row],[H]]</f>
        <v>3.9000000000000004</v>
      </c>
      <c r="O153" s="20" t="str">
        <f t="shared" si="70"/>
        <v>OK</v>
      </c>
    </row>
    <row r="154" spans="1:15" x14ac:dyDescent="0.25">
      <c r="A154" s="93" t="s">
        <v>16</v>
      </c>
      <c r="B154" s="32">
        <v>1</v>
      </c>
      <c r="C154" s="32">
        <v>1107200</v>
      </c>
      <c r="D154" s="39">
        <v>45791</v>
      </c>
      <c r="E154" s="32" t="s">
        <v>15</v>
      </c>
      <c r="F154" s="32" t="str">
        <f t="shared" si="75"/>
        <v>M22</v>
      </c>
      <c r="G154" s="62" t="str">
        <f t="shared" si="76"/>
        <v>301</v>
      </c>
      <c r="H154" s="63" t="str">
        <f t="shared" si="77"/>
        <v>C6</v>
      </c>
      <c r="I154" s="64">
        <f t="shared" si="79"/>
        <v>1</v>
      </c>
      <c r="J154" s="40" t="s">
        <v>38</v>
      </c>
      <c r="K154" s="37">
        <v>28</v>
      </c>
      <c r="L154" s="17">
        <v>0.76</v>
      </c>
      <c r="M154" s="19">
        <v>4.7699999999999996</v>
      </c>
      <c r="N154" s="22">
        <f>TREN01[[#This Row],[T]]-TREN01[[#This Row],[H]]</f>
        <v>4.01</v>
      </c>
      <c r="O154" s="20" t="str">
        <f t="shared" si="70"/>
        <v>OK</v>
      </c>
    </row>
    <row r="155" spans="1:15" x14ac:dyDescent="0.25">
      <c r="A155" s="93" t="s">
        <v>16</v>
      </c>
      <c r="B155" s="32">
        <v>1</v>
      </c>
      <c r="C155" s="32">
        <v>1107200</v>
      </c>
      <c r="D155" s="39">
        <v>45791</v>
      </c>
      <c r="E155" s="32" t="s">
        <v>15</v>
      </c>
      <c r="F155" s="32" t="str">
        <f t="shared" si="75"/>
        <v>M22</v>
      </c>
      <c r="G155" s="62" t="str">
        <f t="shared" si="76"/>
        <v>301</v>
      </c>
      <c r="H155" s="63" t="s">
        <v>46</v>
      </c>
      <c r="I155" s="64">
        <v>2</v>
      </c>
      <c r="J155" s="40" t="s">
        <v>31</v>
      </c>
      <c r="K155" s="37">
        <v>29</v>
      </c>
      <c r="L155" s="17">
        <v>0.66</v>
      </c>
      <c r="M155" s="19">
        <v>5</v>
      </c>
      <c r="N155" s="22">
        <f>TREN01[[#This Row],[T]]-TREN01[[#This Row],[H]]</f>
        <v>4.34</v>
      </c>
      <c r="O155" s="20" t="str">
        <f t="shared" si="70"/>
        <v>OK</v>
      </c>
    </row>
    <row r="156" spans="1:15" x14ac:dyDescent="0.25">
      <c r="A156" s="93" t="s">
        <v>16</v>
      </c>
      <c r="B156" s="32">
        <v>1</v>
      </c>
      <c r="C156" s="32">
        <v>1107200</v>
      </c>
      <c r="D156" s="39">
        <v>45791</v>
      </c>
      <c r="E156" s="32" t="s">
        <v>15</v>
      </c>
      <c r="F156" s="32" t="str">
        <f t="shared" si="75"/>
        <v>M22</v>
      </c>
      <c r="G156" s="62" t="str">
        <f t="shared" si="76"/>
        <v>301</v>
      </c>
      <c r="H156" s="63" t="str">
        <f t="shared" ref="H156:H162" si="80">H155</f>
        <v>C5</v>
      </c>
      <c r="I156" s="64">
        <f t="shared" ref="I156:I158" si="81">I155</f>
        <v>2</v>
      </c>
      <c r="J156" s="40" t="s">
        <v>32</v>
      </c>
      <c r="K156" s="37">
        <v>29</v>
      </c>
      <c r="L156" s="17">
        <v>0.5</v>
      </c>
      <c r="M156" s="19">
        <v>1.03</v>
      </c>
      <c r="N156" s="22">
        <f>TREN01[[#This Row],[T]]-TREN01[[#This Row],[H]]</f>
        <v>0.53</v>
      </c>
      <c r="O156" s="20" t="str">
        <f t="shared" si="70"/>
        <v>Seguimiento</v>
      </c>
    </row>
    <row r="157" spans="1:15" x14ac:dyDescent="0.25">
      <c r="A157" s="93" t="s">
        <v>16</v>
      </c>
      <c r="B157" s="32">
        <v>1</v>
      </c>
      <c r="C157" s="32">
        <v>1107200</v>
      </c>
      <c r="D157" s="39">
        <v>45791</v>
      </c>
      <c r="E157" s="32" t="s">
        <v>15</v>
      </c>
      <c r="F157" s="32" t="str">
        <f t="shared" si="75"/>
        <v>M22</v>
      </c>
      <c r="G157" s="62" t="str">
        <f t="shared" si="76"/>
        <v>301</v>
      </c>
      <c r="H157" s="63" t="str">
        <f t="shared" si="80"/>
        <v>C5</v>
      </c>
      <c r="I157" s="64">
        <f t="shared" si="81"/>
        <v>2</v>
      </c>
      <c r="J157" s="40" t="s">
        <v>33</v>
      </c>
      <c r="K157" s="37">
        <v>30</v>
      </c>
      <c r="L157" s="17">
        <v>0.53</v>
      </c>
      <c r="M157" s="19">
        <v>1.63</v>
      </c>
      <c r="N157" s="22">
        <f>TREN01[[#This Row],[T]]-TREN01[[#This Row],[H]]</f>
        <v>1.0999999999999999</v>
      </c>
      <c r="O157" s="20" t="str">
        <f t="shared" si="70"/>
        <v>OK</v>
      </c>
    </row>
    <row r="158" spans="1:15" x14ac:dyDescent="0.25">
      <c r="A158" s="93" t="s">
        <v>16</v>
      </c>
      <c r="B158" s="32">
        <v>1</v>
      </c>
      <c r="C158" s="32">
        <v>1107200</v>
      </c>
      <c r="D158" s="39">
        <v>45791</v>
      </c>
      <c r="E158" s="32" t="s">
        <v>15</v>
      </c>
      <c r="F158" s="32" t="str">
        <f t="shared" si="75"/>
        <v>M22</v>
      </c>
      <c r="G158" s="62" t="str">
        <f t="shared" si="76"/>
        <v>301</v>
      </c>
      <c r="H158" s="63" t="str">
        <f t="shared" si="80"/>
        <v>C5</v>
      </c>
      <c r="I158" s="64">
        <f t="shared" si="81"/>
        <v>2</v>
      </c>
      <c r="J158" s="40" t="s">
        <v>34</v>
      </c>
      <c r="K158" s="37">
        <v>30</v>
      </c>
      <c r="L158" s="17">
        <v>0.65</v>
      </c>
      <c r="M158" s="19">
        <v>2.48</v>
      </c>
      <c r="N158" s="22">
        <f>TREN01[[#This Row],[T]]-TREN01[[#This Row],[H]]</f>
        <v>1.83</v>
      </c>
      <c r="O158" s="20" t="str">
        <f t="shared" si="70"/>
        <v>OK</v>
      </c>
    </row>
    <row r="159" spans="1:15" x14ac:dyDescent="0.25">
      <c r="A159" s="93" t="s">
        <v>16</v>
      </c>
      <c r="B159" s="32">
        <v>1</v>
      </c>
      <c r="C159" s="32">
        <v>1107200</v>
      </c>
      <c r="D159" s="39">
        <v>45791</v>
      </c>
      <c r="E159" s="32" t="s">
        <v>15</v>
      </c>
      <c r="F159" s="32" t="str">
        <f t="shared" si="75"/>
        <v>M22</v>
      </c>
      <c r="G159" s="62" t="str">
        <f t="shared" si="76"/>
        <v>301</v>
      </c>
      <c r="H159" s="63" t="str">
        <f t="shared" si="80"/>
        <v>C5</v>
      </c>
      <c r="I159" s="64">
        <v>1</v>
      </c>
      <c r="J159" s="40" t="s">
        <v>35</v>
      </c>
      <c r="K159" s="37">
        <v>31</v>
      </c>
      <c r="L159" s="17">
        <v>0.46</v>
      </c>
      <c r="M159" s="19">
        <v>2.04</v>
      </c>
      <c r="N159" s="22">
        <f>TREN01[[#This Row],[T]]-TREN01[[#This Row],[H]]</f>
        <v>1.58</v>
      </c>
      <c r="O159" s="20" t="str">
        <f t="shared" si="70"/>
        <v>OK</v>
      </c>
    </row>
    <row r="160" spans="1:15" x14ac:dyDescent="0.25">
      <c r="A160" s="93" t="s">
        <v>16</v>
      </c>
      <c r="B160" s="32">
        <v>1</v>
      </c>
      <c r="C160" s="32">
        <v>1107200</v>
      </c>
      <c r="D160" s="39">
        <v>45791</v>
      </c>
      <c r="E160" s="32" t="s">
        <v>15</v>
      </c>
      <c r="F160" s="32" t="str">
        <f t="shared" si="75"/>
        <v>M22</v>
      </c>
      <c r="G160" s="62" t="str">
        <f t="shared" si="76"/>
        <v>301</v>
      </c>
      <c r="H160" s="63" t="str">
        <f t="shared" si="80"/>
        <v>C5</v>
      </c>
      <c r="I160" s="64">
        <f t="shared" ref="I160:I162" si="82">I159</f>
        <v>1</v>
      </c>
      <c r="J160" s="40" t="s">
        <v>36</v>
      </c>
      <c r="K160" s="37">
        <v>31</v>
      </c>
      <c r="L160" s="17">
        <v>1.26</v>
      </c>
      <c r="M160" s="19">
        <v>2.7</v>
      </c>
      <c r="N160" s="22">
        <f>TREN01[[#This Row],[T]]-TREN01[[#This Row],[H]]</f>
        <v>1.4400000000000002</v>
      </c>
      <c r="O160" s="20" t="str">
        <f t="shared" si="70"/>
        <v>OK</v>
      </c>
    </row>
    <row r="161" spans="1:15" x14ac:dyDescent="0.25">
      <c r="A161" s="93" t="s">
        <v>16</v>
      </c>
      <c r="B161" s="32">
        <v>1</v>
      </c>
      <c r="C161" s="32">
        <v>1107200</v>
      </c>
      <c r="D161" s="39">
        <v>45791</v>
      </c>
      <c r="E161" s="32" t="s">
        <v>15</v>
      </c>
      <c r="F161" s="32" t="str">
        <f t="shared" si="75"/>
        <v>M22</v>
      </c>
      <c r="G161" s="62" t="str">
        <f t="shared" si="76"/>
        <v>301</v>
      </c>
      <c r="H161" s="63" t="str">
        <f t="shared" si="80"/>
        <v>C5</v>
      </c>
      <c r="I161" s="64">
        <f t="shared" si="82"/>
        <v>1</v>
      </c>
      <c r="J161" s="40" t="s">
        <v>37</v>
      </c>
      <c r="K161" s="37">
        <v>32</v>
      </c>
      <c r="L161" s="17">
        <v>0.82</v>
      </c>
      <c r="M161" s="19">
        <v>2.8</v>
      </c>
      <c r="N161" s="22">
        <f>TREN01[[#This Row],[T]]-TREN01[[#This Row],[H]]</f>
        <v>1.98</v>
      </c>
      <c r="O161" s="20" t="str">
        <f t="shared" si="70"/>
        <v>OK</v>
      </c>
    </row>
    <row r="162" spans="1:15" x14ac:dyDescent="0.25">
      <c r="A162" s="93" t="s">
        <v>16</v>
      </c>
      <c r="B162" s="32">
        <v>1</v>
      </c>
      <c r="C162" s="32">
        <v>1107200</v>
      </c>
      <c r="D162" s="39">
        <v>45791</v>
      </c>
      <c r="E162" s="32" t="s">
        <v>15</v>
      </c>
      <c r="F162" s="32" t="str">
        <f t="shared" si="75"/>
        <v>M22</v>
      </c>
      <c r="G162" s="62" t="str">
        <f t="shared" si="76"/>
        <v>301</v>
      </c>
      <c r="H162" s="63" t="str">
        <f t="shared" si="80"/>
        <v>C5</v>
      </c>
      <c r="I162" s="64">
        <f t="shared" si="82"/>
        <v>1</v>
      </c>
      <c r="J162" s="40" t="s">
        <v>38</v>
      </c>
      <c r="K162" s="37">
        <v>32</v>
      </c>
      <c r="L162" s="17">
        <v>0.45</v>
      </c>
      <c r="M162" s="19">
        <v>2.04</v>
      </c>
      <c r="N162" s="22">
        <f>TREN01[[#This Row],[T]]-TREN01[[#This Row],[H]]</f>
        <v>1.59</v>
      </c>
      <c r="O162" s="20" t="str">
        <f t="shared" si="70"/>
        <v>OK</v>
      </c>
    </row>
    <row r="163" spans="1:15" x14ac:dyDescent="0.25">
      <c r="A163" s="93" t="s">
        <v>16</v>
      </c>
      <c r="B163" s="32">
        <v>1</v>
      </c>
      <c r="C163" s="32">
        <v>1107200</v>
      </c>
      <c r="D163" s="39">
        <v>45791</v>
      </c>
      <c r="E163" s="32" t="s">
        <v>15</v>
      </c>
      <c r="F163" s="32" t="s">
        <v>40</v>
      </c>
      <c r="G163" s="62" t="s">
        <v>49</v>
      </c>
      <c r="H163" s="63" t="s">
        <v>43</v>
      </c>
      <c r="I163" s="64">
        <v>2</v>
      </c>
      <c r="J163" s="40" t="s">
        <v>31</v>
      </c>
      <c r="K163" s="37">
        <v>33</v>
      </c>
      <c r="L163" s="17">
        <v>0.56000000000000005</v>
      </c>
      <c r="M163" s="19">
        <v>1.77</v>
      </c>
      <c r="N163" s="22">
        <f>TREN01[[#This Row],[T]]-TREN01[[#This Row],[H]]</f>
        <v>1.21</v>
      </c>
      <c r="O163" s="20" t="str">
        <f t="shared" si="70"/>
        <v>OK</v>
      </c>
    </row>
    <row r="164" spans="1:15" x14ac:dyDescent="0.25">
      <c r="A164" s="93" t="s">
        <v>16</v>
      </c>
      <c r="B164" s="32">
        <v>1</v>
      </c>
      <c r="C164" s="32">
        <v>1107200</v>
      </c>
      <c r="D164" s="39">
        <v>45791</v>
      </c>
      <c r="E164" s="32" t="s">
        <v>15</v>
      </c>
      <c r="F164" s="32" t="str">
        <f t="shared" ref="F164:F178" si="83">F163</f>
        <v>M21</v>
      </c>
      <c r="G164" s="62" t="str">
        <f t="shared" ref="G164:G178" si="84">G163</f>
        <v>004</v>
      </c>
      <c r="H164" s="63" t="str">
        <f t="shared" ref="H164:H170" si="85">H163</f>
        <v>C4</v>
      </c>
      <c r="I164" s="64">
        <f t="shared" ref="I164:I166" si="86">I163</f>
        <v>2</v>
      </c>
      <c r="J164" s="40" t="s">
        <v>32</v>
      </c>
      <c r="K164" s="37">
        <v>33</v>
      </c>
      <c r="L164" s="17">
        <v>0.45</v>
      </c>
      <c r="M164" s="19">
        <v>1.66</v>
      </c>
      <c r="N164" s="22">
        <f>TREN01[[#This Row],[T]]-TREN01[[#This Row],[H]]</f>
        <v>1.21</v>
      </c>
      <c r="O164" s="20" t="str">
        <f t="shared" si="70"/>
        <v>OK</v>
      </c>
    </row>
    <row r="165" spans="1:15" x14ac:dyDescent="0.25">
      <c r="A165" s="93" t="s">
        <v>16</v>
      </c>
      <c r="B165" s="32">
        <v>1</v>
      </c>
      <c r="C165" s="32">
        <v>1107200</v>
      </c>
      <c r="D165" s="39">
        <v>45791</v>
      </c>
      <c r="E165" s="32" t="s">
        <v>15</v>
      </c>
      <c r="F165" s="32" t="str">
        <f t="shared" si="83"/>
        <v>M21</v>
      </c>
      <c r="G165" s="62" t="str">
        <f t="shared" si="84"/>
        <v>004</v>
      </c>
      <c r="H165" s="63" t="str">
        <f t="shared" si="85"/>
        <v>C4</v>
      </c>
      <c r="I165" s="64">
        <f t="shared" si="86"/>
        <v>2</v>
      </c>
      <c r="J165" s="40" t="s">
        <v>33</v>
      </c>
      <c r="K165" s="37">
        <v>34</v>
      </c>
      <c r="L165" s="17">
        <v>0.12</v>
      </c>
      <c r="M165" s="19">
        <v>4.99</v>
      </c>
      <c r="N165" s="22">
        <f>TREN01[[#This Row],[T]]-TREN01[[#This Row],[H]]</f>
        <v>4.87</v>
      </c>
      <c r="O165" s="20" t="str">
        <f t="shared" si="70"/>
        <v>OK</v>
      </c>
    </row>
    <row r="166" spans="1:15" x14ac:dyDescent="0.25">
      <c r="A166" s="93" t="s">
        <v>16</v>
      </c>
      <c r="B166" s="32">
        <v>1</v>
      </c>
      <c r="C166" s="32">
        <v>1107200</v>
      </c>
      <c r="D166" s="39">
        <v>45791</v>
      </c>
      <c r="E166" s="32" t="s">
        <v>15</v>
      </c>
      <c r="F166" s="32" t="str">
        <f t="shared" si="83"/>
        <v>M21</v>
      </c>
      <c r="G166" s="62" t="str">
        <f t="shared" si="84"/>
        <v>004</v>
      </c>
      <c r="H166" s="63" t="str">
        <f t="shared" si="85"/>
        <v>C4</v>
      </c>
      <c r="I166" s="64">
        <f t="shared" si="86"/>
        <v>2</v>
      </c>
      <c r="J166" s="40" t="s">
        <v>34</v>
      </c>
      <c r="K166" s="37">
        <v>34</v>
      </c>
      <c r="L166" s="17">
        <v>0.04</v>
      </c>
      <c r="M166" s="19">
        <v>1.72</v>
      </c>
      <c r="N166" s="22">
        <f>TREN01[[#This Row],[T]]-TREN01[[#This Row],[H]]</f>
        <v>1.68</v>
      </c>
      <c r="O166" s="20" t="str">
        <f t="shared" si="70"/>
        <v>OK</v>
      </c>
    </row>
    <row r="167" spans="1:15" x14ac:dyDescent="0.25">
      <c r="A167" s="93" t="s">
        <v>16</v>
      </c>
      <c r="B167" s="32">
        <v>1</v>
      </c>
      <c r="C167" s="32">
        <v>1107200</v>
      </c>
      <c r="D167" s="39">
        <v>45791</v>
      </c>
      <c r="E167" s="32" t="s">
        <v>15</v>
      </c>
      <c r="F167" s="32" t="str">
        <f t="shared" si="83"/>
        <v>M21</v>
      </c>
      <c r="G167" s="62" t="str">
        <f t="shared" si="84"/>
        <v>004</v>
      </c>
      <c r="H167" s="63" t="str">
        <f t="shared" si="85"/>
        <v>C4</v>
      </c>
      <c r="I167" s="64">
        <v>1</v>
      </c>
      <c r="J167" s="40" t="s">
        <v>35</v>
      </c>
      <c r="K167" s="37">
        <v>35</v>
      </c>
      <c r="L167" s="17">
        <v>0.16</v>
      </c>
      <c r="M167" s="19">
        <v>2.12</v>
      </c>
      <c r="N167" s="22">
        <f>TREN01[[#This Row],[T]]-TREN01[[#This Row],[H]]</f>
        <v>1.9600000000000002</v>
      </c>
      <c r="O167" s="20" t="str">
        <f t="shared" si="70"/>
        <v>OK</v>
      </c>
    </row>
    <row r="168" spans="1:15" x14ac:dyDescent="0.25">
      <c r="A168" s="93" t="s">
        <v>16</v>
      </c>
      <c r="B168" s="32">
        <v>1</v>
      </c>
      <c r="C168" s="32">
        <v>1107200</v>
      </c>
      <c r="D168" s="39">
        <v>45791</v>
      </c>
      <c r="E168" s="32" t="s">
        <v>15</v>
      </c>
      <c r="F168" s="32" t="str">
        <f t="shared" si="83"/>
        <v>M21</v>
      </c>
      <c r="G168" s="62" t="str">
        <f t="shared" si="84"/>
        <v>004</v>
      </c>
      <c r="H168" s="63" t="str">
        <f t="shared" si="85"/>
        <v>C4</v>
      </c>
      <c r="I168" s="64">
        <f t="shared" ref="I168:I170" si="87">I167</f>
        <v>1</v>
      </c>
      <c r="J168" s="40" t="s">
        <v>36</v>
      </c>
      <c r="K168" s="37">
        <v>35</v>
      </c>
      <c r="L168" s="17">
        <v>0.19</v>
      </c>
      <c r="M168" s="19">
        <v>1.42</v>
      </c>
      <c r="N168" s="22">
        <f>TREN01[[#This Row],[T]]-TREN01[[#This Row],[H]]</f>
        <v>1.23</v>
      </c>
      <c r="O168" s="20" t="str">
        <f t="shared" si="70"/>
        <v>OK</v>
      </c>
    </row>
    <row r="169" spans="1:15" x14ac:dyDescent="0.25">
      <c r="A169" s="93" t="s">
        <v>16</v>
      </c>
      <c r="B169" s="32">
        <v>1</v>
      </c>
      <c r="C169" s="32">
        <v>1107200</v>
      </c>
      <c r="D169" s="39">
        <v>45791</v>
      </c>
      <c r="E169" s="32" t="s">
        <v>15</v>
      </c>
      <c r="F169" s="32" t="str">
        <f t="shared" si="83"/>
        <v>M21</v>
      </c>
      <c r="G169" s="62" t="str">
        <f t="shared" si="84"/>
        <v>004</v>
      </c>
      <c r="H169" s="63" t="str">
        <f t="shared" si="85"/>
        <v>C4</v>
      </c>
      <c r="I169" s="64">
        <f t="shared" si="87"/>
        <v>1</v>
      </c>
      <c r="J169" s="40" t="s">
        <v>37</v>
      </c>
      <c r="K169" s="37">
        <v>36</v>
      </c>
      <c r="L169" s="17">
        <v>0.17</v>
      </c>
      <c r="M169" s="19">
        <v>1.4</v>
      </c>
      <c r="N169" s="22">
        <f>TREN01[[#This Row],[T]]-TREN01[[#This Row],[H]]</f>
        <v>1.23</v>
      </c>
      <c r="O169" s="20" t="str">
        <f t="shared" si="70"/>
        <v>OK</v>
      </c>
    </row>
    <row r="170" spans="1:15" x14ac:dyDescent="0.25">
      <c r="A170" s="93" t="s">
        <v>16</v>
      </c>
      <c r="B170" s="32">
        <v>1</v>
      </c>
      <c r="C170" s="32">
        <v>1107200</v>
      </c>
      <c r="D170" s="39">
        <v>45791</v>
      </c>
      <c r="E170" s="32" t="s">
        <v>15</v>
      </c>
      <c r="F170" s="32" t="str">
        <f t="shared" si="83"/>
        <v>M21</v>
      </c>
      <c r="G170" s="62" t="str">
        <f t="shared" si="84"/>
        <v>004</v>
      </c>
      <c r="H170" s="63" t="str">
        <f t="shared" si="85"/>
        <v>C4</v>
      </c>
      <c r="I170" s="64">
        <f t="shared" si="87"/>
        <v>1</v>
      </c>
      <c r="J170" s="40" t="s">
        <v>38</v>
      </c>
      <c r="K170" s="37">
        <v>36</v>
      </c>
      <c r="L170" s="17">
        <v>0.17</v>
      </c>
      <c r="M170" s="19">
        <v>4.87</v>
      </c>
      <c r="N170" s="22">
        <f>TREN01[[#This Row],[T]]-TREN01[[#This Row],[H]]</f>
        <v>4.7</v>
      </c>
      <c r="O170" s="20" t="str">
        <f t="shared" si="70"/>
        <v>OK</v>
      </c>
    </row>
    <row r="171" spans="1:15" x14ac:dyDescent="0.25">
      <c r="A171" s="93" t="s">
        <v>16</v>
      </c>
      <c r="B171" s="32">
        <v>1</v>
      </c>
      <c r="C171" s="32">
        <v>1107200</v>
      </c>
      <c r="D171" s="39">
        <v>45791</v>
      </c>
      <c r="E171" s="32" t="s">
        <v>15</v>
      </c>
      <c r="F171" s="32" t="str">
        <f t="shared" si="83"/>
        <v>M21</v>
      </c>
      <c r="G171" s="62" t="str">
        <f t="shared" si="84"/>
        <v>004</v>
      </c>
      <c r="H171" s="63" t="s">
        <v>43</v>
      </c>
      <c r="I171" s="64">
        <v>2</v>
      </c>
      <c r="J171" s="40" t="s">
        <v>31</v>
      </c>
      <c r="K171" s="37">
        <v>37</v>
      </c>
      <c r="L171" s="17">
        <v>0.79</v>
      </c>
      <c r="M171" s="19">
        <v>3.27</v>
      </c>
      <c r="N171" s="22">
        <f>TREN01[[#This Row],[T]]-TREN01[[#This Row],[H]]</f>
        <v>2.48</v>
      </c>
      <c r="O171" s="20" t="str">
        <f t="shared" si="70"/>
        <v>OK</v>
      </c>
    </row>
    <row r="172" spans="1:15" x14ac:dyDescent="0.25">
      <c r="A172" s="93" t="s">
        <v>16</v>
      </c>
      <c r="B172" s="32">
        <v>1</v>
      </c>
      <c r="C172" s="32">
        <v>1107200</v>
      </c>
      <c r="D172" s="39">
        <v>45791</v>
      </c>
      <c r="E172" s="32" t="s">
        <v>15</v>
      </c>
      <c r="F172" s="32" t="str">
        <f t="shared" si="83"/>
        <v>M21</v>
      </c>
      <c r="G172" s="62" t="str">
        <f t="shared" si="84"/>
        <v>004</v>
      </c>
      <c r="H172" s="63" t="str">
        <f t="shared" ref="H172:H178" si="88">H171</f>
        <v>C4</v>
      </c>
      <c r="I172" s="64">
        <f t="shared" ref="I172:I174" si="89">I171</f>
        <v>2</v>
      </c>
      <c r="J172" s="40" t="s">
        <v>32</v>
      </c>
      <c r="K172" s="37">
        <v>37</v>
      </c>
      <c r="L172" s="17">
        <v>0.3</v>
      </c>
      <c r="M172" s="19">
        <v>2.34</v>
      </c>
      <c r="N172" s="22">
        <f>TREN01[[#This Row],[T]]-TREN01[[#This Row],[H]]</f>
        <v>2.04</v>
      </c>
      <c r="O172" s="20" t="str">
        <f t="shared" si="70"/>
        <v>OK</v>
      </c>
    </row>
    <row r="173" spans="1:15" x14ac:dyDescent="0.25">
      <c r="A173" s="93" t="s">
        <v>16</v>
      </c>
      <c r="B173" s="32">
        <v>1</v>
      </c>
      <c r="C173" s="32">
        <v>1107200</v>
      </c>
      <c r="D173" s="39">
        <v>45791</v>
      </c>
      <c r="E173" s="32" t="s">
        <v>15</v>
      </c>
      <c r="F173" s="32" t="str">
        <f t="shared" si="83"/>
        <v>M21</v>
      </c>
      <c r="G173" s="62" t="str">
        <f t="shared" si="84"/>
        <v>004</v>
      </c>
      <c r="H173" s="63" t="str">
        <f t="shared" si="88"/>
        <v>C4</v>
      </c>
      <c r="I173" s="64">
        <f t="shared" si="89"/>
        <v>2</v>
      </c>
      <c r="J173" s="40" t="s">
        <v>33</v>
      </c>
      <c r="K173" s="37">
        <v>38</v>
      </c>
      <c r="L173" s="17">
        <v>0.19</v>
      </c>
      <c r="M173" s="19">
        <v>1.84</v>
      </c>
      <c r="N173" s="22">
        <f>TREN01[[#This Row],[T]]-TREN01[[#This Row],[H]]</f>
        <v>1.6500000000000001</v>
      </c>
      <c r="O173" s="20" t="str">
        <f t="shared" si="70"/>
        <v>OK</v>
      </c>
    </row>
    <row r="174" spans="1:15" x14ac:dyDescent="0.25">
      <c r="A174" s="93" t="s">
        <v>16</v>
      </c>
      <c r="B174" s="32">
        <v>1</v>
      </c>
      <c r="C174" s="32">
        <v>1107200</v>
      </c>
      <c r="D174" s="39">
        <v>45791</v>
      </c>
      <c r="E174" s="32" t="s">
        <v>15</v>
      </c>
      <c r="F174" s="32" t="str">
        <f t="shared" si="83"/>
        <v>M21</v>
      </c>
      <c r="G174" s="62" t="str">
        <f t="shared" si="84"/>
        <v>004</v>
      </c>
      <c r="H174" s="63" t="str">
        <f t="shared" si="88"/>
        <v>C4</v>
      </c>
      <c r="I174" s="64">
        <f t="shared" si="89"/>
        <v>2</v>
      </c>
      <c r="J174" s="40" t="s">
        <v>34</v>
      </c>
      <c r="K174" s="37">
        <v>38</v>
      </c>
      <c r="L174" s="30">
        <v>0.51</v>
      </c>
      <c r="M174" s="31">
        <v>2.85</v>
      </c>
      <c r="N174" s="22">
        <f>TREN01[[#This Row],[T]]-TREN01[[#This Row],[H]]</f>
        <v>2.34</v>
      </c>
      <c r="O174" s="20" t="str">
        <f t="shared" si="70"/>
        <v>OK</v>
      </c>
    </row>
    <row r="175" spans="1:15" x14ac:dyDescent="0.25">
      <c r="A175" s="93" t="s">
        <v>16</v>
      </c>
      <c r="B175" s="32">
        <v>1</v>
      </c>
      <c r="C175" s="32">
        <v>1107200</v>
      </c>
      <c r="D175" s="39">
        <v>45791</v>
      </c>
      <c r="E175" s="32" t="s">
        <v>15</v>
      </c>
      <c r="F175" s="32" t="str">
        <f t="shared" si="83"/>
        <v>M21</v>
      </c>
      <c r="G175" s="62" t="str">
        <f t="shared" si="84"/>
        <v>004</v>
      </c>
      <c r="H175" s="63" t="str">
        <f t="shared" si="88"/>
        <v>C4</v>
      </c>
      <c r="I175" s="64">
        <v>1</v>
      </c>
      <c r="J175" s="40" t="s">
        <v>35</v>
      </c>
      <c r="K175" s="37">
        <v>39</v>
      </c>
      <c r="L175" s="17">
        <v>0.33</v>
      </c>
      <c r="M175" s="19">
        <v>2.4</v>
      </c>
      <c r="N175" s="22">
        <f>TREN01[[#This Row],[T]]-TREN01[[#This Row],[H]]</f>
        <v>2.0699999999999998</v>
      </c>
      <c r="O175" s="20" t="str">
        <f t="shared" si="70"/>
        <v>OK</v>
      </c>
    </row>
    <row r="176" spans="1:15" x14ac:dyDescent="0.25">
      <c r="A176" s="93" t="s">
        <v>16</v>
      </c>
      <c r="B176" s="32">
        <v>1</v>
      </c>
      <c r="C176" s="32">
        <v>1107200</v>
      </c>
      <c r="D176" s="39">
        <v>45791</v>
      </c>
      <c r="E176" s="32" t="s">
        <v>15</v>
      </c>
      <c r="F176" s="32" t="str">
        <f t="shared" si="83"/>
        <v>M21</v>
      </c>
      <c r="G176" s="62" t="str">
        <f t="shared" si="84"/>
        <v>004</v>
      </c>
      <c r="H176" s="63" t="str">
        <f t="shared" si="88"/>
        <v>C4</v>
      </c>
      <c r="I176" s="64">
        <f t="shared" ref="I176:I178" si="90">I175</f>
        <v>1</v>
      </c>
      <c r="J176" s="40" t="s">
        <v>36</v>
      </c>
      <c r="K176" s="37">
        <v>39</v>
      </c>
      <c r="L176" s="17">
        <v>0.48</v>
      </c>
      <c r="M176" s="19">
        <v>2.88</v>
      </c>
      <c r="N176" s="22">
        <f>TREN01[[#This Row],[T]]-TREN01[[#This Row],[H]]</f>
        <v>2.4</v>
      </c>
      <c r="O176" s="20" t="str">
        <f t="shared" si="70"/>
        <v>OK</v>
      </c>
    </row>
    <row r="177" spans="1:15" x14ac:dyDescent="0.25">
      <c r="A177" s="93" t="s">
        <v>16</v>
      </c>
      <c r="B177" s="32">
        <v>1</v>
      </c>
      <c r="C177" s="32">
        <v>1107200</v>
      </c>
      <c r="D177" s="39">
        <v>45791</v>
      </c>
      <c r="E177" s="32" t="s">
        <v>15</v>
      </c>
      <c r="F177" s="32" t="str">
        <f t="shared" si="83"/>
        <v>M21</v>
      </c>
      <c r="G177" s="62" t="str">
        <f t="shared" si="84"/>
        <v>004</v>
      </c>
      <c r="H177" s="63" t="str">
        <f t="shared" si="88"/>
        <v>C4</v>
      </c>
      <c r="I177" s="64">
        <f t="shared" si="90"/>
        <v>1</v>
      </c>
      <c r="J177" s="40" t="s">
        <v>37</v>
      </c>
      <c r="K177" s="37">
        <v>40</v>
      </c>
      <c r="L177" s="17">
        <v>0.34</v>
      </c>
      <c r="M177" s="19">
        <v>2.7</v>
      </c>
      <c r="N177" s="22">
        <f>TREN01[[#This Row],[T]]-TREN01[[#This Row],[H]]</f>
        <v>2.3600000000000003</v>
      </c>
      <c r="O177" s="20" t="str">
        <f t="shared" si="70"/>
        <v>OK</v>
      </c>
    </row>
    <row r="178" spans="1:15" x14ac:dyDescent="0.25">
      <c r="A178" s="93" t="s">
        <v>16</v>
      </c>
      <c r="B178" s="32">
        <v>1</v>
      </c>
      <c r="C178" s="32">
        <v>1107200</v>
      </c>
      <c r="D178" s="39">
        <v>45791</v>
      </c>
      <c r="E178" s="32" t="s">
        <v>15</v>
      </c>
      <c r="F178" s="32" t="str">
        <f t="shared" si="83"/>
        <v>M21</v>
      </c>
      <c r="G178" s="62" t="str">
        <f t="shared" si="84"/>
        <v>004</v>
      </c>
      <c r="H178" s="63" t="str">
        <f t="shared" si="88"/>
        <v>C4</v>
      </c>
      <c r="I178" s="64">
        <f t="shared" si="90"/>
        <v>1</v>
      </c>
      <c r="J178" s="40" t="s">
        <v>38</v>
      </c>
      <c r="K178" s="37">
        <v>40</v>
      </c>
      <c r="L178" s="17">
        <v>0.32</v>
      </c>
      <c r="M178" s="19">
        <v>1.83</v>
      </c>
      <c r="N178" s="22">
        <f>TREN01[[#This Row],[T]]-TREN01[[#This Row],[H]]</f>
        <v>1.51</v>
      </c>
      <c r="O178" s="20" t="str">
        <f t="shared" si="70"/>
        <v>OK</v>
      </c>
    </row>
    <row r="179" spans="1:15" x14ac:dyDescent="0.25">
      <c r="A179" s="93" t="s">
        <v>16</v>
      </c>
      <c r="B179" s="32">
        <v>1</v>
      </c>
      <c r="C179" s="32">
        <v>1107200</v>
      </c>
      <c r="D179" s="39">
        <v>45791</v>
      </c>
      <c r="E179" s="32" t="s">
        <v>15</v>
      </c>
      <c r="F179" s="32" t="s">
        <v>28</v>
      </c>
      <c r="G179" s="62" t="s">
        <v>50</v>
      </c>
      <c r="H179" s="63" t="s">
        <v>39</v>
      </c>
      <c r="I179" s="64">
        <v>2</v>
      </c>
      <c r="J179" s="40" t="s">
        <v>31</v>
      </c>
      <c r="K179" s="37">
        <v>41</v>
      </c>
      <c r="L179" s="17">
        <v>0.5</v>
      </c>
      <c r="M179" s="19">
        <v>1.0900000000000001</v>
      </c>
      <c r="N179" s="22">
        <f>TREN01[[#This Row],[T]]-TREN01[[#This Row],[H]]</f>
        <v>0.59000000000000008</v>
      </c>
      <c r="O179" s="20" t="str">
        <f t="shared" si="70"/>
        <v>Seguimiento</v>
      </c>
    </row>
    <row r="180" spans="1:15" x14ac:dyDescent="0.25">
      <c r="A180" s="93" t="s">
        <v>16</v>
      </c>
      <c r="B180" s="32">
        <v>1</v>
      </c>
      <c r="C180" s="32">
        <v>1107200</v>
      </c>
      <c r="D180" s="39">
        <v>45791</v>
      </c>
      <c r="E180" s="32" t="s">
        <v>15</v>
      </c>
      <c r="F180" s="32" t="str">
        <f t="shared" ref="F180:F194" si="91">F179</f>
        <v>M20</v>
      </c>
      <c r="G180" s="62" t="str">
        <f t="shared" ref="G180:G194" si="92">G179</f>
        <v>003</v>
      </c>
      <c r="H180" s="63" t="str">
        <f t="shared" ref="H180:H186" si="93">H179</f>
        <v>C2</v>
      </c>
      <c r="I180" s="64">
        <f t="shared" ref="I180:I182" si="94">I179</f>
        <v>2</v>
      </c>
      <c r="J180" s="40" t="s">
        <v>32</v>
      </c>
      <c r="K180" s="37">
        <v>41</v>
      </c>
      <c r="L180" s="17">
        <v>0.44</v>
      </c>
      <c r="M180" s="19">
        <v>3.9</v>
      </c>
      <c r="N180" s="22">
        <f>TREN01[[#This Row],[T]]-TREN01[[#This Row],[H]]</f>
        <v>3.46</v>
      </c>
      <c r="O180" s="20" t="str">
        <f t="shared" si="70"/>
        <v>OK</v>
      </c>
    </row>
    <row r="181" spans="1:15" x14ac:dyDescent="0.25">
      <c r="A181" s="93" t="s">
        <v>16</v>
      </c>
      <c r="B181" s="32">
        <v>1</v>
      </c>
      <c r="C181" s="32">
        <v>1107200</v>
      </c>
      <c r="D181" s="39">
        <v>45791</v>
      </c>
      <c r="E181" s="32" t="s">
        <v>15</v>
      </c>
      <c r="F181" s="32" t="str">
        <f t="shared" si="91"/>
        <v>M20</v>
      </c>
      <c r="G181" s="62" t="str">
        <f t="shared" si="92"/>
        <v>003</v>
      </c>
      <c r="H181" s="63" t="str">
        <f t="shared" si="93"/>
        <v>C2</v>
      </c>
      <c r="I181" s="64">
        <f t="shared" si="94"/>
        <v>2</v>
      </c>
      <c r="J181" s="40" t="s">
        <v>33</v>
      </c>
      <c r="K181" s="37">
        <v>42</v>
      </c>
      <c r="L181" s="17">
        <v>0.52</v>
      </c>
      <c r="M181" s="19">
        <v>2.71</v>
      </c>
      <c r="N181" s="22">
        <f>TREN01[[#This Row],[T]]-TREN01[[#This Row],[H]]</f>
        <v>2.19</v>
      </c>
      <c r="O181" s="20" t="str">
        <f t="shared" si="70"/>
        <v>OK</v>
      </c>
    </row>
    <row r="182" spans="1:15" x14ac:dyDescent="0.25">
      <c r="A182" s="93" t="s">
        <v>16</v>
      </c>
      <c r="B182" s="32">
        <v>1</v>
      </c>
      <c r="C182" s="32">
        <v>1107200</v>
      </c>
      <c r="D182" s="39">
        <v>45791</v>
      </c>
      <c r="E182" s="32" t="s">
        <v>15</v>
      </c>
      <c r="F182" s="32" t="str">
        <f t="shared" si="91"/>
        <v>M20</v>
      </c>
      <c r="G182" s="62" t="str">
        <f t="shared" si="92"/>
        <v>003</v>
      </c>
      <c r="H182" s="63" t="str">
        <f t="shared" si="93"/>
        <v>C2</v>
      </c>
      <c r="I182" s="64">
        <f t="shared" si="94"/>
        <v>2</v>
      </c>
      <c r="J182" s="40" t="s">
        <v>34</v>
      </c>
      <c r="K182" s="37">
        <v>42</v>
      </c>
      <c r="L182" s="17">
        <v>0.99</v>
      </c>
      <c r="M182" s="19">
        <v>1.53</v>
      </c>
      <c r="N182" s="22">
        <f>TREN01[[#This Row],[T]]-TREN01[[#This Row],[H]]</f>
        <v>0.54</v>
      </c>
      <c r="O182" s="20" t="str">
        <f t="shared" si="70"/>
        <v>Seguimiento</v>
      </c>
    </row>
    <row r="183" spans="1:15" x14ac:dyDescent="0.25">
      <c r="A183" s="93" t="s">
        <v>16</v>
      </c>
      <c r="B183" s="32">
        <v>1</v>
      </c>
      <c r="C183" s="32">
        <v>1107200</v>
      </c>
      <c r="D183" s="39">
        <v>45791</v>
      </c>
      <c r="E183" s="32" t="s">
        <v>15</v>
      </c>
      <c r="F183" s="32" t="str">
        <f t="shared" si="91"/>
        <v>M20</v>
      </c>
      <c r="G183" s="62" t="str">
        <f t="shared" si="92"/>
        <v>003</v>
      </c>
      <c r="H183" s="63" t="str">
        <f t="shared" si="93"/>
        <v>C2</v>
      </c>
      <c r="I183" s="64">
        <v>1</v>
      </c>
      <c r="J183" s="40" t="s">
        <v>35</v>
      </c>
      <c r="K183" s="37">
        <v>43</v>
      </c>
      <c r="L183" s="17">
        <v>0.48</v>
      </c>
      <c r="M183" s="19">
        <v>3.7</v>
      </c>
      <c r="N183" s="22">
        <f>TREN01[[#This Row],[T]]-TREN01[[#This Row],[H]]</f>
        <v>3.22</v>
      </c>
      <c r="O183" s="20" t="str">
        <f t="shared" si="70"/>
        <v>OK</v>
      </c>
    </row>
    <row r="184" spans="1:15" x14ac:dyDescent="0.25">
      <c r="A184" s="93" t="s">
        <v>16</v>
      </c>
      <c r="B184" s="32">
        <v>1</v>
      </c>
      <c r="C184" s="32">
        <v>1107200</v>
      </c>
      <c r="D184" s="39">
        <v>45791</v>
      </c>
      <c r="E184" s="32" t="s">
        <v>15</v>
      </c>
      <c r="F184" s="32" t="str">
        <f t="shared" si="91"/>
        <v>M20</v>
      </c>
      <c r="G184" s="62" t="str">
        <f t="shared" si="92"/>
        <v>003</v>
      </c>
      <c r="H184" s="63" t="str">
        <f t="shared" si="93"/>
        <v>C2</v>
      </c>
      <c r="I184" s="64">
        <f t="shared" ref="I184:I186" si="95">I183</f>
        <v>1</v>
      </c>
      <c r="J184" s="40" t="s">
        <v>36</v>
      </c>
      <c r="K184" s="37">
        <v>43</v>
      </c>
      <c r="L184" s="17">
        <v>0.14000000000000001</v>
      </c>
      <c r="M184" s="19">
        <v>3.81</v>
      </c>
      <c r="N184" s="22">
        <f>TREN01[[#This Row],[T]]-TREN01[[#This Row],[H]]</f>
        <v>3.67</v>
      </c>
      <c r="O184" s="20" t="str">
        <f t="shared" si="70"/>
        <v>OK</v>
      </c>
    </row>
    <row r="185" spans="1:15" x14ac:dyDescent="0.25">
      <c r="A185" s="93" t="s">
        <v>16</v>
      </c>
      <c r="B185" s="32">
        <v>1</v>
      </c>
      <c r="C185" s="32">
        <v>1107200</v>
      </c>
      <c r="D185" s="39">
        <v>45791</v>
      </c>
      <c r="E185" s="32" t="s">
        <v>15</v>
      </c>
      <c r="F185" s="32" t="str">
        <f t="shared" si="91"/>
        <v>M20</v>
      </c>
      <c r="G185" s="62" t="str">
        <f t="shared" si="92"/>
        <v>003</v>
      </c>
      <c r="H185" s="63" t="str">
        <f t="shared" si="93"/>
        <v>C2</v>
      </c>
      <c r="I185" s="64">
        <f t="shared" si="95"/>
        <v>1</v>
      </c>
      <c r="J185" s="40" t="s">
        <v>37</v>
      </c>
      <c r="K185" s="37">
        <v>44</v>
      </c>
      <c r="L185" s="17">
        <v>0.18</v>
      </c>
      <c r="M185" s="19">
        <v>3.52</v>
      </c>
      <c r="N185" s="22">
        <f>TREN01[[#This Row],[T]]-TREN01[[#This Row],[H]]</f>
        <v>3.34</v>
      </c>
      <c r="O185" s="20" t="str">
        <f t="shared" si="70"/>
        <v>OK</v>
      </c>
    </row>
    <row r="186" spans="1:15" x14ac:dyDescent="0.25">
      <c r="A186" s="93" t="s">
        <v>16</v>
      </c>
      <c r="B186" s="32">
        <v>1</v>
      </c>
      <c r="C186" s="32">
        <v>1107200</v>
      </c>
      <c r="D186" s="39">
        <v>45791</v>
      </c>
      <c r="E186" s="32" t="s">
        <v>15</v>
      </c>
      <c r="F186" s="32" t="str">
        <f t="shared" si="91"/>
        <v>M20</v>
      </c>
      <c r="G186" s="62" t="str">
        <f t="shared" si="92"/>
        <v>003</v>
      </c>
      <c r="H186" s="63" t="str">
        <f t="shared" si="93"/>
        <v>C2</v>
      </c>
      <c r="I186" s="64">
        <f t="shared" si="95"/>
        <v>1</v>
      </c>
      <c r="J186" s="40" t="s">
        <v>38</v>
      </c>
      <c r="K186" s="37">
        <v>44</v>
      </c>
      <c r="L186" s="17">
        <v>0.53</v>
      </c>
      <c r="M186" s="19">
        <v>3.81</v>
      </c>
      <c r="N186" s="22">
        <f>TREN01[[#This Row],[T]]-TREN01[[#This Row],[H]]</f>
        <v>3.2800000000000002</v>
      </c>
      <c r="O186" s="20" t="str">
        <f t="shared" si="70"/>
        <v>OK</v>
      </c>
    </row>
    <row r="187" spans="1:15" x14ac:dyDescent="0.25">
      <c r="A187" s="93" t="s">
        <v>16</v>
      </c>
      <c r="B187" s="32">
        <v>1</v>
      </c>
      <c r="C187" s="32">
        <v>1107200</v>
      </c>
      <c r="D187" s="39">
        <v>45791</v>
      </c>
      <c r="E187" s="32" t="s">
        <v>15</v>
      </c>
      <c r="F187" s="32" t="str">
        <f t="shared" si="91"/>
        <v>M20</v>
      </c>
      <c r="G187" s="62" t="str">
        <f t="shared" si="92"/>
        <v>003</v>
      </c>
      <c r="H187" s="63" t="s">
        <v>30</v>
      </c>
      <c r="I187" s="64">
        <v>2</v>
      </c>
      <c r="J187" s="40" t="s">
        <v>31</v>
      </c>
      <c r="K187" s="37">
        <v>45</v>
      </c>
      <c r="L187" s="17">
        <v>0.16</v>
      </c>
      <c r="M187" s="19">
        <v>4.6900000000000004</v>
      </c>
      <c r="N187" s="22">
        <f>TREN01[[#This Row],[T]]-TREN01[[#This Row],[H]]</f>
        <v>4.53</v>
      </c>
      <c r="O187" s="20" t="str">
        <f t="shared" si="70"/>
        <v>OK</v>
      </c>
    </row>
    <row r="188" spans="1:15" x14ac:dyDescent="0.25">
      <c r="A188" s="93" t="s">
        <v>16</v>
      </c>
      <c r="B188" s="32">
        <v>1</v>
      </c>
      <c r="C188" s="32">
        <v>1107200</v>
      </c>
      <c r="D188" s="39">
        <v>45791</v>
      </c>
      <c r="E188" s="32" t="s">
        <v>15</v>
      </c>
      <c r="F188" s="32" t="str">
        <f t="shared" si="91"/>
        <v>M20</v>
      </c>
      <c r="G188" s="62" t="str">
        <f t="shared" si="92"/>
        <v>003</v>
      </c>
      <c r="H188" s="63" t="str">
        <f t="shared" ref="H188:H194" si="96">H187</f>
        <v>C1</v>
      </c>
      <c r="I188" s="64">
        <f t="shared" ref="I188:I190" si="97">I187</f>
        <v>2</v>
      </c>
      <c r="J188" s="40" t="s">
        <v>32</v>
      </c>
      <c r="K188" s="37">
        <v>45</v>
      </c>
      <c r="L188" s="17">
        <v>0.13</v>
      </c>
      <c r="M188" s="19">
        <v>5.0599999999999996</v>
      </c>
      <c r="N188" s="22">
        <f>TREN01[[#This Row],[T]]-TREN01[[#This Row],[H]]</f>
        <v>4.93</v>
      </c>
      <c r="O188" s="20" t="str">
        <f t="shared" si="70"/>
        <v>OK</v>
      </c>
    </row>
    <row r="189" spans="1:15" x14ac:dyDescent="0.25">
      <c r="A189" s="93" t="s">
        <v>16</v>
      </c>
      <c r="B189" s="32">
        <v>1</v>
      </c>
      <c r="C189" s="32">
        <v>1107200</v>
      </c>
      <c r="D189" s="39">
        <v>45791</v>
      </c>
      <c r="E189" s="32" t="s">
        <v>15</v>
      </c>
      <c r="F189" s="32" t="str">
        <f t="shared" si="91"/>
        <v>M20</v>
      </c>
      <c r="G189" s="62" t="str">
        <f t="shared" si="92"/>
        <v>003</v>
      </c>
      <c r="H189" s="63" t="str">
        <f t="shared" si="96"/>
        <v>C1</v>
      </c>
      <c r="I189" s="64">
        <f t="shared" si="97"/>
        <v>2</v>
      </c>
      <c r="J189" s="40" t="s">
        <v>33</v>
      </c>
      <c r="K189" s="37">
        <v>46</v>
      </c>
      <c r="L189" s="17">
        <v>0.15</v>
      </c>
      <c r="M189" s="19">
        <v>1.92</v>
      </c>
      <c r="N189" s="22">
        <f>TREN01[[#This Row],[T]]-TREN01[[#This Row],[H]]</f>
        <v>1.77</v>
      </c>
      <c r="O189" s="20" t="str">
        <f t="shared" si="70"/>
        <v>OK</v>
      </c>
    </row>
    <row r="190" spans="1:15" x14ac:dyDescent="0.25">
      <c r="A190" s="93" t="s">
        <v>16</v>
      </c>
      <c r="B190" s="32">
        <v>1</v>
      </c>
      <c r="C190" s="32">
        <v>1107200</v>
      </c>
      <c r="D190" s="39">
        <v>45791</v>
      </c>
      <c r="E190" s="32" t="s">
        <v>15</v>
      </c>
      <c r="F190" s="32" t="str">
        <f t="shared" si="91"/>
        <v>M20</v>
      </c>
      <c r="G190" s="62" t="str">
        <f t="shared" si="92"/>
        <v>003</v>
      </c>
      <c r="H190" s="63" t="str">
        <f t="shared" si="96"/>
        <v>C1</v>
      </c>
      <c r="I190" s="64">
        <f t="shared" si="97"/>
        <v>2</v>
      </c>
      <c r="J190" s="40" t="s">
        <v>34</v>
      </c>
      <c r="K190" s="37">
        <v>46</v>
      </c>
      <c r="L190" s="17">
        <v>0.49</v>
      </c>
      <c r="M190" s="19">
        <v>0.68</v>
      </c>
      <c r="N190" s="22">
        <f>TREN01[[#This Row],[T]]-TREN01[[#This Row],[H]]</f>
        <v>0.19000000000000006</v>
      </c>
      <c r="O190" s="20" t="str">
        <f t="shared" si="70"/>
        <v>Cambio</v>
      </c>
    </row>
    <row r="191" spans="1:15" x14ac:dyDescent="0.25">
      <c r="A191" s="93" t="s">
        <v>16</v>
      </c>
      <c r="B191" s="32">
        <v>1</v>
      </c>
      <c r="C191" s="32">
        <v>1107200</v>
      </c>
      <c r="D191" s="39">
        <v>45791</v>
      </c>
      <c r="E191" s="32" t="s">
        <v>15</v>
      </c>
      <c r="F191" s="32" t="str">
        <f t="shared" si="91"/>
        <v>M20</v>
      </c>
      <c r="G191" s="62" t="str">
        <f t="shared" si="92"/>
        <v>003</v>
      </c>
      <c r="H191" s="63" t="str">
        <f t="shared" si="96"/>
        <v>C1</v>
      </c>
      <c r="I191" s="64">
        <v>1</v>
      </c>
      <c r="J191" s="40" t="s">
        <v>35</v>
      </c>
      <c r="K191" s="37">
        <v>47</v>
      </c>
      <c r="L191" s="17">
        <v>0.26</v>
      </c>
      <c r="M191" s="19">
        <v>1.47</v>
      </c>
      <c r="N191" s="22">
        <f>TREN01[[#This Row],[T]]-TREN01[[#This Row],[H]]</f>
        <v>1.21</v>
      </c>
      <c r="O191" s="20" t="str">
        <f t="shared" si="70"/>
        <v>OK</v>
      </c>
    </row>
    <row r="192" spans="1:15" x14ac:dyDescent="0.25">
      <c r="A192" s="93" t="s">
        <v>16</v>
      </c>
      <c r="B192" s="32">
        <v>1</v>
      </c>
      <c r="C192" s="32">
        <v>1107200</v>
      </c>
      <c r="D192" s="39">
        <v>45791</v>
      </c>
      <c r="E192" s="32" t="s">
        <v>15</v>
      </c>
      <c r="F192" s="32" t="str">
        <f t="shared" si="91"/>
        <v>M20</v>
      </c>
      <c r="G192" s="62" t="str">
        <f t="shared" si="92"/>
        <v>003</v>
      </c>
      <c r="H192" s="63" t="str">
        <f t="shared" si="96"/>
        <v>C1</v>
      </c>
      <c r="I192" s="64">
        <f t="shared" ref="I192:I194" si="98">I191</f>
        <v>1</v>
      </c>
      <c r="J192" s="40" t="s">
        <v>36</v>
      </c>
      <c r="K192" s="37">
        <v>47</v>
      </c>
      <c r="L192" s="17">
        <v>0.65</v>
      </c>
      <c r="M192" s="19">
        <v>4.66</v>
      </c>
      <c r="N192" s="22">
        <f>TREN01[[#This Row],[T]]-TREN01[[#This Row],[H]]</f>
        <v>4.01</v>
      </c>
      <c r="O192" s="20" t="str">
        <f t="shared" si="70"/>
        <v>OK</v>
      </c>
    </row>
    <row r="193" spans="1:15" x14ac:dyDescent="0.25">
      <c r="A193" s="96" t="s">
        <v>16</v>
      </c>
      <c r="B193" s="32">
        <v>1</v>
      </c>
      <c r="C193" s="32">
        <v>1107200</v>
      </c>
      <c r="D193" s="39">
        <v>45791</v>
      </c>
      <c r="E193" s="32" t="s">
        <v>15</v>
      </c>
      <c r="F193" s="32" t="str">
        <f t="shared" si="91"/>
        <v>M20</v>
      </c>
      <c r="G193" s="62" t="str">
        <f t="shared" si="92"/>
        <v>003</v>
      </c>
      <c r="H193" s="63" t="str">
        <f t="shared" si="96"/>
        <v>C1</v>
      </c>
      <c r="I193" s="64">
        <f t="shared" si="98"/>
        <v>1</v>
      </c>
      <c r="J193" s="40" t="s">
        <v>37</v>
      </c>
      <c r="K193" s="37">
        <v>48</v>
      </c>
      <c r="L193" s="17">
        <v>0.36</v>
      </c>
      <c r="M193" s="19">
        <v>2.13</v>
      </c>
      <c r="N193" s="22">
        <f>TREN01[[#This Row],[T]]-TREN01[[#This Row],[H]]</f>
        <v>1.77</v>
      </c>
      <c r="O193" s="20" t="str">
        <f t="shared" si="70"/>
        <v>OK</v>
      </c>
    </row>
    <row r="194" spans="1:15" ht="15.75" thickBot="1" x14ac:dyDescent="0.3">
      <c r="A194" s="54" t="s">
        <v>16</v>
      </c>
      <c r="B194" s="48">
        <v>1</v>
      </c>
      <c r="C194" s="48">
        <v>1107200</v>
      </c>
      <c r="D194" s="49">
        <v>45791</v>
      </c>
      <c r="E194" s="48" t="s">
        <v>15</v>
      </c>
      <c r="F194" s="48" t="str">
        <f t="shared" si="91"/>
        <v>M20</v>
      </c>
      <c r="G194" s="68" t="str">
        <f t="shared" si="92"/>
        <v>003</v>
      </c>
      <c r="H194" s="69" t="str">
        <f t="shared" si="96"/>
        <v>C1</v>
      </c>
      <c r="I194" s="70">
        <f t="shared" si="98"/>
        <v>1</v>
      </c>
      <c r="J194" s="71" t="s">
        <v>38</v>
      </c>
      <c r="K194" s="37">
        <v>48</v>
      </c>
      <c r="L194" s="33">
        <v>0.46</v>
      </c>
      <c r="M194" s="34">
        <v>1.21</v>
      </c>
      <c r="N194" s="22">
        <f>TREN01[[#This Row],[T]]-TREN01[[#This Row],[H]]</f>
        <v>0.75</v>
      </c>
      <c r="O194" s="20" t="str">
        <f t="shared" si="70"/>
        <v>Seguimiento</v>
      </c>
    </row>
    <row r="195" spans="1:15" x14ac:dyDescent="0.25">
      <c r="A195" s="93" t="s">
        <v>16</v>
      </c>
      <c r="B195" s="36">
        <v>1</v>
      </c>
      <c r="C195" s="36">
        <v>1113983</v>
      </c>
      <c r="D195" s="52">
        <v>45831</v>
      </c>
      <c r="E195" s="36" t="s">
        <v>15</v>
      </c>
      <c r="F195" s="36" t="s">
        <v>28</v>
      </c>
      <c r="G195" s="65" t="s">
        <v>29</v>
      </c>
      <c r="H195" s="66" t="s">
        <v>30</v>
      </c>
      <c r="I195" s="67">
        <v>1</v>
      </c>
      <c r="J195" s="40" t="s">
        <v>31</v>
      </c>
      <c r="K195" s="37">
        <v>1</v>
      </c>
      <c r="L195" s="17">
        <v>0.04</v>
      </c>
      <c r="M195" s="19">
        <v>4.66</v>
      </c>
      <c r="N195" s="22">
        <f>TREN01[[#This Row],[T]]-TREN01[[#This Row],[H]]</f>
        <v>4.62</v>
      </c>
      <c r="O195" s="20" t="str">
        <f t="shared" si="70"/>
        <v>OK</v>
      </c>
    </row>
    <row r="196" spans="1:15" x14ac:dyDescent="0.25">
      <c r="A196" s="91" t="s">
        <v>16</v>
      </c>
      <c r="B196" s="32">
        <v>1</v>
      </c>
      <c r="C196" s="32">
        <v>1113983</v>
      </c>
      <c r="D196" s="39">
        <v>45831</v>
      </c>
      <c r="E196" s="32" t="s">
        <v>15</v>
      </c>
      <c r="F196" s="32" t="str">
        <f t="shared" ref="F196:I210" si="99">F195</f>
        <v>M20</v>
      </c>
      <c r="G196" s="62" t="str">
        <f t="shared" si="99"/>
        <v>001</v>
      </c>
      <c r="H196" s="63" t="str">
        <f t="shared" si="99"/>
        <v>C1</v>
      </c>
      <c r="I196" s="64">
        <f t="shared" si="99"/>
        <v>1</v>
      </c>
      <c r="J196" s="40" t="s">
        <v>32</v>
      </c>
      <c r="K196" s="37">
        <v>1</v>
      </c>
      <c r="L196" s="17">
        <v>0.14000000000000001</v>
      </c>
      <c r="M196" s="19">
        <v>1.99</v>
      </c>
      <c r="N196" s="22">
        <f>TREN01[[#This Row],[T]]-TREN01[[#This Row],[H]]</f>
        <v>1.85</v>
      </c>
      <c r="O196" s="20" t="str">
        <f t="shared" ref="O196:O259" si="100">IF(N196&lt;=0,"Critico",IF(N196&lt;=0.2,"Cambio",IF(N196&lt;=1,"Seguimiento",IF(L196&gt;=1.7,"Reperfilado","OK"))))</f>
        <v>OK</v>
      </c>
    </row>
    <row r="197" spans="1:15" x14ac:dyDescent="0.25">
      <c r="A197" s="93" t="s">
        <v>16</v>
      </c>
      <c r="B197" s="32">
        <v>1</v>
      </c>
      <c r="C197" s="36">
        <v>1113983</v>
      </c>
      <c r="D197" s="52">
        <v>45831</v>
      </c>
      <c r="E197" s="32" t="s">
        <v>15</v>
      </c>
      <c r="F197" s="32" t="str">
        <f t="shared" si="99"/>
        <v>M20</v>
      </c>
      <c r="G197" s="62" t="str">
        <f t="shared" si="99"/>
        <v>001</v>
      </c>
      <c r="H197" s="63" t="str">
        <f t="shared" si="99"/>
        <v>C1</v>
      </c>
      <c r="I197" s="64">
        <f t="shared" si="99"/>
        <v>1</v>
      </c>
      <c r="J197" s="40" t="s">
        <v>33</v>
      </c>
      <c r="K197" s="37">
        <v>2</v>
      </c>
      <c r="L197" s="17">
        <v>0.06</v>
      </c>
      <c r="M197" s="19">
        <v>2.09</v>
      </c>
      <c r="N197" s="22">
        <f>TREN01[[#This Row],[T]]-TREN01[[#This Row],[H]]</f>
        <v>2.0299999999999998</v>
      </c>
      <c r="O197" s="20" t="str">
        <f t="shared" si="100"/>
        <v>OK</v>
      </c>
    </row>
    <row r="198" spans="1:15" x14ac:dyDescent="0.25">
      <c r="A198" s="93" t="s">
        <v>16</v>
      </c>
      <c r="B198" s="32">
        <v>1</v>
      </c>
      <c r="C198" s="36">
        <v>1113983</v>
      </c>
      <c r="D198" s="52">
        <v>45831</v>
      </c>
      <c r="E198" s="32" t="s">
        <v>15</v>
      </c>
      <c r="F198" s="32" t="str">
        <f t="shared" si="99"/>
        <v>M20</v>
      </c>
      <c r="G198" s="62" t="str">
        <f t="shared" si="99"/>
        <v>001</v>
      </c>
      <c r="H198" s="63" t="str">
        <f t="shared" si="99"/>
        <v>C1</v>
      </c>
      <c r="I198" s="64">
        <f t="shared" si="99"/>
        <v>1</v>
      </c>
      <c r="J198" s="40" t="s">
        <v>34</v>
      </c>
      <c r="K198" s="37">
        <v>2</v>
      </c>
      <c r="L198" s="17">
        <v>0.66</v>
      </c>
      <c r="M198" s="19">
        <v>3.24</v>
      </c>
      <c r="N198" s="22">
        <f>TREN01[[#This Row],[T]]-TREN01[[#This Row],[H]]</f>
        <v>2.58</v>
      </c>
      <c r="O198" s="20" t="str">
        <f t="shared" si="100"/>
        <v>OK</v>
      </c>
    </row>
    <row r="199" spans="1:15" x14ac:dyDescent="0.25">
      <c r="A199" s="93" t="s">
        <v>16</v>
      </c>
      <c r="B199" s="32">
        <v>1</v>
      </c>
      <c r="C199" s="36">
        <v>1113983</v>
      </c>
      <c r="D199" s="52">
        <v>45831</v>
      </c>
      <c r="E199" s="32" t="s">
        <v>15</v>
      </c>
      <c r="F199" s="32" t="str">
        <f t="shared" si="99"/>
        <v>M20</v>
      </c>
      <c r="G199" s="62" t="str">
        <f t="shared" si="99"/>
        <v>001</v>
      </c>
      <c r="H199" s="63" t="str">
        <f t="shared" si="99"/>
        <v>C1</v>
      </c>
      <c r="I199" s="64">
        <v>2</v>
      </c>
      <c r="J199" s="40" t="s">
        <v>35</v>
      </c>
      <c r="K199" s="37">
        <v>3</v>
      </c>
      <c r="L199" s="17">
        <v>0.17</v>
      </c>
      <c r="M199" s="19">
        <v>4.5599999999999996</v>
      </c>
      <c r="N199" s="22">
        <f>TREN01[[#This Row],[T]]-TREN01[[#This Row],[H]]</f>
        <v>4.3899999999999997</v>
      </c>
      <c r="O199" s="20" t="str">
        <f t="shared" si="100"/>
        <v>OK</v>
      </c>
    </row>
    <row r="200" spans="1:15" x14ac:dyDescent="0.25">
      <c r="A200" s="93" t="s">
        <v>16</v>
      </c>
      <c r="B200" s="32">
        <v>1</v>
      </c>
      <c r="C200" s="36">
        <v>1113983</v>
      </c>
      <c r="D200" s="52">
        <v>45831</v>
      </c>
      <c r="E200" s="32" t="s">
        <v>15</v>
      </c>
      <c r="F200" s="32" t="str">
        <f t="shared" si="99"/>
        <v>M20</v>
      </c>
      <c r="G200" s="62" t="str">
        <f t="shared" si="99"/>
        <v>001</v>
      </c>
      <c r="H200" s="63" t="str">
        <f t="shared" si="99"/>
        <v>C1</v>
      </c>
      <c r="I200" s="64">
        <f t="shared" si="99"/>
        <v>2</v>
      </c>
      <c r="J200" s="40" t="s">
        <v>36</v>
      </c>
      <c r="K200" s="37">
        <v>3</v>
      </c>
      <c r="L200" s="17">
        <v>0.25</v>
      </c>
      <c r="M200" s="19">
        <v>3.59</v>
      </c>
      <c r="N200" s="22">
        <f>TREN01[[#This Row],[T]]-TREN01[[#This Row],[H]]</f>
        <v>3.34</v>
      </c>
      <c r="O200" s="20" t="str">
        <f t="shared" si="100"/>
        <v>OK</v>
      </c>
    </row>
    <row r="201" spans="1:15" x14ac:dyDescent="0.25">
      <c r="A201" s="93" t="s">
        <v>16</v>
      </c>
      <c r="B201" s="32">
        <v>1</v>
      </c>
      <c r="C201" s="36">
        <v>1113983</v>
      </c>
      <c r="D201" s="52">
        <v>45831</v>
      </c>
      <c r="E201" s="32" t="s">
        <v>15</v>
      </c>
      <c r="F201" s="32" t="str">
        <f t="shared" si="99"/>
        <v>M20</v>
      </c>
      <c r="G201" s="62" t="str">
        <f t="shared" si="99"/>
        <v>001</v>
      </c>
      <c r="H201" s="63" t="str">
        <f t="shared" si="99"/>
        <v>C1</v>
      </c>
      <c r="I201" s="64">
        <f t="shared" si="99"/>
        <v>2</v>
      </c>
      <c r="J201" s="40" t="s">
        <v>37</v>
      </c>
      <c r="K201" s="37">
        <v>4</v>
      </c>
      <c r="L201" s="17">
        <v>0.26</v>
      </c>
      <c r="M201" s="19">
        <v>2.38</v>
      </c>
      <c r="N201" s="22">
        <f>TREN01[[#This Row],[T]]-TREN01[[#This Row],[H]]</f>
        <v>2.12</v>
      </c>
      <c r="O201" s="20" t="str">
        <f t="shared" si="100"/>
        <v>OK</v>
      </c>
    </row>
    <row r="202" spans="1:15" x14ac:dyDescent="0.25">
      <c r="A202" s="93" t="s">
        <v>16</v>
      </c>
      <c r="B202" s="32">
        <v>1</v>
      </c>
      <c r="C202" s="36">
        <v>1113983</v>
      </c>
      <c r="D202" s="52">
        <v>45831</v>
      </c>
      <c r="E202" s="32" t="s">
        <v>15</v>
      </c>
      <c r="F202" s="32" t="str">
        <f t="shared" si="99"/>
        <v>M20</v>
      </c>
      <c r="G202" s="62" t="str">
        <f t="shared" si="99"/>
        <v>001</v>
      </c>
      <c r="H202" s="63" t="str">
        <f t="shared" si="99"/>
        <v>C1</v>
      </c>
      <c r="I202" s="64">
        <f t="shared" si="99"/>
        <v>2</v>
      </c>
      <c r="J202" s="40" t="s">
        <v>38</v>
      </c>
      <c r="K202" s="37">
        <v>4</v>
      </c>
      <c r="L202" s="17">
        <v>0.81</v>
      </c>
      <c r="M202" s="19">
        <v>3.66</v>
      </c>
      <c r="N202" s="22">
        <f>TREN01[[#This Row],[T]]-TREN01[[#This Row],[H]]</f>
        <v>2.85</v>
      </c>
      <c r="O202" s="20" t="str">
        <f t="shared" si="100"/>
        <v>OK</v>
      </c>
    </row>
    <row r="203" spans="1:15" x14ac:dyDescent="0.25">
      <c r="A203" s="93" t="s">
        <v>16</v>
      </c>
      <c r="B203" s="32">
        <v>1</v>
      </c>
      <c r="C203" s="36">
        <v>1113983</v>
      </c>
      <c r="D203" s="52">
        <v>45831</v>
      </c>
      <c r="E203" s="32" t="s">
        <v>15</v>
      </c>
      <c r="F203" s="32" t="str">
        <f t="shared" si="99"/>
        <v>M20</v>
      </c>
      <c r="G203" s="62" t="str">
        <f t="shared" si="99"/>
        <v>001</v>
      </c>
      <c r="H203" s="63" t="s">
        <v>39</v>
      </c>
      <c r="I203" s="64">
        <v>1</v>
      </c>
      <c r="J203" s="40" t="s">
        <v>31</v>
      </c>
      <c r="K203" s="37">
        <v>5</v>
      </c>
      <c r="L203" s="17">
        <v>0.23</v>
      </c>
      <c r="M203" s="19">
        <v>4.29</v>
      </c>
      <c r="N203" s="22">
        <f>TREN01[[#This Row],[T]]-TREN01[[#This Row],[H]]</f>
        <v>4.0599999999999996</v>
      </c>
      <c r="O203" s="20" t="str">
        <f t="shared" si="100"/>
        <v>OK</v>
      </c>
    </row>
    <row r="204" spans="1:15" x14ac:dyDescent="0.25">
      <c r="A204" s="93" t="s">
        <v>16</v>
      </c>
      <c r="B204" s="32">
        <v>1</v>
      </c>
      <c r="C204" s="36">
        <v>1113983</v>
      </c>
      <c r="D204" s="52">
        <v>45831</v>
      </c>
      <c r="E204" s="32" t="s">
        <v>15</v>
      </c>
      <c r="F204" s="32" t="str">
        <f t="shared" si="99"/>
        <v>M20</v>
      </c>
      <c r="G204" s="62" t="str">
        <f t="shared" si="99"/>
        <v>001</v>
      </c>
      <c r="H204" s="63" t="str">
        <f t="shared" si="99"/>
        <v>C2</v>
      </c>
      <c r="I204" s="64">
        <f t="shared" si="99"/>
        <v>1</v>
      </c>
      <c r="J204" s="40" t="s">
        <v>32</v>
      </c>
      <c r="K204" s="37">
        <v>5</v>
      </c>
      <c r="L204" s="17">
        <v>0.14000000000000001</v>
      </c>
      <c r="M204" s="19">
        <v>4.9400000000000004</v>
      </c>
      <c r="N204" s="22">
        <f>TREN01[[#This Row],[T]]-TREN01[[#This Row],[H]]</f>
        <v>4.8000000000000007</v>
      </c>
      <c r="O204" s="20" t="str">
        <f t="shared" si="100"/>
        <v>OK</v>
      </c>
    </row>
    <row r="205" spans="1:15" x14ac:dyDescent="0.25">
      <c r="A205" s="93" t="s">
        <v>16</v>
      </c>
      <c r="B205" s="32">
        <v>1</v>
      </c>
      <c r="C205" s="36">
        <v>1113983</v>
      </c>
      <c r="D205" s="52">
        <v>45831</v>
      </c>
      <c r="E205" s="32" t="s">
        <v>15</v>
      </c>
      <c r="F205" s="32" t="str">
        <f t="shared" si="99"/>
        <v>M20</v>
      </c>
      <c r="G205" s="62" t="str">
        <f t="shared" si="99"/>
        <v>001</v>
      </c>
      <c r="H205" s="63" t="str">
        <f t="shared" si="99"/>
        <v>C2</v>
      </c>
      <c r="I205" s="64">
        <f t="shared" si="99"/>
        <v>1</v>
      </c>
      <c r="J205" s="40" t="s">
        <v>33</v>
      </c>
      <c r="K205" s="37">
        <v>6</v>
      </c>
      <c r="L205" s="17">
        <v>0.62</v>
      </c>
      <c r="M205" s="19">
        <v>3.76</v>
      </c>
      <c r="N205" s="22">
        <f>TREN01[[#This Row],[T]]-TREN01[[#This Row],[H]]</f>
        <v>3.1399999999999997</v>
      </c>
      <c r="O205" s="20" t="str">
        <f t="shared" si="100"/>
        <v>OK</v>
      </c>
    </row>
    <row r="206" spans="1:15" x14ac:dyDescent="0.25">
      <c r="A206" s="93" t="s">
        <v>16</v>
      </c>
      <c r="B206" s="32">
        <v>1</v>
      </c>
      <c r="C206" s="36">
        <v>1113983</v>
      </c>
      <c r="D206" s="52">
        <v>45831</v>
      </c>
      <c r="E206" s="32" t="s">
        <v>15</v>
      </c>
      <c r="F206" s="32" t="str">
        <f t="shared" si="99"/>
        <v>M20</v>
      </c>
      <c r="G206" s="62" t="str">
        <f t="shared" si="99"/>
        <v>001</v>
      </c>
      <c r="H206" s="63" t="str">
        <f t="shared" si="99"/>
        <v>C2</v>
      </c>
      <c r="I206" s="64">
        <f t="shared" si="99"/>
        <v>1</v>
      </c>
      <c r="J206" s="40" t="s">
        <v>34</v>
      </c>
      <c r="K206" s="37">
        <v>6</v>
      </c>
      <c r="L206" s="17">
        <v>0.44</v>
      </c>
      <c r="M206" s="19">
        <v>3.13</v>
      </c>
      <c r="N206" s="22">
        <f>TREN01[[#This Row],[T]]-TREN01[[#This Row],[H]]</f>
        <v>2.69</v>
      </c>
      <c r="O206" s="20" t="str">
        <f t="shared" si="100"/>
        <v>OK</v>
      </c>
    </row>
    <row r="207" spans="1:15" x14ac:dyDescent="0.25">
      <c r="A207" s="93" t="s">
        <v>16</v>
      </c>
      <c r="B207" s="32">
        <v>1</v>
      </c>
      <c r="C207" s="36">
        <v>1113983</v>
      </c>
      <c r="D207" s="52">
        <v>45831</v>
      </c>
      <c r="E207" s="32" t="s">
        <v>15</v>
      </c>
      <c r="F207" s="32" t="str">
        <f t="shared" si="99"/>
        <v>M20</v>
      </c>
      <c r="G207" s="62" t="str">
        <f t="shared" si="99"/>
        <v>001</v>
      </c>
      <c r="H207" s="63" t="str">
        <f t="shared" si="99"/>
        <v>C2</v>
      </c>
      <c r="I207" s="64">
        <v>2</v>
      </c>
      <c r="J207" s="40" t="s">
        <v>35</v>
      </c>
      <c r="K207" s="37">
        <v>7</v>
      </c>
      <c r="L207" s="17">
        <v>0.1</v>
      </c>
      <c r="M207" s="19">
        <v>4.91</v>
      </c>
      <c r="N207" s="22">
        <f>TREN01[[#This Row],[T]]-TREN01[[#This Row],[H]]</f>
        <v>4.8100000000000005</v>
      </c>
      <c r="O207" s="20" t="str">
        <f t="shared" si="100"/>
        <v>OK</v>
      </c>
    </row>
    <row r="208" spans="1:15" x14ac:dyDescent="0.25">
      <c r="A208" s="93" t="s">
        <v>16</v>
      </c>
      <c r="B208" s="32">
        <v>1</v>
      </c>
      <c r="C208" s="36">
        <v>1113983</v>
      </c>
      <c r="D208" s="52">
        <v>45831</v>
      </c>
      <c r="E208" s="32" t="s">
        <v>15</v>
      </c>
      <c r="F208" s="32" t="str">
        <f t="shared" si="99"/>
        <v>M20</v>
      </c>
      <c r="G208" s="62" t="str">
        <f t="shared" si="99"/>
        <v>001</v>
      </c>
      <c r="H208" s="63" t="str">
        <f t="shared" si="99"/>
        <v>C2</v>
      </c>
      <c r="I208" s="64">
        <f t="shared" si="99"/>
        <v>2</v>
      </c>
      <c r="J208" s="40" t="s">
        <v>36</v>
      </c>
      <c r="K208" s="37">
        <v>7</v>
      </c>
      <c r="L208" s="17">
        <v>0.12</v>
      </c>
      <c r="M208" s="19">
        <v>4.21</v>
      </c>
      <c r="N208" s="22">
        <f>TREN01[[#This Row],[T]]-TREN01[[#This Row],[H]]</f>
        <v>4.09</v>
      </c>
      <c r="O208" s="20" t="str">
        <f t="shared" si="100"/>
        <v>OK</v>
      </c>
    </row>
    <row r="209" spans="1:15" x14ac:dyDescent="0.25">
      <c r="A209" s="93" t="s">
        <v>16</v>
      </c>
      <c r="B209" s="32">
        <v>1</v>
      </c>
      <c r="C209" s="36">
        <v>1113983</v>
      </c>
      <c r="D209" s="52">
        <v>45831</v>
      </c>
      <c r="E209" s="32" t="s">
        <v>15</v>
      </c>
      <c r="F209" s="32" t="str">
        <f t="shared" si="99"/>
        <v>M20</v>
      </c>
      <c r="G209" s="62" t="str">
        <f t="shared" si="99"/>
        <v>001</v>
      </c>
      <c r="H209" s="63" t="str">
        <f t="shared" si="99"/>
        <v>C2</v>
      </c>
      <c r="I209" s="64">
        <f t="shared" si="99"/>
        <v>2</v>
      </c>
      <c r="J209" s="40" t="s">
        <v>37</v>
      </c>
      <c r="K209" s="37">
        <v>8</v>
      </c>
      <c r="L209" s="17">
        <v>0.37</v>
      </c>
      <c r="M209" s="19">
        <v>0.7</v>
      </c>
      <c r="N209" s="22">
        <f>TREN01[[#This Row],[T]]-TREN01[[#This Row],[H]]</f>
        <v>0.32999999999999996</v>
      </c>
      <c r="O209" s="20" t="str">
        <f t="shared" si="100"/>
        <v>Seguimiento</v>
      </c>
    </row>
    <row r="210" spans="1:15" x14ac:dyDescent="0.25">
      <c r="A210" s="93" t="s">
        <v>16</v>
      </c>
      <c r="B210" s="32">
        <v>1</v>
      </c>
      <c r="C210" s="36">
        <v>1113983</v>
      </c>
      <c r="D210" s="52">
        <v>45831</v>
      </c>
      <c r="E210" s="32" t="s">
        <v>15</v>
      </c>
      <c r="F210" s="32" t="str">
        <f t="shared" si="99"/>
        <v>M20</v>
      </c>
      <c r="G210" s="62" t="str">
        <f t="shared" si="99"/>
        <v>001</v>
      </c>
      <c r="H210" s="63" t="str">
        <f t="shared" si="99"/>
        <v>C2</v>
      </c>
      <c r="I210" s="64">
        <f t="shared" si="99"/>
        <v>2</v>
      </c>
      <c r="J210" s="40" t="s">
        <v>38</v>
      </c>
      <c r="K210" s="37">
        <v>8</v>
      </c>
      <c r="L210" s="17">
        <v>0.17</v>
      </c>
      <c r="M210" s="19">
        <v>1.68</v>
      </c>
      <c r="N210" s="22">
        <f>TREN01[[#This Row],[T]]-TREN01[[#This Row],[H]]</f>
        <v>1.51</v>
      </c>
      <c r="O210" s="20" t="str">
        <f t="shared" si="100"/>
        <v>OK</v>
      </c>
    </row>
    <row r="211" spans="1:15" x14ac:dyDescent="0.25">
      <c r="A211" s="93" t="s">
        <v>16</v>
      </c>
      <c r="B211" s="32">
        <v>1</v>
      </c>
      <c r="C211" s="36">
        <v>1113983</v>
      </c>
      <c r="D211" s="52">
        <v>45831</v>
      </c>
      <c r="E211" s="32" t="s">
        <v>15</v>
      </c>
      <c r="F211" s="32" t="s">
        <v>40</v>
      </c>
      <c r="G211" s="62" t="s">
        <v>41</v>
      </c>
      <c r="H211" s="63" t="s">
        <v>42</v>
      </c>
      <c r="I211" s="64">
        <v>1</v>
      </c>
      <c r="J211" s="40" t="s">
        <v>31</v>
      </c>
      <c r="K211" s="37">
        <v>9</v>
      </c>
      <c r="L211" s="17">
        <v>0.65</v>
      </c>
      <c r="M211" s="19">
        <v>4.3600000000000003</v>
      </c>
      <c r="N211" s="22">
        <f>TREN01[[#This Row],[T]]-TREN01[[#This Row],[H]]</f>
        <v>3.7100000000000004</v>
      </c>
      <c r="O211" s="20" t="str">
        <f t="shared" si="100"/>
        <v>OK</v>
      </c>
    </row>
    <row r="212" spans="1:15" x14ac:dyDescent="0.25">
      <c r="A212" s="93" t="s">
        <v>16</v>
      </c>
      <c r="B212" s="32">
        <v>1</v>
      </c>
      <c r="C212" s="36">
        <v>1113983</v>
      </c>
      <c r="D212" s="52">
        <v>45831</v>
      </c>
      <c r="E212" s="32" t="s">
        <v>15</v>
      </c>
      <c r="F212" s="32" t="str">
        <f t="shared" ref="F212:I226" si="101">F211</f>
        <v>M21</v>
      </c>
      <c r="G212" s="62" t="str">
        <f t="shared" si="101"/>
        <v>002</v>
      </c>
      <c r="H212" s="63" t="str">
        <f t="shared" si="101"/>
        <v>C3</v>
      </c>
      <c r="I212" s="64">
        <f t="shared" si="101"/>
        <v>1</v>
      </c>
      <c r="J212" s="40" t="s">
        <v>32</v>
      </c>
      <c r="K212" s="37">
        <v>9</v>
      </c>
      <c r="L212" s="17">
        <v>0.42</v>
      </c>
      <c r="M212" s="19">
        <v>3.01</v>
      </c>
      <c r="N212" s="22">
        <f>TREN01[[#This Row],[T]]-TREN01[[#This Row],[H]]</f>
        <v>2.59</v>
      </c>
      <c r="O212" s="20" t="str">
        <f t="shared" si="100"/>
        <v>OK</v>
      </c>
    </row>
    <row r="213" spans="1:15" x14ac:dyDescent="0.25">
      <c r="A213" s="93" t="s">
        <v>16</v>
      </c>
      <c r="B213" s="32">
        <v>1</v>
      </c>
      <c r="C213" s="36">
        <v>1113983</v>
      </c>
      <c r="D213" s="52">
        <v>45831</v>
      </c>
      <c r="E213" s="32" t="s">
        <v>15</v>
      </c>
      <c r="F213" s="32" t="str">
        <f t="shared" si="101"/>
        <v>M21</v>
      </c>
      <c r="G213" s="62" t="str">
        <f t="shared" si="101"/>
        <v>002</v>
      </c>
      <c r="H213" s="63" t="str">
        <f t="shared" si="101"/>
        <v>C3</v>
      </c>
      <c r="I213" s="64">
        <f t="shared" si="101"/>
        <v>1</v>
      </c>
      <c r="J213" s="40" t="s">
        <v>33</v>
      </c>
      <c r="K213" s="37">
        <v>10</v>
      </c>
      <c r="L213" s="17">
        <v>1.02</v>
      </c>
      <c r="M213" s="19">
        <v>4.74</v>
      </c>
      <c r="N213" s="22">
        <f>TREN01[[#This Row],[T]]-TREN01[[#This Row],[H]]</f>
        <v>3.72</v>
      </c>
      <c r="O213" s="20" t="str">
        <f t="shared" si="100"/>
        <v>OK</v>
      </c>
    </row>
    <row r="214" spans="1:15" x14ac:dyDescent="0.25">
      <c r="A214" s="93" t="s">
        <v>16</v>
      </c>
      <c r="B214" s="32">
        <v>1</v>
      </c>
      <c r="C214" s="36">
        <v>1113983</v>
      </c>
      <c r="D214" s="52">
        <v>45831</v>
      </c>
      <c r="E214" s="32" t="s">
        <v>15</v>
      </c>
      <c r="F214" s="32" t="str">
        <f t="shared" si="101"/>
        <v>M21</v>
      </c>
      <c r="G214" s="62" t="str">
        <f t="shared" si="101"/>
        <v>002</v>
      </c>
      <c r="H214" s="63" t="str">
        <f t="shared" si="101"/>
        <v>C3</v>
      </c>
      <c r="I214" s="64">
        <f t="shared" si="101"/>
        <v>1</v>
      </c>
      <c r="J214" s="40" t="s">
        <v>34</v>
      </c>
      <c r="K214" s="37">
        <v>10</v>
      </c>
      <c r="L214" s="17">
        <v>0.64</v>
      </c>
      <c r="M214" s="19">
        <v>3.14</v>
      </c>
      <c r="N214" s="22">
        <f>TREN01[[#This Row],[T]]-TREN01[[#This Row],[H]]</f>
        <v>2.5</v>
      </c>
      <c r="O214" s="20" t="str">
        <f t="shared" si="100"/>
        <v>OK</v>
      </c>
    </row>
    <row r="215" spans="1:15" x14ac:dyDescent="0.25">
      <c r="A215" s="93" t="s">
        <v>16</v>
      </c>
      <c r="B215" s="32">
        <v>1</v>
      </c>
      <c r="C215" s="36">
        <v>1113983</v>
      </c>
      <c r="D215" s="52">
        <v>45831</v>
      </c>
      <c r="E215" s="32" t="s">
        <v>15</v>
      </c>
      <c r="F215" s="32" t="str">
        <f t="shared" si="101"/>
        <v>M21</v>
      </c>
      <c r="G215" s="62" t="str">
        <f t="shared" si="101"/>
        <v>002</v>
      </c>
      <c r="H215" s="63" t="str">
        <f t="shared" si="101"/>
        <v>C3</v>
      </c>
      <c r="I215" s="64">
        <v>2</v>
      </c>
      <c r="J215" s="40" t="s">
        <v>35</v>
      </c>
      <c r="K215" s="37">
        <v>11</v>
      </c>
      <c r="L215" s="17">
        <v>0.13</v>
      </c>
      <c r="M215" s="19">
        <v>1.21</v>
      </c>
      <c r="N215" s="22">
        <f>TREN01[[#This Row],[T]]-TREN01[[#This Row],[H]]</f>
        <v>1.08</v>
      </c>
      <c r="O215" s="20" t="str">
        <f t="shared" si="100"/>
        <v>OK</v>
      </c>
    </row>
    <row r="216" spans="1:15" x14ac:dyDescent="0.25">
      <c r="A216" s="93" t="s">
        <v>16</v>
      </c>
      <c r="B216" s="32">
        <v>1</v>
      </c>
      <c r="C216" s="36">
        <v>1113983</v>
      </c>
      <c r="D216" s="52">
        <v>45831</v>
      </c>
      <c r="E216" s="32" t="s">
        <v>15</v>
      </c>
      <c r="F216" s="32" t="str">
        <f t="shared" si="101"/>
        <v>M21</v>
      </c>
      <c r="G216" s="62" t="str">
        <f t="shared" si="101"/>
        <v>002</v>
      </c>
      <c r="H216" s="63" t="str">
        <f t="shared" si="101"/>
        <v>C3</v>
      </c>
      <c r="I216" s="64">
        <f t="shared" si="101"/>
        <v>2</v>
      </c>
      <c r="J216" s="40" t="s">
        <v>36</v>
      </c>
      <c r="K216" s="37">
        <v>11</v>
      </c>
      <c r="L216" s="17">
        <v>0.16</v>
      </c>
      <c r="M216" s="19">
        <v>1.33</v>
      </c>
      <c r="N216" s="22">
        <f>TREN01[[#This Row],[T]]-TREN01[[#This Row],[H]]</f>
        <v>1.1700000000000002</v>
      </c>
      <c r="O216" s="20" t="str">
        <f t="shared" si="100"/>
        <v>OK</v>
      </c>
    </row>
    <row r="217" spans="1:15" x14ac:dyDescent="0.25">
      <c r="A217" s="93" t="s">
        <v>16</v>
      </c>
      <c r="B217" s="32">
        <v>1</v>
      </c>
      <c r="C217" s="36">
        <v>1113983</v>
      </c>
      <c r="D217" s="52">
        <v>45831</v>
      </c>
      <c r="E217" s="32" t="s">
        <v>15</v>
      </c>
      <c r="F217" s="32" t="str">
        <f t="shared" si="101"/>
        <v>M21</v>
      </c>
      <c r="G217" s="62" t="str">
        <f t="shared" si="101"/>
        <v>002</v>
      </c>
      <c r="H217" s="63" t="str">
        <f t="shared" si="101"/>
        <v>C3</v>
      </c>
      <c r="I217" s="64">
        <f t="shared" si="101"/>
        <v>2</v>
      </c>
      <c r="J217" s="40" t="s">
        <v>37</v>
      </c>
      <c r="K217" s="37">
        <v>12</v>
      </c>
      <c r="L217" s="17">
        <v>0.2</v>
      </c>
      <c r="M217" s="19">
        <v>1.99</v>
      </c>
      <c r="N217" s="22">
        <f>TREN01[[#This Row],[T]]-TREN01[[#This Row],[H]]</f>
        <v>1.79</v>
      </c>
      <c r="O217" s="20" t="str">
        <f t="shared" si="100"/>
        <v>OK</v>
      </c>
    </row>
    <row r="218" spans="1:15" x14ac:dyDescent="0.25">
      <c r="A218" s="93" t="s">
        <v>16</v>
      </c>
      <c r="B218" s="32">
        <v>1</v>
      </c>
      <c r="C218" s="36">
        <v>1113983</v>
      </c>
      <c r="D218" s="52">
        <v>45831</v>
      </c>
      <c r="E218" s="32" t="s">
        <v>15</v>
      </c>
      <c r="F218" s="32" t="str">
        <f t="shared" si="101"/>
        <v>M21</v>
      </c>
      <c r="G218" s="62" t="str">
        <f t="shared" si="101"/>
        <v>002</v>
      </c>
      <c r="H218" s="63" t="str">
        <f t="shared" si="101"/>
        <v>C3</v>
      </c>
      <c r="I218" s="64">
        <f t="shared" si="101"/>
        <v>2</v>
      </c>
      <c r="J218" s="40" t="s">
        <v>38</v>
      </c>
      <c r="K218" s="37">
        <v>12</v>
      </c>
      <c r="L218" s="17">
        <v>1.06</v>
      </c>
      <c r="M218" s="19">
        <v>4.13</v>
      </c>
      <c r="N218" s="22">
        <f>TREN01[[#This Row],[T]]-TREN01[[#This Row],[H]]</f>
        <v>3.07</v>
      </c>
      <c r="O218" s="20" t="str">
        <f t="shared" si="100"/>
        <v>OK</v>
      </c>
    </row>
    <row r="219" spans="1:15" x14ac:dyDescent="0.25">
      <c r="A219" s="93" t="s">
        <v>16</v>
      </c>
      <c r="B219" s="32">
        <v>1</v>
      </c>
      <c r="C219" s="36">
        <v>1113983</v>
      </c>
      <c r="D219" s="52">
        <v>45831</v>
      </c>
      <c r="E219" s="32" t="s">
        <v>15</v>
      </c>
      <c r="F219" s="32" t="str">
        <f t="shared" si="101"/>
        <v>M21</v>
      </c>
      <c r="G219" s="62" t="str">
        <f t="shared" si="101"/>
        <v>002</v>
      </c>
      <c r="H219" s="63" t="s">
        <v>43</v>
      </c>
      <c r="I219" s="64">
        <v>1</v>
      </c>
      <c r="J219" s="40" t="s">
        <v>31</v>
      </c>
      <c r="K219" s="37">
        <v>13</v>
      </c>
      <c r="L219" s="17">
        <v>7.0000000000000007E-2</v>
      </c>
      <c r="M219" s="19">
        <v>4.79</v>
      </c>
      <c r="N219" s="22">
        <f>TREN01[[#This Row],[T]]-TREN01[[#This Row],[H]]</f>
        <v>4.72</v>
      </c>
      <c r="O219" s="20" t="str">
        <f t="shared" si="100"/>
        <v>OK</v>
      </c>
    </row>
    <row r="220" spans="1:15" x14ac:dyDescent="0.25">
      <c r="A220" s="93" t="s">
        <v>16</v>
      </c>
      <c r="B220" s="32">
        <v>1</v>
      </c>
      <c r="C220" s="36">
        <v>1113983</v>
      </c>
      <c r="D220" s="52">
        <v>45831</v>
      </c>
      <c r="E220" s="32" t="s">
        <v>15</v>
      </c>
      <c r="F220" s="32" t="str">
        <f t="shared" si="101"/>
        <v>M21</v>
      </c>
      <c r="G220" s="62" t="str">
        <f t="shared" si="101"/>
        <v>002</v>
      </c>
      <c r="H220" s="63" t="str">
        <f t="shared" si="101"/>
        <v>C4</v>
      </c>
      <c r="I220" s="64">
        <f t="shared" si="101"/>
        <v>1</v>
      </c>
      <c r="J220" s="40" t="s">
        <v>32</v>
      </c>
      <c r="K220" s="37">
        <v>13</v>
      </c>
      <c r="L220" s="17">
        <v>7.0000000000000007E-2</v>
      </c>
      <c r="M220" s="19">
        <v>4.8499999999999996</v>
      </c>
      <c r="N220" s="22">
        <f>TREN01[[#This Row],[T]]-TREN01[[#This Row],[H]]</f>
        <v>4.7799999999999994</v>
      </c>
      <c r="O220" s="20" t="str">
        <f t="shared" si="100"/>
        <v>OK</v>
      </c>
    </row>
    <row r="221" spans="1:15" x14ac:dyDescent="0.25">
      <c r="A221" s="93" t="s">
        <v>16</v>
      </c>
      <c r="B221" s="32">
        <v>1</v>
      </c>
      <c r="C221" s="36">
        <v>1113983</v>
      </c>
      <c r="D221" s="52">
        <v>45831</v>
      </c>
      <c r="E221" s="32" t="s">
        <v>15</v>
      </c>
      <c r="F221" s="32" t="str">
        <f t="shared" si="101"/>
        <v>M21</v>
      </c>
      <c r="G221" s="62" t="str">
        <f t="shared" si="101"/>
        <v>002</v>
      </c>
      <c r="H221" s="63" t="str">
        <f t="shared" si="101"/>
        <v>C4</v>
      </c>
      <c r="I221" s="64">
        <f t="shared" si="101"/>
        <v>1</v>
      </c>
      <c r="J221" s="40" t="s">
        <v>33</v>
      </c>
      <c r="K221" s="37">
        <v>14</v>
      </c>
      <c r="L221" s="17">
        <v>0.06</v>
      </c>
      <c r="M221" s="19">
        <v>5.01</v>
      </c>
      <c r="N221" s="22">
        <f>TREN01[[#This Row],[T]]-TREN01[[#This Row],[H]]</f>
        <v>4.95</v>
      </c>
      <c r="O221" s="20" t="str">
        <f t="shared" si="100"/>
        <v>OK</v>
      </c>
    </row>
    <row r="222" spans="1:15" x14ac:dyDescent="0.25">
      <c r="A222" s="93" t="s">
        <v>16</v>
      </c>
      <c r="B222" s="32">
        <v>1</v>
      </c>
      <c r="C222" s="36">
        <v>1113983</v>
      </c>
      <c r="D222" s="52">
        <v>45831</v>
      </c>
      <c r="E222" s="32" t="s">
        <v>15</v>
      </c>
      <c r="F222" s="32" t="str">
        <f t="shared" si="101"/>
        <v>M21</v>
      </c>
      <c r="G222" s="62" t="str">
        <f t="shared" si="101"/>
        <v>002</v>
      </c>
      <c r="H222" s="63" t="str">
        <f t="shared" si="101"/>
        <v>C4</v>
      </c>
      <c r="I222" s="64">
        <f t="shared" si="101"/>
        <v>1</v>
      </c>
      <c r="J222" s="40" t="s">
        <v>34</v>
      </c>
      <c r="K222" s="37">
        <v>14</v>
      </c>
      <c r="L222" s="17">
        <v>0.67</v>
      </c>
      <c r="M222" s="19">
        <v>2.76</v>
      </c>
      <c r="N222" s="22">
        <f>TREN01[[#This Row],[T]]-TREN01[[#This Row],[H]]</f>
        <v>2.09</v>
      </c>
      <c r="O222" s="20" t="str">
        <f t="shared" si="100"/>
        <v>OK</v>
      </c>
    </row>
    <row r="223" spans="1:15" x14ac:dyDescent="0.25">
      <c r="A223" s="93" t="s">
        <v>16</v>
      </c>
      <c r="B223" s="32">
        <v>1</v>
      </c>
      <c r="C223" s="36">
        <v>1113983</v>
      </c>
      <c r="D223" s="52">
        <v>45831</v>
      </c>
      <c r="E223" s="32" t="s">
        <v>15</v>
      </c>
      <c r="F223" s="32" t="str">
        <f t="shared" si="101"/>
        <v>M21</v>
      </c>
      <c r="G223" s="62" t="str">
        <f t="shared" si="101"/>
        <v>002</v>
      </c>
      <c r="H223" s="63" t="str">
        <f t="shared" si="101"/>
        <v>C4</v>
      </c>
      <c r="I223" s="64">
        <v>2</v>
      </c>
      <c r="J223" s="40" t="s">
        <v>35</v>
      </c>
      <c r="K223" s="37">
        <v>15</v>
      </c>
      <c r="L223" s="17">
        <v>0.21</v>
      </c>
      <c r="M223" s="19">
        <v>1.66</v>
      </c>
      <c r="N223" s="22">
        <f>TREN01[[#This Row],[T]]-TREN01[[#This Row],[H]]</f>
        <v>1.45</v>
      </c>
      <c r="O223" s="20" t="str">
        <f t="shared" si="100"/>
        <v>OK</v>
      </c>
    </row>
    <row r="224" spans="1:15" x14ac:dyDescent="0.25">
      <c r="A224" s="93" t="s">
        <v>16</v>
      </c>
      <c r="B224" s="32">
        <v>1</v>
      </c>
      <c r="C224" s="36">
        <v>1113983</v>
      </c>
      <c r="D224" s="52">
        <v>45831</v>
      </c>
      <c r="E224" s="32" t="s">
        <v>15</v>
      </c>
      <c r="F224" s="32" t="str">
        <f t="shared" si="101"/>
        <v>M21</v>
      </c>
      <c r="G224" s="62" t="str">
        <f t="shared" si="101"/>
        <v>002</v>
      </c>
      <c r="H224" s="63" t="str">
        <f t="shared" si="101"/>
        <v>C4</v>
      </c>
      <c r="I224" s="64">
        <f t="shared" si="101"/>
        <v>2</v>
      </c>
      <c r="J224" s="40" t="s">
        <v>36</v>
      </c>
      <c r="K224" s="37">
        <v>15</v>
      </c>
      <c r="L224" s="17">
        <v>1.1200000000000001</v>
      </c>
      <c r="M224" s="19">
        <v>4.2699999999999996</v>
      </c>
      <c r="N224" s="22">
        <f>TREN01[[#This Row],[T]]-TREN01[[#This Row],[H]]</f>
        <v>3.1499999999999995</v>
      </c>
      <c r="O224" s="20" t="str">
        <f t="shared" si="100"/>
        <v>OK</v>
      </c>
    </row>
    <row r="225" spans="1:15" x14ac:dyDescent="0.25">
      <c r="A225" s="93" t="s">
        <v>16</v>
      </c>
      <c r="B225" s="32">
        <v>1</v>
      </c>
      <c r="C225" s="36">
        <v>1113983</v>
      </c>
      <c r="D225" s="52">
        <v>45831</v>
      </c>
      <c r="E225" s="32" t="s">
        <v>15</v>
      </c>
      <c r="F225" s="32" t="str">
        <f t="shared" si="101"/>
        <v>M21</v>
      </c>
      <c r="G225" s="62" t="str">
        <f t="shared" si="101"/>
        <v>002</v>
      </c>
      <c r="H225" s="63" t="str">
        <f t="shared" si="101"/>
        <v>C4</v>
      </c>
      <c r="I225" s="64">
        <f t="shared" si="101"/>
        <v>2</v>
      </c>
      <c r="J225" s="40" t="s">
        <v>37</v>
      </c>
      <c r="K225" s="37">
        <v>16</v>
      </c>
      <c r="L225" s="17">
        <v>1.24</v>
      </c>
      <c r="M225" s="19">
        <v>3.42</v>
      </c>
      <c r="N225" s="22">
        <f>TREN01[[#This Row],[T]]-TREN01[[#This Row],[H]]</f>
        <v>2.1799999999999997</v>
      </c>
      <c r="O225" s="20" t="str">
        <f t="shared" si="100"/>
        <v>OK</v>
      </c>
    </row>
    <row r="226" spans="1:15" x14ac:dyDescent="0.25">
      <c r="A226" s="93" t="s">
        <v>16</v>
      </c>
      <c r="B226" s="32">
        <v>1</v>
      </c>
      <c r="C226" s="36">
        <v>1113983</v>
      </c>
      <c r="D226" s="52">
        <v>45831</v>
      </c>
      <c r="E226" s="32" t="s">
        <v>15</v>
      </c>
      <c r="F226" s="32" t="str">
        <f t="shared" si="101"/>
        <v>M21</v>
      </c>
      <c r="G226" s="62" t="str">
        <f t="shared" si="101"/>
        <v>002</v>
      </c>
      <c r="H226" s="63" t="str">
        <f t="shared" si="101"/>
        <v>C4</v>
      </c>
      <c r="I226" s="64">
        <f t="shared" si="101"/>
        <v>2</v>
      </c>
      <c r="J226" s="40" t="s">
        <v>38</v>
      </c>
      <c r="K226" s="37">
        <v>16</v>
      </c>
      <c r="L226" s="17">
        <v>0.65</v>
      </c>
      <c r="M226" s="19">
        <v>2.0499999999999998</v>
      </c>
      <c r="N226" s="22">
        <f>TREN01[[#This Row],[T]]-TREN01[[#This Row],[H]]</f>
        <v>1.4</v>
      </c>
      <c r="O226" s="20" t="str">
        <f t="shared" si="100"/>
        <v>OK</v>
      </c>
    </row>
    <row r="227" spans="1:15" x14ac:dyDescent="0.25">
      <c r="A227" s="93" t="s">
        <v>16</v>
      </c>
      <c r="B227" s="32">
        <v>1</v>
      </c>
      <c r="C227" s="36">
        <v>1113983</v>
      </c>
      <c r="D227" s="52">
        <v>45831</v>
      </c>
      <c r="E227" s="32" t="s">
        <v>15</v>
      </c>
      <c r="F227" s="32" t="s">
        <v>44</v>
      </c>
      <c r="G227" s="62" t="s">
        <v>45</v>
      </c>
      <c r="H227" s="63" t="s">
        <v>46</v>
      </c>
      <c r="I227" s="64">
        <v>1</v>
      </c>
      <c r="J227" s="40" t="s">
        <v>31</v>
      </c>
      <c r="K227" s="37">
        <v>17</v>
      </c>
      <c r="L227" s="17">
        <v>0.38</v>
      </c>
      <c r="M227" s="19">
        <v>1.91</v>
      </c>
      <c r="N227" s="22">
        <f>TREN01[[#This Row],[T]]-TREN01[[#This Row],[H]]</f>
        <v>1.5299999999999998</v>
      </c>
      <c r="O227" s="20" t="str">
        <f t="shared" si="100"/>
        <v>OK</v>
      </c>
    </row>
    <row r="228" spans="1:15" x14ac:dyDescent="0.25">
      <c r="A228" s="93" t="s">
        <v>16</v>
      </c>
      <c r="B228" s="32">
        <v>1</v>
      </c>
      <c r="C228" s="36">
        <v>1113983</v>
      </c>
      <c r="D228" s="52">
        <v>45831</v>
      </c>
      <c r="E228" s="32" t="s">
        <v>15</v>
      </c>
      <c r="F228" s="32" t="str">
        <f t="shared" ref="F228:I242" si="102">F227</f>
        <v>M22</v>
      </c>
      <c r="G228" s="62" t="str">
        <f t="shared" si="102"/>
        <v>302</v>
      </c>
      <c r="H228" s="63" t="str">
        <f t="shared" si="102"/>
        <v>C5</v>
      </c>
      <c r="I228" s="64">
        <f t="shared" si="102"/>
        <v>1</v>
      </c>
      <c r="J228" s="40" t="s">
        <v>32</v>
      </c>
      <c r="K228" s="37">
        <v>17</v>
      </c>
      <c r="L228" s="17">
        <v>1.06</v>
      </c>
      <c r="M228" s="19">
        <v>4.03</v>
      </c>
      <c r="N228" s="22">
        <f>TREN01[[#This Row],[T]]-TREN01[[#This Row],[H]]</f>
        <v>2.97</v>
      </c>
      <c r="O228" s="20" t="str">
        <f t="shared" si="100"/>
        <v>OK</v>
      </c>
    </row>
    <row r="229" spans="1:15" x14ac:dyDescent="0.25">
      <c r="A229" s="93" t="s">
        <v>16</v>
      </c>
      <c r="B229" s="32">
        <v>1</v>
      </c>
      <c r="C229" s="36">
        <v>1113983</v>
      </c>
      <c r="D229" s="52">
        <v>45831</v>
      </c>
      <c r="E229" s="32" t="s">
        <v>15</v>
      </c>
      <c r="F229" s="32" t="str">
        <f t="shared" si="102"/>
        <v>M22</v>
      </c>
      <c r="G229" s="62" t="str">
        <f t="shared" si="102"/>
        <v>302</v>
      </c>
      <c r="H229" s="63" t="str">
        <f t="shared" si="102"/>
        <v>C5</v>
      </c>
      <c r="I229" s="64">
        <f t="shared" si="102"/>
        <v>1</v>
      </c>
      <c r="J229" s="40" t="s">
        <v>33</v>
      </c>
      <c r="K229" s="37">
        <v>18</v>
      </c>
      <c r="L229" s="17">
        <v>0.56999999999999995</v>
      </c>
      <c r="M229" s="19">
        <v>4.2699999999999996</v>
      </c>
      <c r="N229" s="22">
        <f>TREN01[[#This Row],[T]]-TREN01[[#This Row],[H]]</f>
        <v>3.6999999999999997</v>
      </c>
      <c r="O229" s="20" t="str">
        <f t="shared" si="100"/>
        <v>OK</v>
      </c>
    </row>
    <row r="230" spans="1:15" x14ac:dyDescent="0.25">
      <c r="A230" s="93" t="s">
        <v>16</v>
      </c>
      <c r="B230" s="32">
        <v>1</v>
      </c>
      <c r="C230" s="36">
        <v>1113983</v>
      </c>
      <c r="D230" s="52">
        <v>45831</v>
      </c>
      <c r="E230" s="32" t="s">
        <v>15</v>
      </c>
      <c r="F230" s="32" t="str">
        <f t="shared" si="102"/>
        <v>M22</v>
      </c>
      <c r="G230" s="62" t="str">
        <f t="shared" si="102"/>
        <v>302</v>
      </c>
      <c r="H230" s="63" t="str">
        <f t="shared" si="102"/>
        <v>C5</v>
      </c>
      <c r="I230" s="64">
        <f t="shared" si="102"/>
        <v>1</v>
      </c>
      <c r="J230" s="40" t="s">
        <v>34</v>
      </c>
      <c r="K230" s="37">
        <v>18</v>
      </c>
      <c r="L230" s="17">
        <v>0.62</v>
      </c>
      <c r="M230" s="19">
        <v>1.33</v>
      </c>
      <c r="N230" s="22">
        <f>TREN01[[#This Row],[T]]-TREN01[[#This Row],[H]]</f>
        <v>0.71000000000000008</v>
      </c>
      <c r="O230" s="20" t="str">
        <f t="shared" si="100"/>
        <v>Seguimiento</v>
      </c>
    </row>
    <row r="231" spans="1:15" x14ac:dyDescent="0.25">
      <c r="A231" s="93" t="s">
        <v>16</v>
      </c>
      <c r="B231" s="32">
        <v>1</v>
      </c>
      <c r="C231" s="36">
        <v>1113983</v>
      </c>
      <c r="D231" s="52">
        <v>45831</v>
      </c>
      <c r="E231" s="32" t="s">
        <v>15</v>
      </c>
      <c r="F231" s="32" t="str">
        <f t="shared" si="102"/>
        <v>M22</v>
      </c>
      <c r="G231" s="62" t="str">
        <f t="shared" si="102"/>
        <v>302</v>
      </c>
      <c r="H231" s="63" t="str">
        <f t="shared" si="102"/>
        <v>C5</v>
      </c>
      <c r="I231" s="64">
        <v>2</v>
      </c>
      <c r="J231" s="40" t="s">
        <v>35</v>
      </c>
      <c r="K231" s="37">
        <v>19</v>
      </c>
      <c r="L231" s="17">
        <v>0.65</v>
      </c>
      <c r="M231" s="19">
        <v>5.0999999999999996</v>
      </c>
      <c r="N231" s="22">
        <f>TREN01[[#This Row],[T]]-TREN01[[#This Row],[H]]</f>
        <v>4.4499999999999993</v>
      </c>
      <c r="O231" s="20" t="str">
        <f t="shared" si="100"/>
        <v>OK</v>
      </c>
    </row>
    <row r="232" spans="1:15" x14ac:dyDescent="0.25">
      <c r="A232" s="93" t="s">
        <v>16</v>
      </c>
      <c r="B232" s="32">
        <v>1</v>
      </c>
      <c r="C232" s="36">
        <v>1113983</v>
      </c>
      <c r="D232" s="52">
        <v>45831</v>
      </c>
      <c r="E232" s="32" t="s">
        <v>15</v>
      </c>
      <c r="F232" s="32" t="str">
        <f t="shared" si="102"/>
        <v>M22</v>
      </c>
      <c r="G232" s="62" t="str">
        <f t="shared" si="102"/>
        <v>302</v>
      </c>
      <c r="H232" s="63" t="str">
        <f t="shared" si="102"/>
        <v>C5</v>
      </c>
      <c r="I232" s="64">
        <f t="shared" si="102"/>
        <v>2</v>
      </c>
      <c r="J232" s="40" t="s">
        <v>36</v>
      </c>
      <c r="K232" s="37">
        <v>19</v>
      </c>
      <c r="L232" s="17">
        <v>1.28</v>
      </c>
      <c r="M232" s="19">
        <v>4.7</v>
      </c>
      <c r="N232" s="22">
        <f>TREN01[[#This Row],[T]]-TREN01[[#This Row],[H]]</f>
        <v>3.42</v>
      </c>
      <c r="O232" s="20" t="str">
        <f t="shared" si="100"/>
        <v>OK</v>
      </c>
    </row>
    <row r="233" spans="1:15" x14ac:dyDescent="0.25">
      <c r="A233" s="93" t="s">
        <v>16</v>
      </c>
      <c r="B233" s="32">
        <v>1</v>
      </c>
      <c r="C233" s="36">
        <v>1113983</v>
      </c>
      <c r="D233" s="52">
        <v>45831</v>
      </c>
      <c r="E233" s="32" t="s">
        <v>15</v>
      </c>
      <c r="F233" s="32" t="str">
        <f t="shared" si="102"/>
        <v>M22</v>
      </c>
      <c r="G233" s="62" t="str">
        <f t="shared" si="102"/>
        <v>302</v>
      </c>
      <c r="H233" s="63" t="str">
        <f t="shared" si="102"/>
        <v>C5</v>
      </c>
      <c r="I233" s="64">
        <f t="shared" si="102"/>
        <v>2</v>
      </c>
      <c r="J233" s="40" t="s">
        <v>37</v>
      </c>
      <c r="K233" s="37">
        <v>20</v>
      </c>
      <c r="L233" s="17">
        <v>0.25</v>
      </c>
      <c r="M233" s="19">
        <v>2</v>
      </c>
      <c r="N233" s="22">
        <f>TREN01[[#This Row],[T]]-TREN01[[#This Row],[H]]</f>
        <v>1.75</v>
      </c>
      <c r="O233" s="20" t="str">
        <f t="shared" si="100"/>
        <v>OK</v>
      </c>
    </row>
    <row r="234" spans="1:15" x14ac:dyDescent="0.25">
      <c r="A234" s="93" t="s">
        <v>16</v>
      </c>
      <c r="B234" s="32">
        <v>1</v>
      </c>
      <c r="C234" s="36">
        <v>1113983</v>
      </c>
      <c r="D234" s="52">
        <v>45831</v>
      </c>
      <c r="E234" s="32" t="s">
        <v>15</v>
      </c>
      <c r="F234" s="32" t="str">
        <f t="shared" si="102"/>
        <v>M22</v>
      </c>
      <c r="G234" s="62" t="str">
        <f t="shared" si="102"/>
        <v>302</v>
      </c>
      <c r="H234" s="63" t="str">
        <f t="shared" si="102"/>
        <v>C5</v>
      </c>
      <c r="I234" s="64">
        <f t="shared" si="102"/>
        <v>2</v>
      </c>
      <c r="J234" s="40" t="s">
        <v>38</v>
      </c>
      <c r="K234" s="37">
        <v>20</v>
      </c>
      <c r="L234" s="17">
        <v>0.42</v>
      </c>
      <c r="M234" s="19">
        <v>4.6500000000000004</v>
      </c>
      <c r="N234" s="22">
        <f>TREN01[[#This Row],[T]]-TREN01[[#This Row],[H]]</f>
        <v>4.2300000000000004</v>
      </c>
      <c r="O234" s="20" t="str">
        <f t="shared" si="100"/>
        <v>OK</v>
      </c>
    </row>
    <row r="235" spans="1:15" x14ac:dyDescent="0.25">
      <c r="A235" s="93" t="s">
        <v>16</v>
      </c>
      <c r="B235" s="32">
        <v>1</v>
      </c>
      <c r="C235" s="36">
        <v>1113983</v>
      </c>
      <c r="D235" s="52">
        <v>45831</v>
      </c>
      <c r="E235" s="32" t="s">
        <v>15</v>
      </c>
      <c r="F235" s="32" t="str">
        <f t="shared" si="102"/>
        <v>M22</v>
      </c>
      <c r="G235" s="62" t="str">
        <f t="shared" si="102"/>
        <v>302</v>
      </c>
      <c r="H235" s="63" t="s">
        <v>47</v>
      </c>
      <c r="I235" s="64">
        <v>1</v>
      </c>
      <c r="J235" s="40" t="s">
        <v>31</v>
      </c>
      <c r="K235" s="37">
        <v>21</v>
      </c>
      <c r="L235" s="17">
        <v>0.74</v>
      </c>
      <c r="M235" s="19">
        <v>0.87</v>
      </c>
      <c r="N235" s="22">
        <f>TREN01[[#This Row],[T]]-TREN01[[#This Row],[H]]</f>
        <v>0.13</v>
      </c>
      <c r="O235" s="20" t="str">
        <f t="shared" si="100"/>
        <v>Cambio</v>
      </c>
    </row>
    <row r="236" spans="1:15" x14ac:dyDescent="0.25">
      <c r="A236" s="93" t="s">
        <v>16</v>
      </c>
      <c r="B236" s="32">
        <v>1</v>
      </c>
      <c r="C236" s="36">
        <v>1113983</v>
      </c>
      <c r="D236" s="52">
        <v>45831</v>
      </c>
      <c r="E236" s="32" t="s">
        <v>15</v>
      </c>
      <c r="F236" s="32" t="str">
        <f t="shared" si="102"/>
        <v>M22</v>
      </c>
      <c r="G236" s="62" t="str">
        <f t="shared" si="102"/>
        <v>302</v>
      </c>
      <c r="H236" s="63" t="str">
        <f t="shared" si="102"/>
        <v>C6</v>
      </c>
      <c r="I236" s="64">
        <f t="shared" si="102"/>
        <v>1</v>
      </c>
      <c r="J236" s="40" t="s">
        <v>32</v>
      </c>
      <c r="K236" s="37">
        <v>21</v>
      </c>
      <c r="L236" s="17">
        <v>0.6</v>
      </c>
      <c r="M236" s="19">
        <v>4.78</v>
      </c>
      <c r="N236" s="22">
        <f>TREN01[[#This Row],[T]]-TREN01[[#This Row],[H]]</f>
        <v>4.1800000000000006</v>
      </c>
      <c r="O236" s="20" t="str">
        <f t="shared" si="100"/>
        <v>OK</v>
      </c>
    </row>
    <row r="237" spans="1:15" x14ac:dyDescent="0.25">
      <c r="A237" s="93" t="s">
        <v>16</v>
      </c>
      <c r="B237" s="32">
        <v>1</v>
      </c>
      <c r="C237" s="36">
        <v>1113983</v>
      </c>
      <c r="D237" s="52">
        <v>45831</v>
      </c>
      <c r="E237" s="32" t="s">
        <v>15</v>
      </c>
      <c r="F237" s="32" t="str">
        <f t="shared" si="102"/>
        <v>M22</v>
      </c>
      <c r="G237" s="62" t="str">
        <f t="shared" si="102"/>
        <v>302</v>
      </c>
      <c r="H237" s="63" t="str">
        <f t="shared" si="102"/>
        <v>C6</v>
      </c>
      <c r="I237" s="64">
        <f t="shared" si="102"/>
        <v>1</v>
      </c>
      <c r="J237" s="40" t="s">
        <v>33</v>
      </c>
      <c r="K237" s="37">
        <v>22</v>
      </c>
      <c r="L237" s="17">
        <v>1.29</v>
      </c>
      <c r="M237" s="19">
        <v>2.52</v>
      </c>
      <c r="N237" s="22">
        <f>TREN01[[#This Row],[T]]-TREN01[[#This Row],[H]]</f>
        <v>1.23</v>
      </c>
      <c r="O237" s="20" t="str">
        <f t="shared" si="100"/>
        <v>OK</v>
      </c>
    </row>
    <row r="238" spans="1:15" x14ac:dyDescent="0.25">
      <c r="A238" s="93" t="s">
        <v>16</v>
      </c>
      <c r="B238" s="32">
        <v>1</v>
      </c>
      <c r="C238" s="36">
        <v>1113983</v>
      </c>
      <c r="D238" s="52">
        <v>45831</v>
      </c>
      <c r="E238" s="32" t="s">
        <v>15</v>
      </c>
      <c r="F238" s="32" t="str">
        <f t="shared" si="102"/>
        <v>M22</v>
      </c>
      <c r="G238" s="62" t="str">
        <f t="shared" si="102"/>
        <v>302</v>
      </c>
      <c r="H238" s="63" t="str">
        <f t="shared" si="102"/>
        <v>C6</v>
      </c>
      <c r="I238" s="64">
        <f t="shared" si="102"/>
        <v>1</v>
      </c>
      <c r="J238" s="40" t="s">
        <v>34</v>
      </c>
      <c r="K238" s="37">
        <v>22</v>
      </c>
      <c r="L238" s="17">
        <v>1.32</v>
      </c>
      <c r="M238" s="19">
        <v>2</v>
      </c>
      <c r="N238" s="22">
        <f>TREN01[[#This Row],[T]]-TREN01[[#This Row],[H]]</f>
        <v>0.67999999999999994</v>
      </c>
      <c r="O238" s="20" t="str">
        <f t="shared" si="100"/>
        <v>Seguimiento</v>
      </c>
    </row>
    <row r="239" spans="1:15" x14ac:dyDescent="0.25">
      <c r="A239" s="93" t="s">
        <v>16</v>
      </c>
      <c r="B239" s="32">
        <v>1</v>
      </c>
      <c r="C239" s="36">
        <v>1113983</v>
      </c>
      <c r="D239" s="52">
        <v>45831</v>
      </c>
      <c r="E239" s="32" t="s">
        <v>15</v>
      </c>
      <c r="F239" s="32" t="str">
        <f t="shared" si="102"/>
        <v>M22</v>
      </c>
      <c r="G239" s="62" t="str">
        <f t="shared" si="102"/>
        <v>302</v>
      </c>
      <c r="H239" s="63" t="str">
        <f t="shared" si="102"/>
        <v>C6</v>
      </c>
      <c r="I239" s="64">
        <v>2</v>
      </c>
      <c r="J239" s="40" t="s">
        <v>35</v>
      </c>
      <c r="K239" s="37">
        <v>23</v>
      </c>
      <c r="L239" s="17">
        <v>1.07</v>
      </c>
      <c r="M239" s="19">
        <v>4.8499999999999996</v>
      </c>
      <c r="N239" s="22">
        <f>TREN01[[#This Row],[T]]-TREN01[[#This Row],[H]]</f>
        <v>3.7799999999999994</v>
      </c>
      <c r="O239" s="20" t="str">
        <f t="shared" si="100"/>
        <v>OK</v>
      </c>
    </row>
    <row r="240" spans="1:15" x14ac:dyDescent="0.25">
      <c r="A240" s="93" t="s">
        <v>16</v>
      </c>
      <c r="B240" s="32">
        <v>1</v>
      </c>
      <c r="C240" s="36">
        <v>1113983</v>
      </c>
      <c r="D240" s="52">
        <v>45831</v>
      </c>
      <c r="E240" s="32" t="s">
        <v>15</v>
      </c>
      <c r="F240" s="32" t="str">
        <f t="shared" si="102"/>
        <v>M22</v>
      </c>
      <c r="G240" s="62" t="str">
        <f t="shared" si="102"/>
        <v>302</v>
      </c>
      <c r="H240" s="63" t="str">
        <f t="shared" si="102"/>
        <v>C6</v>
      </c>
      <c r="I240" s="64">
        <f t="shared" si="102"/>
        <v>2</v>
      </c>
      <c r="J240" s="40" t="s">
        <v>36</v>
      </c>
      <c r="K240" s="37">
        <v>23</v>
      </c>
      <c r="L240" s="17">
        <v>0.56999999999999995</v>
      </c>
      <c r="M240" s="19">
        <v>4.93</v>
      </c>
      <c r="N240" s="22">
        <f>TREN01[[#This Row],[T]]-TREN01[[#This Row],[H]]</f>
        <v>4.3599999999999994</v>
      </c>
      <c r="O240" s="20" t="str">
        <f t="shared" si="100"/>
        <v>OK</v>
      </c>
    </row>
    <row r="241" spans="1:15" x14ac:dyDescent="0.25">
      <c r="A241" s="93" t="s">
        <v>16</v>
      </c>
      <c r="B241" s="32">
        <v>1</v>
      </c>
      <c r="C241" s="36">
        <v>1113983</v>
      </c>
      <c r="D241" s="52">
        <v>45831</v>
      </c>
      <c r="E241" s="32" t="s">
        <v>15</v>
      </c>
      <c r="F241" s="32" t="str">
        <f t="shared" si="102"/>
        <v>M22</v>
      </c>
      <c r="G241" s="62" t="str">
        <f t="shared" si="102"/>
        <v>302</v>
      </c>
      <c r="H241" s="63" t="str">
        <f t="shared" si="102"/>
        <v>C6</v>
      </c>
      <c r="I241" s="64">
        <f t="shared" si="102"/>
        <v>2</v>
      </c>
      <c r="J241" s="40" t="s">
        <v>37</v>
      </c>
      <c r="K241" s="37">
        <v>24</v>
      </c>
      <c r="L241" s="17">
        <v>1.65</v>
      </c>
      <c r="M241" s="19">
        <v>3.26</v>
      </c>
      <c r="N241" s="22">
        <f>TREN01[[#This Row],[T]]-TREN01[[#This Row],[H]]</f>
        <v>1.6099999999999999</v>
      </c>
      <c r="O241" s="20" t="str">
        <f t="shared" si="100"/>
        <v>OK</v>
      </c>
    </row>
    <row r="242" spans="1:15" x14ac:dyDescent="0.25">
      <c r="A242" s="93" t="s">
        <v>16</v>
      </c>
      <c r="B242" s="32">
        <v>1</v>
      </c>
      <c r="C242" s="36">
        <v>1113983</v>
      </c>
      <c r="D242" s="52">
        <v>45831</v>
      </c>
      <c r="E242" s="32" t="s">
        <v>15</v>
      </c>
      <c r="F242" s="32" t="str">
        <f t="shared" si="102"/>
        <v>M22</v>
      </c>
      <c r="G242" s="62" t="str">
        <f t="shared" si="102"/>
        <v>302</v>
      </c>
      <c r="H242" s="63" t="str">
        <f t="shared" si="102"/>
        <v>C6</v>
      </c>
      <c r="I242" s="64">
        <f t="shared" si="102"/>
        <v>2</v>
      </c>
      <c r="J242" s="40" t="s">
        <v>38</v>
      </c>
      <c r="K242" s="37">
        <v>24</v>
      </c>
      <c r="L242" s="17">
        <v>0.76</v>
      </c>
      <c r="M242" s="19">
        <v>4.71</v>
      </c>
      <c r="N242" s="22">
        <f>TREN01[[#This Row],[T]]-TREN01[[#This Row],[H]]</f>
        <v>3.95</v>
      </c>
      <c r="O242" s="20" t="str">
        <f t="shared" si="100"/>
        <v>OK</v>
      </c>
    </row>
    <row r="243" spans="1:15" x14ac:dyDescent="0.25">
      <c r="A243" s="93" t="s">
        <v>16</v>
      </c>
      <c r="B243" s="32">
        <v>1</v>
      </c>
      <c r="C243" s="36">
        <v>1113983</v>
      </c>
      <c r="D243" s="52">
        <v>45831</v>
      </c>
      <c r="E243" s="32" t="s">
        <v>15</v>
      </c>
      <c r="F243" s="32" t="s">
        <v>44</v>
      </c>
      <c r="G243" s="62" t="s">
        <v>48</v>
      </c>
      <c r="H243" s="63" t="s">
        <v>47</v>
      </c>
      <c r="I243" s="64">
        <v>2</v>
      </c>
      <c r="J243" s="40" t="s">
        <v>31</v>
      </c>
      <c r="K243" s="37">
        <v>25</v>
      </c>
      <c r="L243" s="17">
        <v>0.55000000000000004</v>
      </c>
      <c r="M243" s="19">
        <v>4.96</v>
      </c>
      <c r="N243" s="22">
        <f>TREN01[[#This Row],[T]]-TREN01[[#This Row],[H]]</f>
        <v>4.41</v>
      </c>
      <c r="O243" s="20" t="str">
        <f t="shared" si="100"/>
        <v>OK</v>
      </c>
    </row>
    <row r="244" spans="1:15" x14ac:dyDescent="0.25">
      <c r="A244" s="93" t="s">
        <v>16</v>
      </c>
      <c r="B244" s="32">
        <v>1</v>
      </c>
      <c r="C244" s="36">
        <v>1113983</v>
      </c>
      <c r="D244" s="52">
        <v>45831</v>
      </c>
      <c r="E244" s="32" t="s">
        <v>15</v>
      </c>
      <c r="F244" s="32" t="str">
        <f t="shared" ref="F244:I258" si="103">F243</f>
        <v>M22</v>
      </c>
      <c r="G244" s="62" t="str">
        <f t="shared" si="103"/>
        <v>301</v>
      </c>
      <c r="H244" s="63" t="str">
        <f t="shared" si="103"/>
        <v>C6</v>
      </c>
      <c r="I244" s="64">
        <f t="shared" si="103"/>
        <v>2</v>
      </c>
      <c r="J244" s="40" t="s">
        <v>32</v>
      </c>
      <c r="K244" s="37">
        <v>25</v>
      </c>
      <c r="L244" s="17">
        <v>0.64</v>
      </c>
      <c r="M244" s="19">
        <v>2.08</v>
      </c>
      <c r="N244" s="22">
        <f>TREN01[[#This Row],[T]]-TREN01[[#This Row],[H]]</f>
        <v>1.44</v>
      </c>
      <c r="O244" s="20" t="str">
        <f t="shared" si="100"/>
        <v>OK</v>
      </c>
    </row>
    <row r="245" spans="1:15" x14ac:dyDescent="0.25">
      <c r="A245" s="93" t="s">
        <v>16</v>
      </c>
      <c r="B245" s="32">
        <v>1</v>
      </c>
      <c r="C245" s="36">
        <v>1113983</v>
      </c>
      <c r="D245" s="52">
        <v>45831</v>
      </c>
      <c r="E245" s="32" t="s">
        <v>15</v>
      </c>
      <c r="F245" s="32" t="str">
        <f t="shared" si="103"/>
        <v>M22</v>
      </c>
      <c r="G245" s="62" t="str">
        <f t="shared" si="103"/>
        <v>301</v>
      </c>
      <c r="H245" s="63" t="str">
        <f t="shared" si="103"/>
        <v>C6</v>
      </c>
      <c r="I245" s="64">
        <f t="shared" si="103"/>
        <v>2</v>
      </c>
      <c r="J245" s="40" t="s">
        <v>33</v>
      </c>
      <c r="K245" s="37">
        <v>26</v>
      </c>
      <c r="L245" s="17">
        <v>0.73</v>
      </c>
      <c r="M245" s="19">
        <v>1.76</v>
      </c>
      <c r="N245" s="22">
        <f>TREN01[[#This Row],[T]]-TREN01[[#This Row],[H]]</f>
        <v>1.03</v>
      </c>
      <c r="O245" s="20" t="str">
        <f t="shared" si="100"/>
        <v>OK</v>
      </c>
    </row>
    <row r="246" spans="1:15" x14ac:dyDescent="0.25">
      <c r="A246" s="93" t="s">
        <v>16</v>
      </c>
      <c r="B246" s="32">
        <v>1</v>
      </c>
      <c r="C246" s="36">
        <v>1113983</v>
      </c>
      <c r="D246" s="52">
        <v>45831</v>
      </c>
      <c r="E246" s="32" t="s">
        <v>15</v>
      </c>
      <c r="F246" s="32" t="str">
        <f t="shared" si="103"/>
        <v>M22</v>
      </c>
      <c r="G246" s="62" t="str">
        <f t="shared" si="103"/>
        <v>301</v>
      </c>
      <c r="H246" s="63" t="str">
        <f t="shared" si="103"/>
        <v>C6</v>
      </c>
      <c r="I246" s="64">
        <f t="shared" si="103"/>
        <v>2</v>
      </c>
      <c r="J246" s="40" t="s">
        <v>34</v>
      </c>
      <c r="K246" s="37">
        <v>26</v>
      </c>
      <c r="L246" s="17">
        <v>0.78</v>
      </c>
      <c r="M246" s="19">
        <v>4.75</v>
      </c>
      <c r="N246" s="22">
        <f>TREN01[[#This Row],[T]]-TREN01[[#This Row],[H]]</f>
        <v>3.9699999999999998</v>
      </c>
      <c r="O246" s="20" t="str">
        <f t="shared" si="100"/>
        <v>OK</v>
      </c>
    </row>
    <row r="247" spans="1:15" x14ac:dyDescent="0.25">
      <c r="A247" s="93" t="s">
        <v>16</v>
      </c>
      <c r="B247" s="32">
        <v>1</v>
      </c>
      <c r="C247" s="36">
        <v>1113983</v>
      </c>
      <c r="D247" s="52">
        <v>45831</v>
      </c>
      <c r="E247" s="32" t="s">
        <v>15</v>
      </c>
      <c r="F247" s="32" t="str">
        <f t="shared" si="103"/>
        <v>M22</v>
      </c>
      <c r="G247" s="62" t="str">
        <f t="shared" si="103"/>
        <v>301</v>
      </c>
      <c r="H247" s="63" t="str">
        <f t="shared" si="103"/>
        <v>C6</v>
      </c>
      <c r="I247" s="64">
        <v>1</v>
      </c>
      <c r="J247" s="40" t="s">
        <v>35</v>
      </c>
      <c r="K247" s="37">
        <v>27</v>
      </c>
      <c r="L247" s="17">
        <v>1.1399999999999999</v>
      </c>
      <c r="M247" s="19">
        <v>4.87</v>
      </c>
      <c r="N247" s="22">
        <f>TREN01[[#This Row],[T]]-TREN01[[#This Row],[H]]</f>
        <v>3.7300000000000004</v>
      </c>
      <c r="O247" s="20" t="str">
        <f t="shared" si="100"/>
        <v>OK</v>
      </c>
    </row>
    <row r="248" spans="1:15" x14ac:dyDescent="0.25">
      <c r="A248" s="93" t="s">
        <v>16</v>
      </c>
      <c r="B248" s="32">
        <v>1</v>
      </c>
      <c r="C248" s="36">
        <v>1113983</v>
      </c>
      <c r="D248" s="52">
        <v>45831</v>
      </c>
      <c r="E248" s="32" t="s">
        <v>15</v>
      </c>
      <c r="F248" s="32" t="str">
        <f t="shared" si="103"/>
        <v>M22</v>
      </c>
      <c r="G248" s="62" t="str">
        <f t="shared" si="103"/>
        <v>301</v>
      </c>
      <c r="H248" s="63" t="str">
        <f t="shared" si="103"/>
        <v>C6</v>
      </c>
      <c r="I248" s="64">
        <f t="shared" si="103"/>
        <v>1</v>
      </c>
      <c r="J248" s="40" t="s">
        <v>36</v>
      </c>
      <c r="K248" s="37">
        <v>27</v>
      </c>
      <c r="L248" s="17">
        <v>1.47</v>
      </c>
      <c r="M248" s="19">
        <v>4.91</v>
      </c>
      <c r="N248" s="22">
        <f>TREN01[[#This Row],[T]]-TREN01[[#This Row],[H]]</f>
        <v>3.4400000000000004</v>
      </c>
      <c r="O248" s="20" t="str">
        <f t="shared" si="100"/>
        <v>OK</v>
      </c>
    </row>
    <row r="249" spans="1:15" x14ac:dyDescent="0.25">
      <c r="A249" s="93" t="s">
        <v>16</v>
      </c>
      <c r="B249" s="32">
        <v>1</v>
      </c>
      <c r="C249" s="36">
        <v>1113983</v>
      </c>
      <c r="D249" s="52">
        <v>45831</v>
      </c>
      <c r="E249" s="32" t="s">
        <v>15</v>
      </c>
      <c r="F249" s="32" t="str">
        <f t="shared" si="103"/>
        <v>M22</v>
      </c>
      <c r="G249" s="62" t="str">
        <f t="shared" si="103"/>
        <v>301</v>
      </c>
      <c r="H249" s="63" t="str">
        <f t="shared" si="103"/>
        <v>C6</v>
      </c>
      <c r="I249" s="64">
        <f t="shared" si="103"/>
        <v>1</v>
      </c>
      <c r="J249" s="40" t="s">
        <v>37</v>
      </c>
      <c r="K249" s="37">
        <v>28</v>
      </c>
      <c r="L249" s="17">
        <v>0.76</v>
      </c>
      <c r="M249" s="19">
        <v>4.6900000000000004</v>
      </c>
      <c r="N249" s="22">
        <f>TREN01[[#This Row],[T]]-TREN01[[#This Row],[H]]</f>
        <v>3.9300000000000006</v>
      </c>
      <c r="O249" s="20" t="str">
        <f t="shared" si="100"/>
        <v>OK</v>
      </c>
    </row>
    <row r="250" spans="1:15" x14ac:dyDescent="0.25">
      <c r="A250" s="93" t="s">
        <v>16</v>
      </c>
      <c r="B250" s="32">
        <v>1</v>
      </c>
      <c r="C250" s="36">
        <v>1113983</v>
      </c>
      <c r="D250" s="52">
        <v>45831</v>
      </c>
      <c r="E250" s="32" t="s">
        <v>15</v>
      </c>
      <c r="F250" s="32" t="str">
        <f t="shared" si="103"/>
        <v>M22</v>
      </c>
      <c r="G250" s="62" t="str">
        <f t="shared" si="103"/>
        <v>301</v>
      </c>
      <c r="H250" s="63" t="str">
        <f t="shared" si="103"/>
        <v>C6</v>
      </c>
      <c r="I250" s="64">
        <f t="shared" si="103"/>
        <v>1</v>
      </c>
      <c r="J250" s="40" t="s">
        <v>38</v>
      </c>
      <c r="K250" s="37">
        <v>28</v>
      </c>
      <c r="L250" s="17">
        <v>0.56999999999999995</v>
      </c>
      <c r="M250" s="19">
        <v>5.0599999999999996</v>
      </c>
      <c r="N250" s="22">
        <f>TREN01[[#This Row],[T]]-TREN01[[#This Row],[H]]</f>
        <v>4.4899999999999993</v>
      </c>
      <c r="O250" s="20" t="str">
        <f t="shared" si="100"/>
        <v>OK</v>
      </c>
    </row>
    <row r="251" spans="1:15" x14ac:dyDescent="0.25">
      <c r="A251" s="93" t="s">
        <v>16</v>
      </c>
      <c r="B251" s="32">
        <v>1</v>
      </c>
      <c r="C251" s="36">
        <v>1113983</v>
      </c>
      <c r="D251" s="52">
        <v>45831</v>
      </c>
      <c r="E251" s="32" t="s">
        <v>15</v>
      </c>
      <c r="F251" s="32" t="str">
        <f t="shared" si="103"/>
        <v>M22</v>
      </c>
      <c r="G251" s="62" t="str">
        <f t="shared" si="103"/>
        <v>301</v>
      </c>
      <c r="H251" s="63" t="s">
        <v>46</v>
      </c>
      <c r="I251" s="64">
        <v>2</v>
      </c>
      <c r="J251" s="40" t="s">
        <v>31</v>
      </c>
      <c r="K251" s="37">
        <v>29</v>
      </c>
      <c r="L251" s="17">
        <v>0.64</v>
      </c>
      <c r="M251" s="19">
        <v>4.99</v>
      </c>
      <c r="N251" s="22">
        <f>TREN01[[#This Row],[T]]-TREN01[[#This Row],[H]]</f>
        <v>4.3500000000000005</v>
      </c>
      <c r="O251" s="20" t="str">
        <f t="shared" si="100"/>
        <v>OK</v>
      </c>
    </row>
    <row r="252" spans="1:15" x14ac:dyDescent="0.25">
      <c r="A252" s="93" t="s">
        <v>16</v>
      </c>
      <c r="B252" s="32">
        <v>1</v>
      </c>
      <c r="C252" s="36">
        <v>1113983</v>
      </c>
      <c r="D252" s="52">
        <v>45831</v>
      </c>
      <c r="E252" s="32" t="s">
        <v>15</v>
      </c>
      <c r="F252" s="32" t="str">
        <f t="shared" si="103"/>
        <v>M22</v>
      </c>
      <c r="G252" s="62" t="str">
        <f t="shared" si="103"/>
        <v>301</v>
      </c>
      <c r="H252" s="63" t="str">
        <f t="shared" si="103"/>
        <v>C5</v>
      </c>
      <c r="I252" s="64">
        <f t="shared" si="103"/>
        <v>2</v>
      </c>
      <c r="J252" s="40" t="s">
        <v>32</v>
      </c>
      <c r="K252" s="37">
        <v>29</v>
      </c>
      <c r="L252" s="17">
        <v>0.52</v>
      </c>
      <c r="M252" s="19">
        <v>1.51</v>
      </c>
      <c r="N252" s="22">
        <f>TREN01[[#This Row],[T]]-TREN01[[#This Row],[H]]</f>
        <v>0.99</v>
      </c>
      <c r="O252" s="20" t="str">
        <f t="shared" si="100"/>
        <v>Seguimiento</v>
      </c>
    </row>
    <row r="253" spans="1:15" x14ac:dyDescent="0.25">
      <c r="A253" s="93" t="s">
        <v>16</v>
      </c>
      <c r="B253" s="32">
        <v>1</v>
      </c>
      <c r="C253" s="36">
        <v>1113983</v>
      </c>
      <c r="D253" s="52">
        <v>45831</v>
      </c>
      <c r="E253" s="32" t="s">
        <v>15</v>
      </c>
      <c r="F253" s="32" t="str">
        <f t="shared" si="103"/>
        <v>M22</v>
      </c>
      <c r="G253" s="62" t="str">
        <f t="shared" si="103"/>
        <v>301</v>
      </c>
      <c r="H253" s="63" t="str">
        <f t="shared" si="103"/>
        <v>C5</v>
      </c>
      <c r="I253" s="64">
        <f t="shared" si="103"/>
        <v>2</v>
      </c>
      <c r="J253" s="40" t="s">
        <v>33</v>
      </c>
      <c r="K253" s="37">
        <v>30</v>
      </c>
      <c r="L253" s="17">
        <v>0.79</v>
      </c>
      <c r="M253" s="19">
        <v>1.84</v>
      </c>
      <c r="N253" s="22">
        <f>TREN01[[#This Row],[T]]-TREN01[[#This Row],[H]]</f>
        <v>1.05</v>
      </c>
      <c r="O253" s="20" t="str">
        <f t="shared" si="100"/>
        <v>OK</v>
      </c>
    </row>
    <row r="254" spans="1:15" x14ac:dyDescent="0.25">
      <c r="A254" s="93" t="s">
        <v>16</v>
      </c>
      <c r="B254" s="32">
        <v>1</v>
      </c>
      <c r="C254" s="36">
        <v>1113983</v>
      </c>
      <c r="D254" s="52">
        <v>45831</v>
      </c>
      <c r="E254" s="32" t="s">
        <v>15</v>
      </c>
      <c r="F254" s="32" t="str">
        <f t="shared" si="103"/>
        <v>M22</v>
      </c>
      <c r="G254" s="62" t="str">
        <f t="shared" si="103"/>
        <v>301</v>
      </c>
      <c r="H254" s="63" t="str">
        <f t="shared" si="103"/>
        <v>C5</v>
      </c>
      <c r="I254" s="64">
        <f t="shared" si="103"/>
        <v>2</v>
      </c>
      <c r="J254" s="40" t="s">
        <v>34</v>
      </c>
      <c r="K254" s="37">
        <v>30</v>
      </c>
      <c r="L254" s="17">
        <v>0.82</v>
      </c>
      <c r="M254" s="19">
        <v>1.92</v>
      </c>
      <c r="N254" s="22">
        <f>TREN01[[#This Row],[T]]-TREN01[[#This Row],[H]]</f>
        <v>1.1000000000000001</v>
      </c>
      <c r="O254" s="20" t="str">
        <f t="shared" si="100"/>
        <v>OK</v>
      </c>
    </row>
    <row r="255" spans="1:15" x14ac:dyDescent="0.25">
      <c r="A255" s="93" t="s">
        <v>16</v>
      </c>
      <c r="B255" s="32">
        <v>1</v>
      </c>
      <c r="C255" s="36">
        <v>1113983</v>
      </c>
      <c r="D255" s="52">
        <v>45831</v>
      </c>
      <c r="E255" s="32" t="s">
        <v>15</v>
      </c>
      <c r="F255" s="32" t="str">
        <f t="shared" si="103"/>
        <v>M22</v>
      </c>
      <c r="G255" s="62" t="str">
        <f t="shared" si="103"/>
        <v>301</v>
      </c>
      <c r="H255" s="63" t="str">
        <f t="shared" si="103"/>
        <v>C5</v>
      </c>
      <c r="I255" s="64">
        <v>1</v>
      </c>
      <c r="J255" s="40" t="s">
        <v>35</v>
      </c>
      <c r="K255" s="37">
        <v>31</v>
      </c>
      <c r="L255" s="17">
        <v>0.44</v>
      </c>
      <c r="M255" s="19">
        <v>2.29</v>
      </c>
      <c r="N255" s="22">
        <f>TREN01[[#This Row],[T]]-TREN01[[#This Row],[H]]</f>
        <v>1.85</v>
      </c>
      <c r="O255" s="20" t="str">
        <f t="shared" si="100"/>
        <v>OK</v>
      </c>
    </row>
    <row r="256" spans="1:15" x14ac:dyDescent="0.25">
      <c r="A256" s="93" t="s">
        <v>16</v>
      </c>
      <c r="B256" s="32">
        <v>1</v>
      </c>
      <c r="C256" s="36">
        <v>1113983</v>
      </c>
      <c r="D256" s="52">
        <v>45831</v>
      </c>
      <c r="E256" s="32" t="s">
        <v>15</v>
      </c>
      <c r="F256" s="32" t="str">
        <f t="shared" si="103"/>
        <v>M22</v>
      </c>
      <c r="G256" s="62" t="str">
        <f t="shared" si="103"/>
        <v>301</v>
      </c>
      <c r="H256" s="63" t="str">
        <f t="shared" si="103"/>
        <v>C5</v>
      </c>
      <c r="I256" s="64">
        <f t="shared" si="103"/>
        <v>1</v>
      </c>
      <c r="J256" s="40" t="s">
        <v>36</v>
      </c>
      <c r="K256" s="37">
        <v>31</v>
      </c>
      <c r="L256" s="17">
        <v>1.34</v>
      </c>
      <c r="M256" s="19">
        <v>3.21</v>
      </c>
      <c r="N256" s="22">
        <f>TREN01[[#This Row],[T]]-TREN01[[#This Row],[H]]</f>
        <v>1.8699999999999999</v>
      </c>
      <c r="O256" s="20" t="str">
        <f t="shared" si="100"/>
        <v>OK</v>
      </c>
    </row>
    <row r="257" spans="1:15" x14ac:dyDescent="0.25">
      <c r="A257" s="93" t="s">
        <v>16</v>
      </c>
      <c r="B257" s="32">
        <v>1</v>
      </c>
      <c r="C257" s="36">
        <v>1113983</v>
      </c>
      <c r="D257" s="52">
        <v>45831</v>
      </c>
      <c r="E257" s="32" t="s">
        <v>15</v>
      </c>
      <c r="F257" s="32" t="str">
        <f t="shared" si="103"/>
        <v>M22</v>
      </c>
      <c r="G257" s="62" t="str">
        <f t="shared" si="103"/>
        <v>301</v>
      </c>
      <c r="H257" s="63" t="str">
        <f t="shared" si="103"/>
        <v>C5</v>
      </c>
      <c r="I257" s="64">
        <f t="shared" si="103"/>
        <v>1</v>
      </c>
      <c r="J257" s="40" t="s">
        <v>37</v>
      </c>
      <c r="K257" s="37">
        <v>32</v>
      </c>
      <c r="L257" s="17">
        <v>1.24</v>
      </c>
      <c r="M257" s="19">
        <v>2.54</v>
      </c>
      <c r="N257" s="22">
        <f>TREN01[[#This Row],[T]]-TREN01[[#This Row],[H]]</f>
        <v>1.3</v>
      </c>
      <c r="O257" s="20" t="str">
        <f t="shared" si="100"/>
        <v>OK</v>
      </c>
    </row>
    <row r="258" spans="1:15" x14ac:dyDescent="0.25">
      <c r="A258" s="93" t="s">
        <v>16</v>
      </c>
      <c r="B258" s="32">
        <v>1</v>
      </c>
      <c r="C258" s="36">
        <v>1113983</v>
      </c>
      <c r="D258" s="52">
        <v>45831</v>
      </c>
      <c r="E258" s="32" t="s">
        <v>15</v>
      </c>
      <c r="F258" s="32" t="str">
        <f t="shared" si="103"/>
        <v>M22</v>
      </c>
      <c r="G258" s="62" t="str">
        <f t="shared" si="103"/>
        <v>301</v>
      </c>
      <c r="H258" s="63" t="str">
        <f t="shared" si="103"/>
        <v>C5</v>
      </c>
      <c r="I258" s="64">
        <f t="shared" si="103"/>
        <v>1</v>
      </c>
      <c r="J258" s="40" t="s">
        <v>38</v>
      </c>
      <c r="K258" s="37">
        <v>32</v>
      </c>
      <c r="L258" s="17">
        <v>0.51</v>
      </c>
      <c r="M258" s="19">
        <v>1.96</v>
      </c>
      <c r="N258" s="22">
        <f>TREN01[[#This Row],[T]]-TREN01[[#This Row],[H]]</f>
        <v>1.45</v>
      </c>
      <c r="O258" s="20" t="str">
        <f t="shared" si="100"/>
        <v>OK</v>
      </c>
    </row>
    <row r="259" spans="1:15" x14ac:dyDescent="0.25">
      <c r="A259" s="93" t="s">
        <v>16</v>
      </c>
      <c r="B259" s="32">
        <v>1</v>
      </c>
      <c r="C259" s="36">
        <v>1113983</v>
      </c>
      <c r="D259" s="52">
        <v>45831</v>
      </c>
      <c r="E259" s="32" t="s">
        <v>15</v>
      </c>
      <c r="F259" s="32" t="s">
        <v>40</v>
      </c>
      <c r="G259" s="62" t="s">
        <v>49</v>
      </c>
      <c r="H259" s="63" t="s">
        <v>43</v>
      </c>
      <c r="I259" s="64">
        <v>2</v>
      </c>
      <c r="J259" s="40" t="s">
        <v>31</v>
      </c>
      <c r="K259" s="37">
        <v>33</v>
      </c>
      <c r="L259" s="17">
        <v>0.54</v>
      </c>
      <c r="M259" s="19">
        <v>1.82</v>
      </c>
      <c r="N259" s="22">
        <f>TREN01[[#This Row],[T]]-TREN01[[#This Row],[H]]</f>
        <v>1.28</v>
      </c>
      <c r="O259" s="20" t="str">
        <f t="shared" si="100"/>
        <v>OK</v>
      </c>
    </row>
    <row r="260" spans="1:15" x14ac:dyDescent="0.25">
      <c r="A260" s="93" t="s">
        <v>16</v>
      </c>
      <c r="B260" s="32">
        <v>1</v>
      </c>
      <c r="C260" s="36">
        <v>1113983</v>
      </c>
      <c r="D260" s="52">
        <v>45831</v>
      </c>
      <c r="E260" s="32" t="s">
        <v>15</v>
      </c>
      <c r="F260" s="32" t="str">
        <f t="shared" ref="F260:I274" si="104">F259</f>
        <v>M21</v>
      </c>
      <c r="G260" s="62" t="str">
        <f t="shared" si="104"/>
        <v>004</v>
      </c>
      <c r="H260" s="63" t="str">
        <f t="shared" si="104"/>
        <v>C4</v>
      </c>
      <c r="I260" s="64">
        <f t="shared" si="104"/>
        <v>2</v>
      </c>
      <c r="J260" s="40" t="s">
        <v>32</v>
      </c>
      <c r="K260" s="37">
        <v>33</v>
      </c>
      <c r="L260" s="17">
        <v>0.42</v>
      </c>
      <c r="M260" s="19">
        <v>1.42</v>
      </c>
      <c r="N260" s="22">
        <f>TREN01[[#This Row],[T]]-TREN01[[#This Row],[H]]</f>
        <v>1</v>
      </c>
      <c r="O260" s="20" t="str">
        <f t="shared" ref="O260:O323" si="105">IF(N260&lt;=0,"Critico",IF(N260&lt;=0.2,"Cambio",IF(N260&lt;=1,"Seguimiento",IF(L260&gt;=1.7,"Reperfilado","OK"))))</f>
        <v>Seguimiento</v>
      </c>
    </row>
    <row r="261" spans="1:15" x14ac:dyDescent="0.25">
      <c r="A261" s="93" t="s">
        <v>16</v>
      </c>
      <c r="B261" s="32">
        <v>1</v>
      </c>
      <c r="C261" s="36">
        <v>1113983</v>
      </c>
      <c r="D261" s="52">
        <v>45831</v>
      </c>
      <c r="E261" s="32" t="s">
        <v>15</v>
      </c>
      <c r="F261" s="32" t="str">
        <f t="shared" si="104"/>
        <v>M21</v>
      </c>
      <c r="G261" s="62" t="str">
        <f t="shared" si="104"/>
        <v>004</v>
      </c>
      <c r="H261" s="63" t="str">
        <f t="shared" si="104"/>
        <v>C4</v>
      </c>
      <c r="I261" s="64">
        <f t="shared" si="104"/>
        <v>2</v>
      </c>
      <c r="J261" s="40" t="s">
        <v>33</v>
      </c>
      <c r="K261" s="37">
        <v>34</v>
      </c>
      <c r="L261" s="17">
        <v>0.09</v>
      </c>
      <c r="M261" s="19">
        <v>4.9800000000000004</v>
      </c>
      <c r="N261" s="22">
        <f>TREN01[[#This Row],[T]]-TREN01[[#This Row],[H]]</f>
        <v>4.8900000000000006</v>
      </c>
      <c r="O261" s="20" t="str">
        <f t="shared" si="105"/>
        <v>OK</v>
      </c>
    </row>
    <row r="262" spans="1:15" x14ac:dyDescent="0.25">
      <c r="A262" s="93" t="s">
        <v>16</v>
      </c>
      <c r="B262" s="32">
        <v>1</v>
      </c>
      <c r="C262" s="36">
        <v>1113983</v>
      </c>
      <c r="D262" s="52">
        <v>45831</v>
      </c>
      <c r="E262" s="32" t="s">
        <v>15</v>
      </c>
      <c r="F262" s="32" t="str">
        <f t="shared" si="104"/>
        <v>M21</v>
      </c>
      <c r="G262" s="62" t="str">
        <f t="shared" si="104"/>
        <v>004</v>
      </c>
      <c r="H262" s="63" t="str">
        <f t="shared" si="104"/>
        <v>C4</v>
      </c>
      <c r="I262" s="64">
        <f t="shared" si="104"/>
        <v>2</v>
      </c>
      <c r="J262" s="40" t="s">
        <v>34</v>
      </c>
      <c r="K262" s="37">
        <v>34</v>
      </c>
      <c r="L262" s="17">
        <v>0.72</v>
      </c>
      <c r="M262" s="19">
        <v>2.15</v>
      </c>
      <c r="N262" s="22">
        <f>TREN01[[#This Row],[T]]-TREN01[[#This Row],[H]]</f>
        <v>1.43</v>
      </c>
      <c r="O262" s="20" t="str">
        <f t="shared" si="105"/>
        <v>OK</v>
      </c>
    </row>
    <row r="263" spans="1:15" x14ac:dyDescent="0.25">
      <c r="A263" s="93" t="s">
        <v>16</v>
      </c>
      <c r="B263" s="32">
        <v>1</v>
      </c>
      <c r="C263" s="36">
        <v>1113983</v>
      </c>
      <c r="D263" s="52">
        <v>45831</v>
      </c>
      <c r="E263" s="32" t="s">
        <v>15</v>
      </c>
      <c r="F263" s="32" t="str">
        <f t="shared" si="104"/>
        <v>M21</v>
      </c>
      <c r="G263" s="62" t="str">
        <f t="shared" si="104"/>
        <v>004</v>
      </c>
      <c r="H263" s="63" t="str">
        <f t="shared" si="104"/>
        <v>C4</v>
      </c>
      <c r="I263" s="64">
        <v>1</v>
      </c>
      <c r="J263" s="40" t="s">
        <v>35</v>
      </c>
      <c r="K263" s="37">
        <v>35</v>
      </c>
      <c r="L263" s="17">
        <v>0.19</v>
      </c>
      <c r="M263" s="19">
        <v>1.81</v>
      </c>
      <c r="N263" s="22">
        <f>TREN01[[#This Row],[T]]-TREN01[[#This Row],[H]]</f>
        <v>1.62</v>
      </c>
      <c r="O263" s="20" t="str">
        <f t="shared" si="105"/>
        <v>OK</v>
      </c>
    </row>
    <row r="264" spans="1:15" x14ac:dyDescent="0.25">
      <c r="A264" s="93" t="s">
        <v>16</v>
      </c>
      <c r="B264" s="32">
        <v>1</v>
      </c>
      <c r="C264" s="36">
        <v>1113983</v>
      </c>
      <c r="D264" s="52">
        <v>45831</v>
      </c>
      <c r="E264" s="32" t="s">
        <v>15</v>
      </c>
      <c r="F264" s="32" t="str">
        <f t="shared" si="104"/>
        <v>M21</v>
      </c>
      <c r="G264" s="62" t="str">
        <f t="shared" si="104"/>
        <v>004</v>
      </c>
      <c r="H264" s="63" t="str">
        <f t="shared" si="104"/>
        <v>C4</v>
      </c>
      <c r="I264" s="64">
        <f t="shared" si="104"/>
        <v>1</v>
      </c>
      <c r="J264" s="40" t="s">
        <v>36</v>
      </c>
      <c r="K264" s="37">
        <v>35</v>
      </c>
      <c r="L264" s="17">
        <v>0.18</v>
      </c>
      <c r="M264" s="19">
        <v>1.29</v>
      </c>
      <c r="N264" s="22">
        <f>TREN01[[#This Row],[T]]-TREN01[[#This Row],[H]]</f>
        <v>1.1100000000000001</v>
      </c>
      <c r="O264" s="20" t="str">
        <f t="shared" si="105"/>
        <v>OK</v>
      </c>
    </row>
    <row r="265" spans="1:15" x14ac:dyDescent="0.25">
      <c r="A265" s="93" t="s">
        <v>16</v>
      </c>
      <c r="B265" s="32">
        <v>1</v>
      </c>
      <c r="C265" s="36">
        <v>1113983</v>
      </c>
      <c r="D265" s="52">
        <v>45831</v>
      </c>
      <c r="E265" s="32" t="s">
        <v>15</v>
      </c>
      <c r="F265" s="32" t="str">
        <f t="shared" si="104"/>
        <v>M21</v>
      </c>
      <c r="G265" s="62" t="str">
        <f t="shared" si="104"/>
        <v>004</v>
      </c>
      <c r="H265" s="63" t="str">
        <f t="shared" si="104"/>
        <v>C4</v>
      </c>
      <c r="I265" s="64">
        <f t="shared" si="104"/>
        <v>1</v>
      </c>
      <c r="J265" s="40" t="s">
        <v>37</v>
      </c>
      <c r="K265" s="37">
        <v>36</v>
      </c>
      <c r="L265" s="17">
        <v>0.17</v>
      </c>
      <c r="M265" s="19">
        <v>1.24</v>
      </c>
      <c r="N265" s="22">
        <f>TREN01[[#This Row],[T]]-TREN01[[#This Row],[H]]</f>
        <v>1.07</v>
      </c>
      <c r="O265" s="20" t="str">
        <f t="shared" si="105"/>
        <v>OK</v>
      </c>
    </row>
    <row r="266" spans="1:15" x14ac:dyDescent="0.25">
      <c r="A266" s="93" t="s">
        <v>16</v>
      </c>
      <c r="B266" s="32">
        <v>1</v>
      </c>
      <c r="C266" s="36">
        <v>1113983</v>
      </c>
      <c r="D266" s="52">
        <v>45831</v>
      </c>
      <c r="E266" s="32" t="s">
        <v>15</v>
      </c>
      <c r="F266" s="32" t="str">
        <f t="shared" si="104"/>
        <v>M21</v>
      </c>
      <c r="G266" s="62" t="str">
        <f t="shared" si="104"/>
        <v>004</v>
      </c>
      <c r="H266" s="63" t="str">
        <f t="shared" si="104"/>
        <v>C4</v>
      </c>
      <c r="I266" s="64">
        <f t="shared" si="104"/>
        <v>1</v>
      </c>
      <c r="J266" s="40" t="s">
        <v>38</v>
      </c>
      <c r="K266" s="37">
        <v>36</v>
      </c>
      <c r="L266" s="17">
        <v>0.12</v>
      </c>
      <c r="M266" s="19">
        <v>4.87</v>
      </c>
      <c r="N266" s="22">
        <f>TREN01[[#This Row],[T]]-TREN01[[#This Row],[H]]</f>
        <v>4.75</v>
      </c>
      <c r="O266" s="20" t="str">
        <f t="shared" si="105"/>
        <v>OK</v>
      </c>
    </row>
    <row r="267" spans="1:15" x14ac:dyDescent="0.25">
      <c r="A267" s="93" t="s">
        <v>16</v>
      </c>
      <c r="B267" s="32">
        <v>1</v>
      </c>
      <c r="C267" s="36">
        <v>1113983</v>
      </c>
      <c r="D267" s="52">
        <v>45831</v>
      </c>
      <c r="E267" s="32" t="s">
        <v>15</v>
      </c>
      <c r="F267" s="32" t="str">
        <f t="shared" si="104"/>
        <v>M21</v>
      </c>
      <c r="G267" s="62" t="str">
        <f t="shared" si="104"/>
        <v>004</v>
      </c>
      <c r="H267" s="63" t="s">
        <v>42</v>
      </c>
      <c r="I267" s="64">
        <v>2</v>
      </c>
      <c r="J267" s="40" t="s">
        <v>31</v>
      </c>
      <c r="K267" s="37">
        <v>37</v>
      </c>
      <c r="L267" s="17">
        <v>0.8</v>
      </c>
      <c r="M267" s="19">
        <v>3.4</v>
      </c>
      <c r="N267" s="22">
        <f>TREN01[[#This Row],[T]]-TREN01[[#This Row],[H]]</f>
        <v>2.5999999999999996</v>
      </c>
      <c r="O267" s="20" t="str">
        <f t="shared" si="105"/>
        <v>OK</v>
      </c>
    </row>
    <row r="268" spans="1:15" x14ac:dyDescent="0.25">
      <c r="A268" s="93" t="s">
        <v>16</v>
      </c>
      <c r="B268" s="32">
        <v>1</v>
      </c>
      <c r="C268" s="36">
        <v>1113983</v>
      </c>
      <c r="D268" s="52">
        <v>45831</v>
      </c>
      <c r="E268" s="32" t="s">
        <v>15</v>
      </c>
      <c r="F268" s="32" t="str">
        <f t="shared" si="104"/>
        <v>M21</v>
      </c>
      <c r="G268" s="62" t="str">
        <f t="shared" si="104"/>
        <v>004</v>
      </c>
      <c r="H268" s="63" t="s">
        <v>42</v>
      </c>
      <c r="I268" s="64">
        <f t="shared" si="104"/>
        <v>2</v>
      </c>
      <c r="J268" s="40" t="s">
        <v>32</v>
      </c>
      <c r="K268" s="37">
        <v>37</v>
      </c>
      <c r="L268" s="17">
        <v>0.32</v>
      </c>
      <c r="M268" s="19">
        <v>2.0099999999999998</v>
      </c>
      <c r="N268" s="22">
        <f>TREN01[[#This Row],[T]]-TREN01[[#This Row],[H]]</f>
        <v>1.6899999999999997</v>
      </c>
      <c r="O268" s="20" t="str">
        <f t="shared" si="105"/>
        <v>OK</v>
      </c>
    </row>
    <row r="269" spans="1:15" x14ac:dyDescent="0.25">
      <c r="A269" s="93" t="s">
        <v>16</v>
      </c>
      <c r="B269" s="32">
        <v>1</v>
      </c>
      <c r="C269" s="36">
        <v>1113983</v>
      </c>
      <c r="D269" s="52">
        <v>45831</v>
      </c>
      <c r="E269" s="32" t="s">
        <v>15</v>
      </c>
      <c r="F269" s="32" t="str">
        <f t="shared" si="104"/>
        <v>M21</v>
      </c>
      <c r="G269" s="62" t="str">
        <f t="shared" si="104"/>
        <v>004</v>
      </c>
      <c r="H269" s="63" t="str">
        <f t="shared" si="104"/>
        <v>C3</v>
      </c>
      <c r="I269" s="64">
        <f t="shared" si="104"/>
        <v>2</v>
      </c>
      <c r="J269" s="40" t="s">
        <v>33</v>
      </c>
      <c r="K269" s="37">
        <v>38</v>
      </c>
      <c r="L269" s="17">
        <v>0.13</v>
      </c>
      <c r="M269" s="19">
        <v>1.21</v>
      </c>
      <c r="N269" s="22">
        <f>TREN01[[#This Row],[T]]-TREN01[[#This Row],[H]]</f>
        <v>1.08</v>
      </c>
      <c r="O269" s="20" t="str">
        <f t="shared" si="105"/>
        <v>OK</v>
      </c>
    </row>
    <row r="270" spans="1:15" x14ac:dyDescent="0.25">
      <c r="A270" s="93" t="s">
        <v>16</v>
      </c>
      <c r="B270" s="32">
        <v>1</v>
      </c>
      <c r="C270" s="36">
        <v>1113983</v>
      </c>
      <c r="D270" s="52">
        <v>45831</v>
      </c>
      <c r="E270" s="32" t="s">
        <v>15</v>
      </c>
      <c r="F270" s="32" t="str">
        <f t="shared" si="104"/>
        <v>M21</v>
      </c>
      <c r="G270" s="62" t="str">
        <f t="shared" si="104"/>
        <v>004</v>
      </c>
      <c r="H270" s="63" t="str">
        <f t="shared" si="104"/>
        <v>C3</v>
      </c>
      <c r="I270" s="64">
        <f t="shared" si="104"/>
        <v>2</v>
      </c>
      <c r="J270" s="40" t="s">
        <v>34</v>
      </c>
      <c r="K270" s="37">
        <v>38</v>
      </c>
      <c r="L270" s="17">
        <v>1.07</v>
      </c>
      <c r="M270" s="19">
        <v>4.34</v>
      </c>
      <c r="N270" s="22">
        <f>TREN01[[#This Row],[T]]-TREN01[[#This Row],[H]]</f>
        <v>3.2699999999999996</v>
      </c>
      <c r="O270" s="20" t="str">
        <f t="shared" si="105"/>
        <v>OK</v>
      </c>
    </row>
    <row r="271" spans="1:15" x14ac:dyDescent="0.25">
      <c r="A271" s="93" t="s">
        <v>16</v>
      </c>
      <c r="B271" s="32">
        <v>1</v>
      </c>
      <c r="C271" s="36">
        <v>1113983</v>
      </c>
      <c r="D271" s="52">
        <v>45831</v>
      </c>
      <c r="E271" s="32" t="s">
        <v>15</v>
      </c>
      <c r="F271" s="32" t="str">
        <f t="shared" si="104"/>
        <v>M21</v>
      </c>
      <c r="G271" s="62" t="str">
        <f t="shared" si="104"/>
        <v>004</v>
      </c>
      <c r="H271" s="63" t="str">
        <f t="shared" si="104"/>
        <v>C3</v>
      </c>
      <c r="I271" s="64">
        <v>1</v>
      </c>
      <c r="J271" s="40" t="s">
        <v>35</v>
      </c>
      <c r="K271" s="37">
        <v>39</v>
      </c>
      <c r="L271" s="17">
        <v>0.35</v>
      </c>
      <c r="M271" s="19">
        <v>2.89</v>
      </c>
      <c r="N271" s="22">
        <f>TREN01[[#This Row],[T]]-TREN01[[#This Row],[H]]</f>
        <v>2.54</v>
      </c>
      <c r="O271" s="20" t="str">
        <f t="shared" si="105"/>
        <v>OK</v>
      </c>
    </row>
    <row r="272" spans="1:15" x14ac:dyDescent="0.25">
      <c r="A272" s="93" t="s">
        <v>16</v>
      </c>
      <c r="B272" s="32">
        <v>1</v>
      </c>
      <c r="C272" s="36">
        <v>1113983</v>
      </c>
      <c r="D272" s="52">
        <v>45831</v>
      </c>
      <c r="E272" s="32" t="s">
        <v>15</v>
      </c>
      <c r="F272" s="32" t="str">
        <f t="shared" si="104"/>
        <v>M21</v>
      </c>
      <c r="G272" s="62" t="str">
        <f t="shared" si="104"/>
        <v>004</v>
      </c>
      <c r="H272" s="63" t="str">
        <f t="shared" si="104"/>
        <v>C3</v>
      </c>
      <c r="I272" s="64">
        <f t="shared" si="104"/>
        <v>1</v>
      </c>
      <c r="J272" s="40" t="s">
        <v>36</v>
      </c>
      <c r="K272" s="37">
        <v>39</v>
      </c>
      <c r="L272" s="17">
        <v>0.53</v>
      </c>
      <c r="M272" s="19">
        <v>3.4</v>
      </c>
      <c r="N272" s="22">
        <f>TREN01[[#This Row],[T]]-TREN01[[#This Row],[H]]</f>
        <v>2.87</v>
      </c>
      <c r="O272" s="20" t="str">
        <f t="shared" si="105"/>
        <v>OK</v>
      </c>
    </row>
    <row r="273" spans="1:15" x14ac:dyDescent="0.25">
      <c r="A273" s="93" t="s">
        <v>16</v>
      </c>
      <c r="B273" s="32">
        <v>1</v>
      </c>
      <c r="C273" s="36">
        <v>1113983</v>
      </c>
      <c r="D273" s="52">
        <v>45831</v>
      </c>
      <c r="E273" s="32" t="s">
        <v>15</v>
      </c>
      <c r="F273" s="32" t="str">
        <f t="shared" si="104"/>
        <v>M21</v>
      </c>
      <c r="G273" s="62" t="str">
        <f t="shared" si="104"/>
        <v>004</v>
      </c>
      <c r="H273" s="63" t="str">
        <f t="shared" si="104"/>
        <v>C3</v>
      </c>
      <c r="I273" s="64">
        <f t="shared" si="104"/>
        <v>1</v>
      </c>
      <c r="J273" s="40" t="s">
        <v>37</v>
      </c>
      <c r="K273" s="37">
        <v>40</v>
      </c>
      <c r="L273" s="17">
        <v>0.37</v>
      </c>
      <c r="M273" s="19">
        <v>2.81</v>
      </c>
      <c r="N273" s="22">
        <f>TREN01[[#This Row],[T]]-TREN01[[#This Row],[H]]</f>
        <v>2.44</v>
      </c>
      <c r="O273" s="20" t="str">
        <f t="shared" si="105"/>
        <v>OK</v>
      </c>
    </row>
    <row r="274" spans="1:15" x14ac:dyDescent="0.25">
      <c r="A274" s="93" t="s">
        <v>16</v>
      </c>
      <c r="B274" s="32">
        <v>1</v>
      </c>
      <c r="C274" s="36">
        <v>1113983</v>
      </c>
      <c r="D274" s="52">
        <v>45831</v>
      </c>
      <c r="E274" s="32" t="s">
        <v>15</v>
      </c>
      <c r="F274" s="32" t="str">
        <f t="shared" si="104"/>
        <v>M21</v>
      </c>
      <c r="G274" s="62" t="str">
        <f t="shared" si="104"/>
        <v>004</v>
      </c>
      <c r="H274" s="63" t="str">
        <f t="shared" si="104"/>
        <v>C3</v>
      </c>
      <c r="I274" s="64">
        <f t="shared" si="104"/>
        <v>1</v>
      </c>
      <c r="J274" s="40" t="s">
        <v>38</v>
      </c>
      <c r="K274" s="37">
        <v>40</v>
      </c>
      <c r="L274" s="17">
        <v>0.33</v>
      </c>
      <c r="M274" s="19">
        <v>1.9</v>
      </c>
      <c r="N274" s="22">
        <f>TREN01[[#This Row],[T]]-TREN01[[#This Row],[H]]</f>
        <v>1.5699999999999998</v>
      </c>
      <c r="O274" s="20" t="str">
        <f t="shared" si="105"/>
        <v>OK</v>
      </c>
    </row>
    <row r="275" spans="1:15" x14ac:dyDescent="0.25">
      <c r="A275" s="93" t="s">
        <v>16</v>
      </c>
      <c r="B275" s="32">
        <v>1</v>
      </c>
      <c r="C275" s="36">
        <v>1113983</v>
      </c>
      <c r="D275" s="52">
        <v>45831</v>
      </c>
      <c r="E275" s="32" t="s">
        <v>15</v>
      </c>
      <c r="F275" s="32" t="s">
        <v>28</v>
      </c>
      <c r="G275" s="62" t="s">
        <v>50</v>
      </c>
      <c r="H275" s="63" t="s">
        <v>39</v>
      </c>
      <c r="I275" s="64">
        <v>2</v>
      </c>
      <c r="J275" s="40" t="s">
        <v>31</v>
      </c>
      <c r="K275" s="37">
        <v>41</v>
      </c>
      <c r="L275" s="17">
        <v>0.5</v>
      </c>
      <c r="M275" s="19">
        <v>1.43</v>
      </c>
      <c r="N275" s="22">
        <f>TREN01[[#This Row],[T]]-TREN01[[#This Row],[H]]</f>
        <v>0.92999999999999994</v>
      </c>
      <c r="O275" s="20" t="str">
        <f t="shared" si="105"/>
        <v>Seguimiento</v>
      </c>
    </row>
    <row r="276" spans="1:15" x14ac:dyDescent="0.25">
      <c r="A276" s="93" t="s">
        <v>16</v>
      </c>
      <c r="B276" s="32">
        <v>1</v>
      </c>
      <c r="C276" s="36">
        <v>1113983</v>
      </c>
      <c r="D276" s="52">
        <v>45831</v>
      </c>
      <c r="E276" s="32" t="s">
        <v>15</v>
      </c>
      <c r="F276" s="32" t="str">
        <f t="shared" ref="F276:I290" si="106">F275</f>
        <v>M20</v>
      </c>
      <c r="G276" s="62" t="str">
        <f t="shared" si="106"/>
        <v>003</v>
      </c>
      <c r="H276" s="63" t="str">
        <f t="shared" si="106"/>
        <v>C2</v>
      </c>
      <c r="I276" s="64">
        <f t="shared" si="106"/>
        <v>2</v>
      </c>
      <c r="J276" s="40" t="s">
        <v>32</v>
      </c>
      <c r="K276" s="37">
        <v>41</v>
      </c>
      <c r="L276" s="17">
        <v>0.45</v>
      </c>
      <c r="M276" s="19">
        <v>4.07</v>
      </c>
      <c r="N276" s="22">
        <f>TREN01[[#This Row],[T]]-TREN01[[#This Row],[H]]</f>
        <v>3.62</v>
      </c>
      <c r="O276" s="20" t="str">
        <f t="shared" si="105"/>
        <v>OK</v>
      </c>
    </row>
    <row r="277" spans="1:15" x14ac:dyDescent="0.25">
      <c r="A277" s="93" t="s">
        <v>16</v>
      </c>
      <c r="B277" s="32">
        <v>1</v>
      </c>
      <c r="C277" s="36">
        <v>1113983</v>
      </c>
      <c r="D277" s="52">
        <v>45831</v>
      </c>
      <c r="E277" s="32" t="s">
        <v>15</v>
      </c>
      <c r="F277" s="32" t="str">
        <f t="shared" si="106"/>
        <v>M20</v>
      </c>
      <c r="G277" s="62" t="str">
        <f t="shared" si="106"/>
        <v>003</v>
      </c>
      <c r="H277" s="63" t="str">
        <f t="shared" si="106"/>
        <v>C2</v>
      </c>
      <c r="I277" s="64">
        <f t="shared" si="106"/>
        <v>2</v>
      </c>
      <c r="J277" s="40" t="s">
        <v>33</v>
      </c>
      <c r="K277" s="37">
        <v>42</v>
      </c>
      <c r="L277" s="17">
        <v>0.57999999999999996</v>
      </c>
      <c r="M277" s="19">
        <v>4.38</v>
      </c>
      <c r="N277" s="22">
        <f>TREN01[[#This Row],[T]]-TREN01[[#This Row],[H]]</f>
        <v>3.8</v>
      </c>
      <c r="O277" s="20" t="str">
        <f t="shared" si="105"/>
        <v>OK</v>
      </c>
    </row>
    <row r="278" spans="1:15" x14ac:dyDescent="0.25">
      <c r="A278" s="93" t="s">
        <v>16</v>
      </c>
      <c r="B278" s="32">
        <v>1</v>
      </c>
      <c r="C278" s="36">
        <v>1113983</v>
      </c>
      <c r="D278" s="52">
        <v>45831</v>
      </c>
      <c r="E278" s="32" t="s">
        <v>15</v>
      </c>
      <c r="F278" s="32" t="str">
        <f t="shared" si="106"/>
        <v>M20</v>
      </c>
      <c r="G278" s="62" t="str">
        <f t="shared" si="106"/>
        <v>003</v>
      </c>
      <c r="H278" s="63" t="str">
        <f t="shared" si="106"/>
        <v>C2</v>
      </c>
      <c r="I278" s="64">
        <f t="shared" si="106"/>
        <v>2</v>
      </c>
      <c r="J278" s="40" t="s">
        <v>34</v>
      </c>
      <c r="K278" s="37">
        <v>42</v>
      </c>
      <c r="L278" s="17">
        <v>0.85</v>
      </c>
      <c r="M278" s="19">
        <v>1.47</v>
      </c>
      <c r="N278" s="22">
        <f>TREN01[[#This Row],[T]]-TREN01[[#This Row],[H]]</f>
        <v>0.62</v>
      </c>
      <c r="O278" s="20" t="str">
        <f t="shared" si="105"/>
        <v>Seguimiento</v>
      </c>
    </row>
    <row r="279" spans="1:15" x14ac:dyDescent="0.25">
      <c r="A279" s="93" t="s">
        <v>16</v>
      </c>
      <c r="B279" s="32">
        <v>1</v>
      </c>
      <c r="C279" s="36">
        <v>1113983</v>
      </c>
      <c r="D279" s="52">
        <v>45831</v>
      </c>
      <c r="E279" s="32" t="s">
        <v>15</v>
      </c>
      <c r="F279" s="32" t="str">
        <f t="shared" si="106"/>
        <v>M20</v>
      </c>
      <c r="G279" s="62" t="str">
        <f t="shared" si="106"/>
        <v>003</v>
      </c>
      <c r="H279" s="63" t="str">
        <f t="shared" si="106"/>
        <v>C2</v>
      </c>
      <c r="I279" s="64">
        <v>1</v>
      </c>
      <c r="J279" s="40" t="s">
        <v>35</v>
      </c>
      <c r="K279" s="37">
        <v>43</v>
      </c>
      <c r="L279" s="17">
        <v>0.49</v>
      </c>
      <c r="M279" s="19">
        <v>4.33</v>
      </c>
      <c r="N279" s="22">
        <f>TREN01[[#This Row],[T]]-TREN01[[#This Row],[H]]</f>
        <v>3.84</v>
      </c>
      <c r="O279" s="20" t="str">
        <f t="shared" si="105"/>
        <v>OK</v>
      </c>
    </row>
    <row r="280" spans="1:15" x14ac:dyDescent="0.25">
      <c r="A280" s="93" t="s">
        <v>16</v>
      </c>
      <c r="B280" s="32">
        <v>1</v>
      </c>
      <c r="C280" s="36">
        <v>1113983</v>
      </c>
      <c r="D280" s="52">
        <v>45831</v>
      </c>
      <c r="E280" s="32" t="s">
        <v>15</v>
      </c>
      <c r="F280" s="32" t="str">
        <f t="shared" si="106"/>
        <v>M20</v>
      </c>
      <c r="G280" s="62" t="str">
        <f t="shared" si="106"/>
        <v>003</v>
      </c>
      <c r="H280" s="63" t="str">
        <f t="shared" si="106"/>
        <v>C2</v>
      </c>
      <c r="I280" s="64">
        <f t="shared" si="106"/>
        <v>1</v>
      </c>
      <c r="J280" s="40" t="s">
        <v>36</v>
      </c>
      <c r="K280" s="37">
        <v>43</v>
      </c>
      <c r="L280" s="17">
        <v>0.1</v>
      </c>
      <c r="M280" s="19">
        <v>3.76</v>
      </c>
      <c r="N280" s="22">
        <f>TREN01[[#This Row],[T]]-TREN01[[#This Row],[H]]</f>
        <v>3.6599999999999997</v>
      </c>
      <c r="O280" s="20" t="str">
        <f t="shared" si="105"/>
        <v>OK</v>
      </c>
    </row>
    <row r="281" spans="1:15" x14ac:dyDescent="0.25">
      <c r="A281" s="93" t="s">
        <v>16</v>
      </c>
      <c r="B281" s="32">
        <v>1</v>
      </c>
      <c r="C281" s="36">
        <v>1113983</v>
      </c>
      <c r="D281" s="52">
        <v>45831</v>
      </c>
      <c r="E281" s="32" t="s">
        <v>15</v>
      </c>
      <c r="F281" s="32" t="str">
        <f t="shared" si="106"/>
        <v>M20</v>
      </c>
      <c r="G281" s="62" t="str">
        <f t="shared" si="106"/>
        <v>003</v>
      </c>
      <c r="H281" s="63" t="str">
        <f t="shared" si="106"/>
        <v>C2</v>
      </c>
      <c r="I281" s="64">
        <f t="shared" si="106"/>
        <v>1</v>
      </c>
      <c r="J281" s="40" t="s">
        <v>37</v>
      </c>
      <c r="K281" s="37">
        <v>44</v>
      </c>
      <c r="L281" s="17">
        <v>0.21</v>
      </c>
      <c r="M281" s="19">
        <v>3.6</v>
      </c>
      <c r="N281" s="22">
        <f>TREN01[[#This Row],[T]]-TREN01[[#This Row],[H]]</f>
        <v>3.39</v>
      </c>
      <c r="O281" s="20" t="str">
        <f t="shared" si="105"/>
        <v>OK</v>
      </c>
    </row>
    <row r="282" spans="1:15" x14ac:dyDescent="0.25">
      <c r="A282" s="93" t="s">
        <v>16</v>
      </c>
      <c r="B282" s="32">
        <v>1</v>
      </c>
      <c r="C282" s="36">
        <v>1113983</v>
      </c>
      <c r="D282" s="52">
        <v>45831</v>
      </c>
      <c r="E282" s="32" t="s">
        <v>15</v>
      </c>
      <c r="F282" s="32" t="str">
        <f t="shared" si="106"/>
        <v>M20</v>
      </c>
      <c r="G282" s="62" t="str">
        <f t="shared" si="106"/>
        <v>003</v>
      </c>
      <c r="H282" s="63" t="str">
        <f t="shared" si="106"/>
        <v>C2</v>
      </c>
      <c r="I282" s="64">
        <f t="shared" si="106"/>
        <v>1</v>
      </c>
      <c r="J282" s="40" t="s">
        <v>38</v>
      </c>
      <c r="K282" s="37">
        <v>44</v>
      </c>
      <c r="L282" s="17">
        <v>0.55000000000000004</v>
      </c>
      <c r="M282" s="19">
        <v>3.8</v>
      </c>
      <c r="N282" s="22">
        <f>TREN01[[#This Row],[T]]-TREN01[[#This Row],[H]]</f>
        <v>3.25</v>
      </c>
      <c r="O282" s="20" t="str">
        <f t="shared" si="105"/>
        <v>OK</v>
      </c>
    </row>
    <row r="283" spans="1:15" x14ac:dyDescent="0.25">
      <c r="A283" s="93" t="s">
        <v>16</v>
      </c>
      <c r="B283" s="32">
        <v>1</v>
      </c>
      <c r="C283" s="36">
        <v>1113983</v>
      </c>
      <c r="D283" s="52">
        <v>45831</v>
      </c>
      <c r="E283" s="32" t="s">
        <v>15</v>
      </c>
      <c r="F283" s="32" t="str">
        <f t="shared" si="106"/>
        <v>M20</v>
      </c>
      <c r="G283" s="62" t="str">
        <f t="shared" si="106"/>
        <v>003</v>
      </c>
      <c r="H283" s="63" t="s">
        <v>30</v>
      </c>
      <c r="I283" s="64">
        <v>2</v>
      </c>
      <c r="J283" s="40" t="s">
        <v>31</v>
      </c>
      <c r="K283" s="37">
        <v>45</v>
      </c>
      <c r="L283" s="17">
        <v>0.15</v>
      </c>
      <c r="M283" s="19">
        <v>4.7300000000000004</v>
      </c>
      <c r="N283" s="22">
        <f>TREN01[[#This Row],[T]]-TREN01[[#This Row],[H]]</f>
        <v>4.58</v>
      </c>
      <c r="O283" s="20" t="str">
        <f t="shared" si="105"/>
        <v>OK</v>
      </c>
    </row>
    <row r="284" spans="1:15" x14ac:dyDescent="0.25">
      <c r="A284" s="93" t="s">
        <v>16</v>
      </c>
      <c r="B284" s="32">
        <v>1</v>
      </c>
      <c r="C284" s="36">
        <v>1113983</v>
      </c>
      <c r="D284" s="52">
        <v>45831</v>
      </c>
      <c r="E284" s="32" t="s">
        <v>15</v>
      </c>
      <c r="F284" s="32" t="str">
        <f t="shared" si="106"/>
        <v>M20</v>
      </c>
      <c r="G284" s="62" t="str">
        <f t="shared" si="106"/>
        <v>003</v>
      </c>
      <c r="H284" s="63" t="str">
        <f t="shared" si="106"/>
        <v>C1</v>
      </c>
      <c r="I284" s="64">
        <f t="shared" si="106"/>
        <v>2</v>
      </c>
      <c r="J284" s="40" t="s">
        <v>32</v>
      </c>
      <c r="K284" s="37">
        <v>45</v>
      </c>
      <c r="L284" s="17">
        <v>0.1</v>
      </c>
      <c r="M284" s="19">
        <v>5.07</v>
      </c>
      <c r="N284" s="22">
        <f>TREN01[[#This Row],[T]]-TREN01[[#This Row],[H]]</f>
        <v>4.9700000000000006</v>
      </c>
      <c r="O284" s="20" t="str">
        <f t="shared" si="105"/>
        <v>OK</v>
      </c>
    </row>
    <row r="285" spans="1:15" x14ac:dyDescent="0.25">
      <c r="A285" s="93" t="s">
        <v>16</v>
      </c>
      <c r="B285" s="32">
        <v>1</v>
      </c>
      <c r="C285" s="36">
        <v>1113983</v>
      </c>
      <c r="D285" s="52">
        <v>45831</v>
      </c>
      <c r="E285" s="32" t="s">
        <v>15</v>
      </c>
      <c r="F285" s="32" t="str">
        <f t="shared" si="106"/>
        <v>M20</v>
      </c>
      <c r="G285" s="62" t="str">
        <f t="shared" si="106"/>
        <v>003</v>
      </c>
      <c r="H285" s="63" t="str">
        <f t="shared" si="106"/>
        <v>C1</v>
      </c>
      <c r="I285" s="64">
        <f t="shared" si="106"/>
        <v>2</v>
      </c>
      <c r="J285" s="40" t="s">
        <v>33</v>
      </c>
      <c r="K285" s="37">
        <v>46</v>
      </c>
      <c r="L285" s="17">
        <v>0.16</v>
      </c>
      <c r="M285" s="19">
        <v>2.5499999999999998</v>
      </c>
      <c r="N285" s="22">
        <f>TREN01[[#This Row],[T]]-TREN01[[#This Row],[H]]</f>
        <v>2.3899999999999997</v>
      </c>
      <c r="O285" s="20" t="str">
        <f t="shared" si="105"/>
        <v>OK</v>
      </c>
    </row>
    <row r="286" spans="1:15" x14ac:dyDescent="0.25">
      <c r="A286" s="93" t="s">
        <v>16</v>
      </c>
      <c r="B286" s="32">
        <v>1</v>
      </c>
      <c r="C286" s="36">
        <v>1113983</v>
      </c>
      <c r="D286" s="52">
        <v>45831</v>
      </c>
      <c r="E286" s="32" t="s">
        <v>15</v>
      </c>
      <c r="F286" s="32" t="str">
        <f t="shared" si="106"/>
        <v>M20</v>
      </c>
      <c r="G286" s="62" t="str">
        <f t="shared" si="106"/>
        <v>003</v>
      </c>
      <c r="H286" s="63" t="str">
        <f t="shared" si="106"/>
        <v>C1</v>
      </c>
      <c r="I286" s="64">
        <f t="shared" si="106"/>
        <v>2</v>
      </c>
      <c r="J286" s="40" t="s">
        <v>34</v>
      </c>
      <c r="K286" s="37">
        <v>46</v>
      </c>
      <c r="L286" s="17">
        <v>0.51</v>
      </c>
      <c r="M286" s="19">
        <v>1.06</v>
      </c>
      <c r="N286" s="22">
        <f>TREN01[[#This Row],[T]]-TREN01[[#This Row],[H]]</f>
        <v>0.55000000000000004</v>
      </c>
      <c r="O286" s="20" t="str">
        <f t="shared" si="105"/>
        <v>Seguimiento</v>
      </c>
    </row>
    <row r="287" spans="1:15" x14ac:dyDescent="0.25">
      <c r="A287" s="93" t="s">
        <v>16</v>
      </c>
      <c r="B287" s="32">
        <v>1</v>
      </c>
      <c r="C287" s="36">
        <v>1113983</v>
      </c>
      <c r="D287" s="52">
        <v>45831</v>
      </c>
      <c r="E287" s="32" t="s">
        <v>15</v>
      </c>
      <c r="F287" s="32" t="str">
        <f t="shared" si="106"/>
        <v>M20</v>
      </c>
      <c r="G287" s="62" t="str">
        <f t="shared" si="106"/>
        <v>003</v>
      </c>
      <c r="H287" s="63" t="str">
        <f t="shared" si="106"/>
        <v>C1</v>
      </c>
      <c r="I287" s="64">
        <v>1</v>
      </c>
      <c r="J287" s="40" t="s">
        <v>35</v>
      </c>
      <c r="K287" s="37">
        <v>47</v>
      </c>
      <c r="L287" s="17">
        <v>0.27</v>
      </c>
      <c r="M287" s="19">
        <v>1.59</v>
      </c>
      <c r="N287" s="22">
        <f>TREN01[[#This Row],[T]]-TREN01[[#This Row],[H]]</f>
        <v>1.32</v>
      </c>
      <c r="O287" s="20" t="str">
        <f t="shared" si="105"/>
        <v>OK</v>
      </c>
    </row>
    <row r="288" spans="1:15" x14ac:dyDescent="0.25">
      <c r="A288" s="93" t="s">
        <v>16</v>
      </c>
      <c r="B288" s="32">
        <v>1</v>
      </c>
      <c r="C288" s="36">
        <v>1113983</v>
      </c>
      <c r="D288" s="52">
        <v>45831</v>
      </c>
      <c r="E288" s="32" t="s">
        <v>15</v>
      </c>
      <c r="F288" s="32" t="str">
        <f t="shared" si="106"/>
        <v>M20</v>
      </c>
      <c r="G288" s="62" t="str">
        <f t="shared" si="106"/>
        <v>003</v>
      </c>
      <c r="H288" s="63" t="str">
        <f t="shared" si="106"/>
        <v>C1</v>
      </c>
      <c r="I288" s="64">
        <f t="shared" si="106"/>
        <v>1</v>
      </c>
      <c r="J288" s="40" t="s">
        <v>36</v>
      </c>
      <c r="K288" s="37">
        <v>47</v>
      </c>
      <c r="L288" s="17">
        <v>0.67</v>
      </c>
      <c r="M288" s="19">
        <v>4.7300000000000004</v>
      </c>
      <c r="N288" s="22">
        <f>TREN01[[#This Row],[T]]-TREN01[[#This Row],[H]]</f>
        <v>4.0600000000000005</v>
      </c>
      <c r="O288" s="20" t="str">
        <f t="shared" si="105"/>
        <v>OK</v>
      </c>
    </row>
    <row r="289" spans="1:15" x14ac:dyDescent="0.25">
      <c r="A289" s="96" t="s">
        <v>16</v>
      </c>
      <c r="B289" s="43">
        <v>1</v>
      </c>
      <c r="C289" s="42">
        <v>1113983</v>
      </c>
      <c r="D289" s="87">
        <v>45831</v>
      </c>
      <c r="E289" s="43" t="s">
        <v>15</v>
      </c>
      <c r="F289" s="43" t="str">
        <f t="shared" si="106"/>
        <v>M20</v>
      </c>
      <c r="G289" s="97" t="str">
        <f t="shared" si="106"/>
        <v>003</v>
      </c>
      <c r="H289" s="98" t="str">
        <f t="shared" si="106"/>
        <v>C1</v>
      </c>
      <c r="I289" s="99">
        <f t="shared" si="106"/>
        <v>1</v>
      </c>
      <c r="J289" s="100" t="s">
        <v>37</v>
      </c>
      <c r="K289" s="46">
        <v>48</v>
      </c>
      <c r="L289" s="23">
        <v>7.0000000000000007E-2</v>
      </c>
      <c r="M289" s="24">
        <v>5.0199999999999996</v>
      </c>
      <c r="N289" s="109">
        <f>TREN01[[#This Row],[T]]-TREN01[[#This Row],[H]]</f>
        <v>4.9499999999999993</v>
      </c>
      <c r="O289" s="20" t="str">
        <f t="shared" si="105"/>
        <v>OK</v>
      </c>
    </row>
    <row r="290" spans="1:15" x14ac:dyDescent="0.25">
      <c r="A290" s="54" t="s">
        <v>16</v>
      </c>
      <c r="B290" s="32">
        <v>1</v>
      </c>
      <c r="C290" s="32">
        <v>1113983</v>
      </c>
      <c r="D290" s="39">
        <v>45831</v>
      </c>
      <c r="E290" s="32" t="s">
        <v>15</v>
      </c>
      <c r="F290" s="32" t="str">
        <f t="shared" si="106"/>
        <v>M20</v>
      </c>
      <c r="G290" s="62" t="str">
        <f t="shared" si="106"/>
        <v>003</v>
      </c>
      <c r="H290" s="38" t="str">
        <f t="shared" si="106"/>
        <v>C1</v>
      </c>
      <c r="I290" s="38">
        <f t="shared" si="106"/>
        <v>1</v>
      </c>
      <c r="J290" s="37" t="s">
        <v>38</v>
      </c>
      <c r="K290" s="37">
        <v>48</v>
      </c>
      <c r="L290" s="26">
        <v>0.08</v>
      </c>
      <c r="M290" s="26">
        <v>5.14</v>
      </c>
      <c r="N290" s="29">
        <f>TREN01[[#This Row],[T]]-TREN01[[#This Row],[H]]</f>
        <v>5.0599999999999996</v>
      </c>
      <c r="O290" s="20" t="str">
        <f t="shared" si="105"/>
        <v>OK</v>
      </c>
    </row>
    <row r="291" spans="1:15" x14ac:dyDescent="0.25">
      <c r="A291" s="91" t="s">
        <v>16</v>
      </c>
      <c r="B291" s="32">
        <v>1</v>
      </c>
      <c r="C291" s="32">
        <v>1165744</v>
      </c>
      <c r="D291" s="39">
        <v>46129</v>
      </c>
      <c r="E291" s="32" t="s">
        <v>15</v>
      </c>
      <c r="F291" s="32" t="s">
        <v>28</v>
      </c>
      <c r="G291" s="62" t="s">
        <v>29</v>
      </c>
      <c r="H291" s="63" t="s">
        <v>30</v>
      </c>
      <c r="I291" s="64">
        <v>1</v>
      </c>
      <c r="J291" s="40" t="s">
        <v>31</v>
      </c>
      <c r="K291" s="114">
        <v>1</v>
      </c>
      <c r="L291" s="17">
        <v>0.14000000000000001</v>
      </c>
      <c r="M291" s="19">
        <v>4.8099999999999996</v>
      </c>
      <c r="N291" s="18">
        <f>TREN01[[#This Row],[T]]-TREN01[[#This Row],[H]]</f>
        <v>4.67</v>
      </c>
      <c r="O291" s="20" t="str">
        <f t="shared" si="105"/>
        <v>OK</v>
      </c>
    </row>
    <row r="292" spans="1:15" x14ac:dyDescent="0.25">
      <c r="A292" s="91" t="s">
        <v>16</v>
      </c>
      <c r="B292" s="32">
        <v>1</v>
      </c>
      <c r="C292" s="32">
        <v>1165744</v>
      </c>
      <c r="D292" s="39">
        <v>46129</v>
      </c>
      <c r="E292" s="32" t="s">
        <v>15</v>
      </c>
      <c r="F292" s="32" t="str">
        <f t="shared" ref="F292:I292" si="107">F291</f>
        <v>M20</v>
      </c>
      <c r="G292" s="62" t="str">
        <f t="shared" si="107"/>
        <v>001</v>
      </c>
      <c r="H292" s="63" t="str">
        <f t="shared" si="107"/>
        <v>C1</v>
      </c>
      <c r="I292" s="64">
        <f t="shared" si="107"/>
        <v>1</v>
      </c>
      <c r="J292" s="40" t="s">
        <v>32</v>
      </c>
      <c r="K292" s="115">
        <v>1</v>
      </c>
      <c r="L292" s="17">
        <v>0.12</v>
      </c>
      <c r="M292" s="19">
        <v>4.6399999999999997</v>
      </c>
      <c r="N292" s="22">
        <f>TREN01[[#This Row],[T]]-TREN01[[#This Row],[H]]</f>
        <v>4.5199999999999996</v>
      </c>
      <c r="O292" s="20" t="str">
        <f t="shared" si="105"/>
        <v>OK</v>
      </c>
    </row>
    <row r="293" spans="1:15" x14ac:dyDescent="0.25">
      <c r="A293" s="93" t="s">
        <v>16</v>
      </c>
      <c r="B293" s="32">
        <v>1</v>
      </c>
      <c r="C293" s="32">
        <v>1165744</v>
      </c>
      <c r="D293" s="39">
        <v>46129</v>
      </c>
      <c r="E293" s="32" t="s">
        <v>15</v>
      </c>
      <c r="F293" s="32" t="str">
        <f t="shared" ref="F293:I293" si="108">F292</f>
        <v>M20</v>
      </c>
      <c r="G293" s="62" t="str">
        <f t="shared" si="108"/>
        <v>001</v>
      </c>
      <c r="H293" s="63" t="str">
        <f t="shared" si="108"/>
        <v>C1</v>
      </c>
      <c r="I293" s="64">
        <f t="shared" si="108"/>
        <v>1</v>
      </c>
      <c r="J293" s="40" t="s">
        <v>33</v>
      </c>
      <c r="K293" s="115">
        <v>2</v>
      </c>
      <c r="L293" s="17">
        <v>0.67</v>
      </c>
      <c r="M293" s="19">
        <v>4.25</v>
      </c>
      <c r="N293" s="22">
        <f>TREN01[[#This Row],[T]]-TREN01[[#This Row],[H]]</f>
        <v>3.58</v>
      </c>
      <c r="O293" s="20" t="str">
        <f t="shared" si="105"/>
        <v>OK</v>
      </c>
    </row>
    <row r="294" spans="1:15" x14ac:dyDescent="0.25">
      <c r="A294" s="93" t="s">
        <v>16</v>
      </c>
      <c r="B294" s="32">
        <v>1</v>
      </c>
      <c r="C294" s="32">
        <v>1165744</v>
      </c>
      <c r="D294" s="39">
        <v>46129</v>
      </c>
      <c r="E294" s="32" t="s">
        <v>15</v>
      </c>
      <c r="F294" s="32" t="str">
        <f t="shared" ref="F294:I294" si="109">F293</f>
        <v>M20</v>
      </c>
      <c r="G294" s="62" t="str">
        <f t="shared" si="109"/>
        <v>001</v>
      </c>
      <c r="H294" s="63" t="str">
        <f t="shared" si="109"/>
        <v>C1</v>
      </c>
      <c r="I294" s="64">
        <f t="shared" si="109"/>
        <v>1</v>
      </c>
      <c r="J294" s="40" t="s">
        <v>34</v>
      </c>
      <c r="K294" s="115">
        <v>2</v>
      </c>
      <c r="L294" s="17">
        <v>0.3</v>
      </c>
      <c r="M294" s="19">
        <v>1.34</v>
      </c>
      <c r="N294" s="22">
        <f>TREN01[[#This Row],[T]]-TREN01[[#This Row],[H]]</f>
        <v>1.04</v>
      </c>
      <c r="O294" s="20" t="str">
        <f t="shared" si="105"/>
        <v>OK</v>
      </c>
    </row>
    <row r="295" spans="1:15" x14ac:dyDescent="0.25">
      <c r="A295" s="93" t="s">
        <v>16</v>
      </c>
      <c r="B295" s="32">
        <v>1</v>
      </c>
      <c r="C295" s="32">
        <v>1165744</v>
      </c>
      <c r="D295" s="39">
        <v>46129</v>
      </c>
      <c r="E295" s="32" t="s">
        <v>15</v>
      </c>
      <c r="F295" s="32" t="str">
        <f t="shared" ref="F295:H295" si="110">F294</f>
        <v>M20</v>
      </c>
      <c r="G295" s="62" t="str">
        <f t="shared" si="110"/>
        <v>001</v>
      </c>
      <c r="H295" s="63" t="str">
        <f t="shared" si="110"/>
        <v>C1</v>
      </c>
      <c r="I295" s="64">
        <v>2</v>
      </c>
      <c r="J295" s="40" t="s">
        <v>35</v>
      </c>
      <c r="K295" s="115">
        <v>3</v>
      </c>
      <c r="L295" s="17">
        <v>0.06</v>
      </c>
      <c r="M295" s="19">
        <v>5.0999999999999996</v>
      </c>
      <c r="N295" s="22">
        <f>TREN01[[#This Row],[T]]-TREN01[[#This Row],[H]]</f>
        <v>5.04</v>
      </c>
      <c r="O295" s="20" t="str">
        <f t="shared" si="105"/>
        <v>OK</v>
      </c>
    </row>
    <row r="296" spans="1:15" x14ac:dyDescent="0.25">
      <c r="A296" s="93" t="s">
        <v>16</v>
      </c>
      <c r="B296" s="32">
        <v>1</v>
      </c>
      <c r="C296" s="32">
        <v>1165744</v>
      </c>
      <c r="D296" s="39">
        <v>46129</v>
      </c>
      <c r="E296" s="32" t="s">
        <v>15</v>
      </c>
      <c r="F296" s="32" t="str">
        <f t="shared" ref="F296:I296" si="111">F295</f>
        <v>M20</v>
      </c>
      <c r="G296" s="62" t="str">
        <f t="shared" si="111"/>
        <v>001</v>
      </c>
      <c r="H296" s="63" t="str">
        <f t="shared" si="111"/>
        <v>C1</v>
      </c>
      <c r="I296" s="64">
        <f t="shared" si="111"/>
        <v>2</v>
      </c>
      <c r="J296" s="40" t="s">
        <v>36</v>
      </c>
      <c r="K296" s="115">
        <v>3</v>
      </c>
      <c r="L296" s="17">
        <v>0.15</v>
      </c>
      <c r="M296" s="19">
        <v>2.29</v>
      </c>
      <c r="N296" s="22">
        <f>TREN01[[#This Row],[T]]-TREN01[[#This Row],[H]]</f>
        <v>2.14</v>
      </c>
      <c r="O296" s="20" t="str">
        <f t="shared" si="105"/>
        <v>OK</v>
      </c>
    </row>
    <row r="297" spans="1:15" x14ac:dyDescent="0.25">
      <c r="A297" s="93" t="s">
        <v>16</v>
      </c>
      <c r="B297" s="32">
        <v>1</v>
      </c>
      <c r="C297" s="32">
        <v>1165744</v>
      </c>
      <c r="D297" s="39">
        <v>46129</v>
      </c>
      <c r="E297" s="32" t="s">
        <v>15</v>
      </c>
      <c r="F297" s="32" t="str">
        <f t="shared" ref="F297:I297" si="112">F296</f>
        <v>M20</v>
      </c>
      <c r="G297" s="62" t="str">
        <f t="shared" si="112"/>
        <v>001</v>
      </c>
      <c r="H297" s="63" t="str">
        <f t="shared" si="112"/>
        <v>C1</v>
      </c>
      <c r="I297" s="64">
        <f t="shared" si="112"/>
        <v>2</v>
      </c>
      <c r="J297" s="40" t="s">
        <v>37</v>
      </c>
      <c r="K297" s="115">
        <v>4</v>
      </c>
      <c r="L297" s="17">
        <v>0.06</v>
      </c>
      <c r="M297" s="19">
        <v>4.97</v>
      </c>
      <c r="N297" s="22">
        <f>TREN01[[#This Row],[T]]-TREN01[[#This Row],[H]]</f>
        <v>4.91</v>
      </c>
      <c r="O297" s="20" t="str">
        <f t="shared" si="105"/>
        <v>OK</v>
      </c>
    </row>
    <row r="298" spans="1:15" x14ac:dyDescent="0.25">
      <c r="A298" s="93" t="s">
        <v>16</v>
      </c>
      <c r="B298" s="32">
        <v>1</v>
      </c>
      <c r="C298" s="32">
        <v>1165744</v>
      </c>
      <c r="D298" s="39">
        <v>46129</v>
      </c>
      <c r="E298" s="32" t="s">
        <v>15</v>
      </c>
      <c r="F298" s="32" t="str">
        <f t="shared" ref="F298:I298" si="113">F297</f>
        <v>M20</v>
      </c>
      <c r="G298" s="62" t="str">
        <f t="shared" si="113"/>
        <v>001</v>
      </c>
      <c r="H298" s="63" t="str">
        <f t="shared" si="113"/>
        <v>C1</v>
      </c>
      <c r="I298" s="64">
        <f t="shared" si="113"/>
        <v>2</v>
      </c>
      <c r="J298" s="40" t="s">
        <v>38</v>
      </c>
      <c r="K298" s="115">
        <v>4</v>
      </c>
      <c r="L298" s="17">
        <v>0.21</v>
      </c>
      <c r="M298" s="19">
        <v>4.4800000000000004</v>
      </c>
      <c r="N298" s="22">
        <f>TREN01[[#This Row],[T]]-TREN01[[#This Row],[H]]</f>
        <v>4.2700000000000005</v>
      </c>
      <c r="O298" s="20" t="str">
        <f t="shared" si="105"/>
        <v>OK</v>
      </c>
    </row>
    <row r="299" spans="1:15" x14ac:dyDescent="0.25">
      <c r="A299" s="93" t="s">
        <v>16</v>
      </c>
      <c r="B299" s="32">
        <v>1</v>
      </c>
      <c r="C299" s="32">
        <v>1165744</v>
      </c>
      <c r="D299" s="39">
        <v>46129</v>
      </c>
      <c r="E299" s="32" t="s">
        <v>15</v>
      </c>
      <c r="F299" s="32" t="str">
        <f t="shared" ref="F299:G299" si="114">F298</f>
        <v>M20</v>
      </c>
      <c r="G299" s="62" t="str">
        <f t="shared" si="114"/>
        <v>001</v>
      </c>
      <c r="H299" s="63" t="s">
        <v>39</v>
      </c>
      <c r="I299" s="64">
        <v>1</v>
      </c>
      <c r="J299" s="40" t="s">
        <v>31</v>
      </c>
      <c r="K299" s="115">
        <v>5</v>
      </c>
      <c r="L299" s="17">
        <v>0.54</v>
      </c>
      <c r="M299" s="19">
        <v>3.82</v>
      </c>
      <c r="N299" s="22">
        <f>TREN01[[#This Row],[T]]-TREN01[[#This Row],[H]]</f>
        <v>3.28</v>
      </c>
      <c r="O299" s="20" t="str">
        <f t="shared" si="105"/>
        <v>OK</v>
      </c>
    </row>
    <row r="300" spans="1:15" x14ac:dyDescent="0.25">
      <c r="A300" s="93" t="s">
        <v>16</v>
      </c>
      <c r="B300" s="32">
        <v>1</v>
      </c>
      <c r="C300" s="32">
        <v>1165744</v>
      </c>
      <c r="D300" s="39">
        <v>46129</v>
      </c>
      <c r="E300" s="32" t="s">
        <v>15</v>
      </c>
      <c r="F300" s="32" t="str">
        <f t="shared" ref="F300:I300" si="115">F299</f>
        <v>M20</v>
      </c>
      <c r="G300" s="62" t="str">
        <f t="shared" si="115"/>
        <v>001</v>
      </c>
      <c r="H300" s="63" t="str">
        <f t="shared" si="115"/>
        <v>C2</v>
      </c>
      <c r="I300" s="64">
        <f t="shared" si="115"/>
        <v>1</v>
      </c>
      <c r="J300" s="40" t="s">
        <v>32</v>
      </c>
      <c r="K300" s="115">
        <v>5</v>
      </c>
      <c r="L300" s="17">
        <v>0.19</v>
      </c>
      <c r="M300" s="19">
        <v>3.34</v>
      </c>
      <c r="N300" s="22">
        <f>TREN01[[#This Row],[T]]-TREN01[[#This Row],[H]]</f>
        <v>3.15</v>
      </c>
      <c r="O300" s="20" t="str">
        <f t="shared" si="105"/>
        <v>OK</v>
      </c>
    </row>
    <row r="301" spans="1:15" x14ac:dyDescent="0.25">
      <c r="A301" s="93" t="s">
        <v>16</v>
      </c>
      <c r="B301" s="32">
        <v>1</v>
      </c>
      <c r="C301" s="32">
        <v>1165744</v>
      </c>
      <c r="D301" s="39">
        <v>46129</v>
      </c>
      <c r="E301" s="32" t="s">
        <v>15</v>
      </c>
      <c r="F301" s="32" t="str">
        <f t="shared" ref="F301:I301" si="116">F300</f>
        <v>M20</v>
      </c>
      <c r="G301" s="62" t="str">
        <f t="shared" si="116"/>
        <v>001</v>
      </c>
      <c r="H301" s="63" t="str">
        <f t="shared" si="116"/>
        <v>C2</v>
      </c>
      <c r="I301" s="64">
        <f t="shared" si="116"/>
        <v>1</v>
      </c>
      <c r="J301" s="40" t="s">
        <v>33</v>
      </c>
      <c r="K301" s="115">
        <v>6</v>
      </c>
      <c r="L301" s="17">
        <v>0.11</v>
      </c>
      <c r="M301" s="19">
        <v>3.06</v>
      </c>
      <c r="N301" s="22">
        <f>TREN01[[#This Row],[T]]-TREN01[[#This Row],[H]]</f>
        <v>2.95</v>
      </c>
      <c r="O301" s="20" t="str">
        <f t="shared" si="105"/>
        <v>OK</v>
      </c>
    </row>
    <row r="302" spans="1:15" x14ac:dyDescent="0.25">
      <c r="A302" s="93" t="s">
        <v>16</v>
      </c>
      <c r="B302" s="32">
        <v>1</v>
      </c>
      <c r="C302" s="32">
        <v>1165744</v>
      </c>
      <c r="D302" s="39">
        <v>46129</v>
      </c>
      <c r="E302" s="32" t="s">
        <v>15</v>
      </c>
      <c r="F302" s="32" t="str">
        <f t="shared" ref="F302:I302" si="117">F301</f>
        <v>M20</v>
      </c>
      <c r="G302" s="62" t="str">
        <f t="shared" si="117"/>
        <v>001</v>
      </c>
      <c r="H302" s="63" t="str">
        <f t="shared" si="117"/>
        <v>C2</v>
      </c>
      <c r="I302" s="64">
        <f t="shared" si="117"/>
        <v>1</v>
      </c>
      <c r="J302" s="40" t="s">
        <v>34</v>
      </c>
      <c r="K302" s="115">
        <v>6</v>
      </c>
      <c r="L302" s="17">
        <v>0.5</v>
      </c>
      <c r="M302" s="19">
        <v>4.28</v>
      </c>
      <c r="N302" s="22">
        <f>TREN01[[#This Row],[T]]-TREN01[[#This Row],[H]]</f>
        <v>3.7800000000000002</v>
      </c>
      <c r="O302" s="20" t="str">
        <f t="shared" si="105"/>
        <v>OK</v>
      </c>
    </row>
    <row r="303" spans="1:15" x14ac:dyDescent="0.25">
      <c r="A303" s="93" t="s">
        <v>16</v>
      </c>
      <c r="B303" s="32">
        <v>1</v>
      </c>
      <c r="C303" s="32">
        <v>1165744</v>
      </c>
      <c r="D303" s="39">
        <v>46129</v>
      </c>
      <c r="E303" s="32" t="s">
        <v>15</v>
      </c>
      <c r="F303" s="32" t="str">
        <f t="shared" ref="F303:H303" si="118">F302</f>
        <v>M20</v>
      </c>
      <c r="G303" s="62" t="str">
        <f t="shared" si="118"/>
        <v>001</v>
      </c>
      <c r="H303" s="63" t="str">
        <f t="shared" si="118"/>
        <v>C2</v>
      </c>
      <c r="I303" s="64">
        <v>2</v>
      </c>
      <c r="J303" s="40" t="s">
        <v>35</v>
      </c>
      <c r="K303" s="115">
        <v>7</v>
      </c>
      <c r="L303" s="17">
        <v>0.9</v>
      </c>
      <c r="M303" s="19">
        <v>1.8</v>
      </c>
      <c r="N303" s="22">
        <f>TREN01[[#This Row],[T]]-TREN01[[#This Row],[H]]</f>
        <v>0.9</v>
      </c>
      <c r="O303" s="20" t="str">
        <f t="shared" si="105"/>
        <v>Seguimiento</v>
      </c>
    </row>
    <row r="304" spans="1:15" x14ac:dyDescent="0.25">
      <c r="A304" s="93" t="s">
        <v>16</v>
      </c>
      <c r="B304" s="32">
        <v>1</v>
      </c>
      <c r="C304" s="32">
        <v>1165744</v>
      </c>
      <c r="D304" s="39">
        <v>46129</v>
      </c>
      <c r="E304" s="32" t="s">
        <v>15</v>
      </c>
      <c r="F304" s="32" t="str">
        <f t="shared" ref="F304:I304" si="119">F303</f>
        <v>M20</v>
      </c>
      <c r="G304" s="62" t="str">
        <f t="shared" si="119"/>
        <v>001</v>
      </c>
      <c r="H304" s="63" t="str">
        <f t="shared" si="119"/>
        <v>C2</v>
      </c>
      <c r="I304" s="64">
        <f t="shared" si="119"/>
        <v>2</v>
      </c>
      <c r="J304" s="40" t="s">
        <v>36</v>
      </c>
      <c r="K304" s="115">
        <v>7</v>
      </c>
      <c r="L304" s="17">
        <v>0.47</v>
      </c>
      <c r="M304" s="19">
        <v>3.83</v>
      </c>
      <c r="N304" s="22">
        <f>TREN01[[#This Row],[T]]-TREN01[[#This Row],[H]]</f>
        <v>3.3600000000000003</v>
      </c>
      <c r="O304" s="20" t="str">
        <f t="shared" si="105"/>
        <v>OK</v>
      </c>
    </row>
    <row r="305" spans="1:15" x14ac:dyDescent="0.25">
      <c r="A305" s="93" t="s">
        <v>16</v>
      </c>
      <c r="B305" s="32">
        <v>1</v>
      </c>
      <c r="C305" s="32">
        <v>1165744</v>
      </c>
      <c r="D305" s="39">
        <v>46129</v>
      </c>
      <c r="E305" s="32" t="s">
        <v>15</v>
      </c>
      <c r="F305" s="32" t="str">
        <f t="shared" ref="F305:I305" si="120">F304</f>
        <v>M20</v>
      </c>
      <c r="G305" s="62" t="str">
        <f t="shared" si="120"/>
        <v>001</v>
      </c>
      <c r="H305" s="63" t="str">
        <f t="shared" si="120"/>
        <v>C2</v>
      </c>
      <c r="I305" s="64">
        <f t="shared" si="120"/>
        <v>2</v>
      </c>
      <c r="J305" s="40" t="s">
        <v>37</v>
      </c>
      <c r="K305" s="115">
        <v>8</v>
      </c>
      <c r="L305" s="17">
        <v>0.46</v>
      </c>
      <c r="M305" s="19">
        <v>3.5</v>
      </c>
      <c r="N305" s="22">
        <f>TREN01[[#This Row],[T]]-TREN01[[#This Row],[H]]</f>
        <v>3.04</v>
      </c>
      <c r="O305" s="20" t="str">
        <f t="shared" si="105"/>
        <v>OK</v>
      </c>
    </row>
    <row r="306" spans="1:15" x14ac:dyDescent="0.25">
      <c r="A306" s="93" t="s">
        <v>16</v>
      </c>
      <c r="B306" s="32">
        <v>1</v>
      </c>
      <c r="C306" s="32">
        <v>1165744</v>
      </c>
      <c r="D306" s="39">
        <v>46129</v>
      </c>
      <c r="E306" s="32" t="s">
        <v>15</v>
      </c>
      <c r="F306" s="32" t="str">
        <f t="shared" ref="F306:I306" si="121">F305</f>
        <v>M20</v>
      </c>
      <c r="G306" s="62" t="str">
        <f t="shared" si="121"/>
        <v>001</v>
      </c>
      <c r="H306" s="63" t="str">
        <f t="shared" si="121"/>
        <v>C2</v>
      </c>
      <c r="I306" s="64">
        <f t="shared" si="121"/>
        <v>2</v>
      </c>
      <c r="J306" s="40" t="s">
        <v>38</v>
      </c>
      <c r="K306" s="115">
        <v>8</v>
      </c>
      <c r="L306" s="17">
        <v>0.53</v>
      </c>
      <c r="M306" s="19">
        <v>1.24</v>
      </c>
      <c r="N306" s="22">
        <f>TREN01[[#This Row],[T]]-TREN01[[#This Row],[H]]</f>
        <v>0.71</v>
      </c>
      <c r="O306" s="20" t="str">
        <f t="shared" si="105"/>
        <v>Seguimiento</v>
      </c>
    </row>
    <row r="307" spans="1:15" x14ac:dyDescent="0.25">
      <c r="A307" s="93" t="s">
        <v>16</v>
      </c>
      <c r="B307" s="32">
        <v>1</v>
      </c>
      <c r="C307" s="32">
        <v>1165744</v>
      </c>
      <c r="D307" s="39">
        <v>46129</v>
      </c>
      <c r="E307" s="32" t="s">
        <v>15</v>
      </c>
      <c r="F307" s="32" t="s">
        <v>40</v>
      </c>
      <c r="G307" s="62" t="s">
        <v>41</v>
      </c>
      <c r="H307" s="63" t="s">
        <v>42</v>
      </c>
      <c r="I307" s="64">
        <v>1</v>
      </c>
      <c r="J307" s="40" t="s">
        <v>31</v>
      </c>
      <c r="K307" s="115">
        <v>9</v>
      </c>
      <c r="L307" s="17">
        <v>0.3</v>
      </c>
      <c r="M307" s="19">
        <v>1.86</v>
      </c>
      <c r="N307" s="22">
        <f>TREN01[[#This Row],[T]]-TREN01[[#This Row],[H]]</f>
        <v>1.56</v>
      </c>
      <c r="O307" s="20" t="str">
        <f t="shared" si="105"/>
        <v>OK</v>
      </c>
    </row>
    <row r="308" spans="1:15" x14ac:dyDescent="0.25">
      <c r="A308" s="93" t="s">
        <v>16</v>
      </c>
      <c r="B308" s="32">
        <v>1</v>
      </c>
      <c r="C308" s="32">
        <v>1165744</v>
      </c>
      <c r="D308" s="39">
        <v>46129</v>
      </c>
      <c r="E308" s="32" t="s">
        <v>15</v>
      </c>
      <c r="F308" s="32" t="str">
        <f t="shared" ref="F308:I308" si="122">F307</f>
        <v>M21</v>
      </c>
      <c r="G308" s="62" t="str">
        <f t="shared" si="122"/>
        <v>002</v>
      </c>
      <c r="H308" s="63" t="str">
        <f t="shared" si="122"/>
        <v>C3</v>
      </c>
      <c r="I308" s="64">
        <f t="shared" si="122"/>
        <v>1</v>
      </c>
      <c r="J308" s="40" t="s">
        <v>32</v>
      </c>
      <c r="K308" s="115">
        <v>9</v>
      </c>
      <c r="L308" s="17">
        <v>0.37</v>
      </c>
      <c r="M308" s="19">
        <v>2.4900000000000002</v>
      </c>
      <c r="N308" s="22">
        <f>TREN01[[#This Row],[T]]-TREN01[[#This Row],[H]]</f>
        <v>2.12</v>
      </c>
      <c r="O308" s="20" t="str">
        <f t="shared" si="105"/>
        <v>OK</v>
      </c>
    </row>
    <row r="309" spans="1:15" x14ac:dyDescent="0.25">
      <c r="A309" s="93" t="s">
        <v>16</v>
      </c>
      <c r="B309" s="32">
        <v>1</v>
      </c>
      <c r="C309" s="32">
        <v>1165744</v>
      </c>
      <c r="D309" s="39">
        <v>46129</v>
      </c>
      <c r="E309" s="32" t="s">
        <v>15</v>
      </c>
      <c r="F309" s="32" t="str">
        <f t="shared" ref="F309:I309" si="123">F308</f>
        <v>M21</v>
      </c>
      <c r="G309" s="62" t="str">
        <f t="shared" si="123"/>
        <v>002</v>
      </c>
      <c r="H309" s="63" t="str">
        <f t="shared" si="123"/>
        <v>C3</v>
      </c>
      <c r="I309" s="64">
        <f t="shared" si="123"/>
        <v>1</v>
      </c>
      <c r="J309" s="40" t="s">
        <v>33</v>
      </c>
      <c r="K309" s="115">
        <v>10</v>
      </c>
      <c r="L309" s="17">
        <v>0.52</v>
      </c>
      <c r="M309" s="19">
        <v>2.89</v>
      </c>
      <c r="N309" s="22">
        <f>TREN01[[#This Row],[T]]-TREN01[[#This Row],[H]]</f>
        <v>2.37</v>
      </c>
      <c r="O309" s="20" t="str">
        <f t="shared" si="105"/>
        <v>OK</v>
      </c>
    </row>
    <row r="310" spans="1:15" x14ac:dyDescent="0.25">
      <c r="A310" s="93" t="s">
        <v>16</v>
      </c>
      <c r="B310" s="32">
        <v>1</v>
      </c>
      <c r="C310" s="32">
        <v>1165744</v>
      </c>
      <c r="D310" s="39">
        <v>46129</v>
      </c>
      <c r="E310" s="32" t="s">
        <v>15</v>
      </c>
      <c r="F310" s="32" t="str">
        <f t="shared" ref="F310:I310" si="124">F309</f>
        <v>M21</v>
      </c>
      <c r="G310" s="62" t="str">
        <f t="shared" si="124"/>
        <v>002</v>
      </c>
      <c r="H310" s="63" t="str">
        <f t="shared" si="124"/>
        <v>C3</v>
      </c>
      <c r="I310" s="64">
        <f t="shared" si="124"/>
        <v>1</v>
      </c>
      <c r="J310" s="40" t="s">
        <v>34</v>
      </c>
      <c r="K310" s="115">
        <v>10</v>
      </c>
      <c r="L310" s="17">
        <v>0.44</v>
      </c>
      <c r="M310" s="19">
        <v>2.68</v>
      </c>
      <c r="N310" s="22">
        <f>TREN01[[#This Row],[T]]-TREN01[[#This Row],[H]]</f>
        <v>2.2400000000000002</v>
      </c>
      <c r="O310" s="20" t="str">
        <f t="shared" si="105"/>
        <v>OK</v>
      </c>
    </row>
    <row r="311" spans="1:15" x14ac:dyDescent="0.25">
      <c r="A311" s="93" t="s">
        <v>16</v>
      </c>
      <c r="B311" s="32">
        <v>1</v>
      </c>
      <c r="C311" s="32">
        <v>1165744</v>
      </c>
      <c r="D311" s="39">
        <v>46129</v>
      </c>
      <c r="E311" s="32" t="s">
        <v>15</v>
      </c>
      <c r="F311" s="32" t="str">
        <f t="shared" ref="F311:H311" si="125">F310</f>
        <v>M21</v>
      </c>
      <c r="G311" s="62" t="str">
        <f t="shared" si="125"/>
        <v>002</v>
      </c>
      <c r="H311" s="63" t="str">
        <f t="shared" si="125"/>
        <v>C3</v>
      </c>
      <c r="I311" s="64">
        <v>2</v>
      </c>
      <c r="J311" s="40" t="s">
        <v>35</v>
      </c>
      <c r="K311" s="115">
        <v>11</v>
      </c>
      <c r="L311" s="17">
        <v>0.93</v>
      </c>
      <c r="M311" s="19">
        <v>4.42</v>
      </c>
      <c r="N311" s="22">
        <f>TREN01[[#This Row],[T]]-TREN01[[#This Row],[H]]</f>
        <v>3.4899999999999998</v>
      </c>
      <c r="O311" s="20" t="str">
        <f t="shared" si="105"/>
        <v>OK</v>
      </c>
    </row>
    <row r="312" spans="1:15" x14ac:dyDescent="0.25">
      <c r="A312" s="93" t="s">
        <v>16</v>
      </c>
      <c r="B312" s="32">
        <v>1</v>
      </c>
      <c r="C312" s="32">
        <v>1165744</v>
      </c>
      <c r="D312" s="39">
        <v>46129</v>
      </c>
      <c r="E312" s="32" t="s">
        <v>15</v>
      </c>
      <c r="F312" s="32" t="str">
        <f t="shared" ref="F312:I312" si="126">F311</f>
        <v>M21</v>
      </c>
      <c r="G312" s="62" t="str">
        <f t="shared" si="126"/>
        <v>002</v>
      </c>
      <c r="H312" s="63" t="str">
        <f t="shared" si="126"/>
        <v>C3</v>
      </c>
      <c r="I312" s="64">
        <f t="shared" si="126"/>
        <v>2</v>
      </c>
      <c r="J312" s="40" t="s">
        <v>36</v>
      </c>
      <c r="K312" s="115">
        <v>11</v>
      </c>
      <c r="L312" s="17">
        <v>0.15</v>
      </c>
      <c r="M312" s="19">
        <v>1.1399999999999999</v>
      </c>
      <c r="N312" s="22">
        <f>TREN01[[#This Row],[T]]-TREN01[[#This Row],[H]]</f>
        <v>0.98999999999999988</v>
      </c>
      <c r="O312" s="20" t="str">
        <f t="shared" si="105"/>
        <v>Seguimiento</v>
      </c>
    </row>
    <row r="313" spans="1:15" x14ac:dyDescent="0.25">
      <c r="A313" s="93" t="s">
        <v>16</v>
      </c>
      <c r="B313" s="32">
        <v>1</v>
      </c>
      <c r="C313" s="32">
        <v>1165744</v>
      </c>
      <c r="D313" s="39">
        <v>46129</v>
      </c>
      <c r="E313" s="32" t="s">
        <v>15</v>
      </c>
      <c r="F313" s="32" t="str">
        <f t="shared" ref="F313:I313" si="127">F312</f>
        <v>M21</v>
      </c>
      <c r="G313" s="62" t="str">
        <f t="shared" si="127"/>
        <v>002</v>
      </c>
      <c r="H313" s="63" t="str">
        <f t="shared" si="127"/>
        <v>C3</v>
      </c>
      <c r="I313" s="64">
        <f t="shared" si="127"/>
        <v>2</v>
      </c>
      <c r="J313" s="40" t="s">
        <v>37</v>
      </c>
      <c r="K313" s="115">
        <v>12</v>
      </c>
      <c r="L313" s="17">
        <v>0.35</v>
      </c>
      <c r="M313" s="19">
        <v>2.21</v>
      </c>
      <c r="N313" s="22">
        <f>TREN01[[#This Row],[T]]-TREN01[[#This Row],[H]]</f>
        <v>1.8599999999999999</v>
      </c>
      <c r="O313" s="20" t="str">
        <f t="shared" si="105"/>
        <v>OK</v>
      </c>
    </row>
    <row r="314" spans="1:15" x14ac:dyDescent="0.25">
      <c r="A314" s="93" t="s">
        <v>16</v>
      </c>
      <c r="B314" s="32">
        <v>1</v>
      </c>
      <c r="C314" s="32">
        <v>1165744</v>
      </c>
      <c r="D314" s="39">
        <v>46129</v>
      </c>
      <c r="E314" s="32" t="s">
        <v>15</v>
      </c>
      <c r="F314" s="32" t="str">
        <f t="shared" ref="F314:I314" si="128">F313</f>
        <v>M21</v>
      </c>
      <c r="G314" s="62" t="str">
        <f t="shared" si="128"/>
        <v>002</v>
      </c>
      <c r="H314" s="63" t="str">
        <f t="shared" si="128"/>
        <v>C3</v>
      </c>
      <c r="I314" s="64">
        <f t="shared" si="128"/>
        <v>2</v>
      </c>
      <c r="J314" s="40" t="s">
        <v>38</v>
      </c>
      <c r="K314" s="115">
        <v>12</v>
      </c>
      <c r="L314" s="17">
        <v>0.82</v>
      </c>
      <c r="M314" s="19">
        <v>3.38</v>
      </c>
      <c r="N314" s="22">
        <f>TREN01[[#This Row],[T]]-TREN01[[#This Row],[H]]</f>
        <v>2.56</v>
      </c>
      <c r="O314" s="20" t="str">
        <f t="shared" si="105"/>
        <v>OK</v>
      </c>
    </row>
    <row r="315" spans="1:15" x14ac:dyDescent="0.25">
      <c r="A315" s="93" t="s">
        <v>16</v>
      </c>
      <c r="B315" s="32">
        <v>1</v>
      </c>
      <c r="C315" s="32">
        <v>1165744</v>
      </c>
      <c r="D315" s="39">
        <v>46129</v>
      </c>
      <c r="E315" s="32" t="s">
        <v>15</v>
      </c>
      <c r="F315" s="32" t="str">
        <f t="shared" ref="F315:G315" si="129">F314</f>
        <v>M21</v>
      </c>
      <c r="G315" s="62" t="str">
        <f t="shared" si="129"/>
        <v>002</v>
      </c>
      <c r="H315" s="63" t="s">
        <v>43</v>
      </c>
      <c r="I315" s="64">
        <v>1</v>
      </c>
      <c r="J315" s="40" t="s">
        <v>31</v>
      </c>
      <c r="K315" s="115">
        <v>13</v>
      </c>
      <c r="L315" s="17">
        <v>0.18</v>
      </c>
      <c r="M315" s="19">
        <v>4.8</v>
      </c>
      <c r="N315" s="22">
        <f>TREN01[[#This Row],[T]]-TREN01[[#This Row],[H]]</f>
        <v>4.62</v>
      </c>
      <c r="O315" s="20" t="str">
        <f t="shared" si="105"/>
        <v>OK</v>
      </c>
    </row>
    <row r="316" spans="1:15" x14ac:dyDescent="0.25">
      <c r="A316" s="93" t="s">
        <v>16</v>
      </c>
      <c r="B316" s="32">
        <v>1</v>
      </c>
      <c r="C316" s="32">
        <v>1165744</v>
      </c>
      <c r="D316" s="39">
        <v>46129</v>
      </c>
      <c r="E316" s="32" t="s">
        <v>15</v>
      </c>
      <c r="F316" s="32" t="str">
        <f t="shared" ref="F316:I316" si="130">F315</f>
        <v>M21</v>
      </c>
      <c r="G316" s="62" t="str">
        <f t="shared" si="130"/>
        <v>002</v>
      </c>
      <c r="H316" s="63" t="str">
        <f t="shared" si="130"/>
        <v>C4</v>
      </c>
      <c r="I316" s="64">
        <f t="shared" si="130"/>
        <v>1</v>
      </c>
      <c r="J316" s="40" t="s">
        <v>32</v>
      </c>
      <c r="K316" s="115">
        <v>13</v>
      </c>
      <c r="L316" s="17">
        <v>0.16</v>
      </c>
      <c r="M316" s="19">
        <v>1.44</v>
      </c>
      <c r="N316" s="22">
        <f>TREN01[[#This Row],[T]]-TREN01[[#This Row],[H]]</f>
        <v>1.28</v>
      </c>
      <c r="O316" s="20" t="str">
        <f t="shared" si="105"/>
        <v>OK</v>
      </c>
    </row>
    <row r="317" spans="1:15" x14ac:dyDescent="0.25">
      <c r="A317" s="93" t="s">
        <v>16</v>
      </c>
      <c r="B317" s="32">
        <v>1</v>
      </c>
      <c r="C317" s="32">
        <v>1165744</v>
      </c>
      <c r="D317" s="39">
        <v>46129</v>
      </c>
      <c r="E317" s="32" t="s">
        <v>15</v>
      </c>
      <c r="F317" s="32" t="str">
        <f t="shared" ref="F317:I317" si="131">F316</f>
        <v>M21</v>
      </c>
      <c r="G317" s="62" t="str">
        <f t="shared" si="131"/>
        <v>002</v>
      </c>
      <c r="H317" s="63" t="str">
        <f t="shared" si="131"/>
        <v>C4</v>
      </c>
      <c r="I317" s="64">
        <f t="shared" si="131"/>
        <v>1</v>
      </c>
      <c r="J317" s="40" t="s">
        <v>33</v>
      </c>
      <c r="K317" s="115">
        <v>14</v>
      </c>
      <c r="L317" s="17">
        <v>0.26</v>
      </c>
      <c r="M317" s="19">
        <v>1.1100000000000001</v>
      </c>
      <c r="N317" s="22">
        <f>TREN01[[#This Row],[T]]-TREN01[[#This Row],[H]]</f>
        <v>0.85000000000000009</v>
      </c>
      <c r="O317" s="20" t="str">
        <f t="shared" si="105"/>
        <v>Seguimiento</v>
      </c>
    </row>
    <row r="318" spans="1:15" x14ac:dyDescent="0.25">
      <c r="A318" s="93" t="s">
        <v>16</v>
      </c>
      <c r="B318" s="32">
        <v>1</v>
      </c>
      <c r="C318" s="32">
        <v>1165744</v>
      </c>
      <c r="D318" s="39">
        <v>46129</v>
      </c>
      <c r="E318" s="32" t="s">
        <v>15</v>
      </c>
      <c r="F318" s="32" t="str">
        <f t="shared" ref="F318:I318" si="132">F317</f>
        <v>M21</v>
      </c>
      <c r="G318" s="62" t="str">
        <f t="shared" si="132"/>
        <v>002</v>
      </c>
      <c r="H318" s="63" t="str">
        <f t="shared" si="132"/>
        <v>C4</v>
      </c>
      <c r="I318" s="64">
        <f t="shared" si="132"/>
        <v>1</v>
      </c>
      <c r="J318" s="40" t="s">
        <v>34</v>
      </c>
      <c r="K318" s="115">
        <v>14</v>
      </c>
      <c r="L318" s="17">
        <v>0.26</v>
      </c>
      <c r="M318" s="19">
        <v>2.0499999999999998</v>
      </c>
      <c r="N318" s="22">
        <f>TREN01[[#This Row],[T]]-TREN01[[#This Row],[H]]</f>
        <v>1.7899999999999998</v>
      </c>
      <c r="O318" s="20" t="str">
        <f t="shared" si="105"/>
        <v>OK</v>
      </c>
    </row>
    <row r="319" spans="1:15" x14ac:dyDescent="0.25">
      <c r="A319" s="93" t="s">
        <v>16</v>
      </c>
      <c r="B319" s="32">
        <v>1</v>
      </c>
      <c r="C319" s="32">
        <v>1165744</v>
      </c>
      <c r="D319" s="39">
        <v>46129</v>
      </c>
      <c r="E319" s="32" t="s">
        <v>15</v>
      </c>
      <c r="F319" s="32" t="str">
        <f t="shared" ref="F319:H319" si="133">F318</f>
        <v>M21</v>
      </c>
      <c r="G319" s="62" t="str">
        <f t="shared" si="133"/>
        <v>002</v>
      </c>
      <c r="H319" s="63" t="str">
        <f t="shared" si="133"/>
        <v>C4</v>
      </c>
      <c r="I319" s="64">
        <v>2</v>
      </c>
      <c r="J319" s="40" t="s">
        <v>35</v>
      </c>
      <c r="K319" s="115">
        <v>15</v>
      </c>
      <c r="L319" s="17">
        <v>0.75</v>
      </c>
      <c r="M319" s="19">
        <v>2.13</v>
      </c>
      <c r="N319" s="22">
        <f>TREN01[[#This Row],[T]]-TREN01[[#This Row],[H]]</f>
        <v>1.38</v>
      </c>
      <c r="O319" s="20" t="str">
        <f t="shared" si="105"/>
        <v>OK</v>
      </c>
    </row>
    <row r="320" spans="1:15" x14ac:dyDescent="0.25">
      <c r="A320" s="93" t="s">
        <v>16</v>
      </c>
      <c r="B320" s="32">
        <v>1</v>
      </c>
      <c r="C320" s="32">
        <v>1165744</v>
      </c>
      <c r="D320" s="39">
        <v>46129</v>
      </c>
      <c r="E320" s="32" t="s">
        <v>15</v>
      </c>
      <c r="F320" s="32" t="str">
        <f t="shared" ref="F320:I320" si="134">F319</f>
        <v>M21</v>
      </c>
      <c r="G320" s="62" t="str">
        <f t="shared" si="134"/>
        <v>002</v>
      </c>
      <c r="H320" s="63" t="str">
        <f t="shared" si="134"/>
        <v>C4</v>
      </c>
      <c r="I320" s="64">
        <f t="shared" si="134"/>
        <v>2</v>
      </c>
      <c r="J320" s="40" t="s">
        <v>36</v>
      </c>
      <c r="K320" s="115">
        <v>15</v>
      </c>
      <c r="L320" s="17">
        <v>7.0000000000000007E-2</v>
      </c>
      <c r="M320" s="19">
        <v>4.84</v>
      </c>
      <c r="N320" s="22">
        <f>TREN01[[#This Row],[T]]-TREN01[[#This Row],[H]]</f>
        <v>4.7699999999999996</v>
      </c>
      <c r="O320" s="20" t="str">
        <f t="shared" si="105"/>
        <v>OK</v>
      </c>
    </row>
    <row r="321" spans="1:15" x14ac:dyDescent="0.25">
      <c r="A321" s="93" t="s">
        <v>16</v>
      </c>
      <c r="B321" s="32">
        <v>1</v>
      </c>
      <c r="C321" s="32">
        <v>1165744</v>
      </c>
      <c r="D321" s="39">
        <v>46129</v>
      </c>
      <c r="E321" s="32" t="s">
        <v>15</v>
      </c>
      <c r="F321" s="32" t="str">
        <f t="shared" ref="F321:I321" si="135">F320</f>
        <v>M21</v>
      </c>
      <c r="G321" s="62" t="str">
        <f t="shared" si="135"/>
        <v>002</v>
      </c>
      <c r="H321" s="63" t="str">
        <f t="shared" si="135"/>
        <v>C4</v>
      </c>
      <c r="I321" s="64">
        <f t="shared" si="135"/>
        <v>2</v>
      </c>
      <c r="J321" s="40" t="s">
        <v>37</v>
      </c>
      <c r="K321" s="115">
        <v>16</v>
      </c>
      <c r="L321" s="17">
        <v>0.52</v>
      </c>
      <c r="M321" s="19">
        <v>1.47</v>
      </c>
      <c r="N321" s="22">
        <f>TREN01[[#This Row],[T]]-TREN01[[#This Row],[H]]</f>
        <v>0.95</v>
      </c>
      <c r="O321" s="20" t="str">
        <f t="shared" si="105"/>
        <v>Seguimiento</v>
      </c>
    </row>
    <row r="322" spans="1:15" x14ac:dyDescent="0.25">
      <c r="A322" s="93" t="s">
        <v>16</v>
      </c>
      <c r="B322" s="32">
        <v>1</v>
      </c>
      <c r="C322" s="32">
        <v>1165744</v>
      </c>
      <c r="D322" s="39">
        <v>46129</v>
      </c>
      <c r="E322" s="32" t="s">
        <v>15</v>
      </c>
      <c r="F322" s="32" t="str">
        <f t="shared" ref="F322:I322" si="136">F321</f>
        <v>M21</v>
      </c>
      <c r="G322" s="62" t="str">
        <f t="shared" si="136"/>
        <v>002</v>
      </c>
      <c r="H322" s="63" t="str">
        <f t="shared" si="136"/>
        <v>C4</v>
      </c>
      <c r="I322" s="64">
        <f t="shared" si="136"/>
        <v>2</v>
      </c>
      <c r="J322" s="40" t="s">
        <v>38</v>
      </c>
      <c r="K322" s="115">
        <v>16</v>
      </c>
      <c r="L322" s="17">
        <v>0.6</v>
      </c>
      <c r="M322" s="19">
        <v>1.54</v>
      </c>
      <c r="N322" s="22">
        <f>TREN01[[#This Row],[T]]-TREN01[[#This Row],[H]]</f>
        <v>0.94000000000000006</v>
      </c>
      <c r="O322" s="20" t="str">
        <f t="shared" si="105"/>
        <v>Seguimiento</v>
      </c>
    </row>
    <row r="323" spans="1:15" x14ac:dyDescent="0.25">
      <c r="A323" s="93" t="s">
        <v>16</v>
      </c>
      <c r="B323" s="32">
        <v>1</v>
      </c>
      <c r="C323" s="32">
        <v>1165744</v>
      </c>
      <c r="D323" s="39">
        <v>46129</v>
      </c>
      <c r="E323" s="32" t="s">
        <v>15</v>
      </c>
      <c r="F323" s="32" t="s">
        <v>44</v>
      </c>
      <c r="G323" s="62" t="s">
        <v>45</v>
      </c>
      <c r="H323" s="63" t="s">
        <v>46</v>
      </c>
      <c r="I323" s="64">
        <v>1</v>
      </c>
      <c r="J323" s="40" t="s">
        <v>31</v>
      </c>
      <c r="K323" s="115">
        <v>17</v>
      </c>
      <c r="L323" s="17">
        <v>0.56999999999999995</v>
      </c>
      <c r="M323" s="19">
        <v>1.9</v>
      </c>
      <c r="N323" s="22">
        <f>TREN01[[#This Row],[T]]-TREN01[[#This Row],[H]]</f>
        <v>1.33</v>
      </c>
      <c r="O323" s="20" t="str">
        <f t="shared" si="105"/>
        <v>OK</v>
      </c>
    </row>
    <row r="324" spans="1:15" x14ac:dyDescent="0.25">
      <c r="A324" s="93" t="s">
        <v>16</v>
      </c>
      <c r="B324" s="32">
        <v>1</v>
      </c>
      <c r="C324" s="32">
        <v>1165744</v>
      </c>
      <c r="D324" s="39">
        <v>46129</v>
      </c>
      <c r="E324" s="32" t="s">
        <v>15</v>
      </c>
      <c r="F324" s="32" t="str">
        <f t="shared" ref="F324:I324" si="137">F323</f>
        <v>M22</v>
      </c>
      <c r="G324" s="62" t="str">
        <f t="shared" si="137"/>
        <v>302</v>
      </c>
      <c r="H324" s="63" t="str">
        <f t="shared" si="137"/>
        <v>C5</v>
      </c>
      <c r="I324" s="64">
        <f t="shared" si="137"/>
        <v>1</v>
      </c>
      <c r="J324" s="40" t="s">
        <v>32</v>
      </c>
      <c r="K324" s="115">
        <v>17</v>
      </c>
      <c r="L324" s="17">
        <v>1.27</v>
      </c>
      <c r="M324" s="19">
        <v>2.56</v>
      </c>
      <c r="N324" s="22">
        <f>TREN01[[#This Row],[T]]-TREN01[[#This Row],[H]]</f>
        <v>1.29</v>
      </c>
      <c r="O324" s="20" t="str">
        <f t="shared" ref="O324:O387" si="138">IF(N324&lt;=0,"Critico",IF(N324&lt;=0.2,"Cambio",IF(N324&lt;=1,"Seguimiento",IF(L324&gt;=1.7,"Reperfilado","OK"))))</f>
        <v>OK</v>
      </c>
    </row>
    <row r="325" spans="1:15" x14ac:dyDescent="0.25">
      <c r="A325" s="93" t="s">
        <v>16</v>
      </c>
      <c r="B325" s="32">
        <v>1</v>
      </c>
      <c r="C325" s="32">
        <v>1165744</v>
      </c>
      <c r="D325" s="39">
        <v>46129</v>
      </c>
      <c r="E325" s="32" t="s">
        <v>15</v>
      </c>
      <c r="F325" s="32" t="str">
        <f t="shared" ref="F325:I325" si="139">F324</f>
        <v>M22</v>
      </c>
      <c r="G325" s="62" t="str">
        <f t="shared" si="139"/>
        <v>302</v>
      </c>
      <c r="H325" s="63" t="str">
        <f t="shared" si="139"/>
        <v>C5</v>
      </c>
      <c r="I325" s="64">
        <f t="shared" si="139"/>
        <v>1</v>
      </c>
      <c r="J325" s="40" t="s">
        <v>33</v>
      </c>
      <c r="K325" s="115">
        <v>18</v>
      </c>
      <c r="L325" s="17">
        <v>1.4</v>
      </c>
      <c r="M325" s="19">
        <v>2.82</v>
      </c>
      <c r="N325" s="22">
        <f>TREN01[[#This Row],[T]]-TREN01[[#This Row],[H]]</f>
        <v>1.42</v>
      </c>
      <c r="O325" s="20" t="str">
        <f t="shared" si="138"/>
        <v>OK</v>
      </c>
    </row>
    <row r="326" spans="1:15" x14ac:dyDescent="0.25">
      <c r="A326" s="93" t="s">
        <v>16</v>
      </c>
      <c r="B326" s="32">
        <v>1</v>
      </c>
      <c r="C326" s="32">
        <v>1165744</v>
      </c>
      <c r="D326" s="39">
        <v>46129</v>
      </c>
      <c r="E326" s="32" t="s">
        <v>15</v>
      </c>
      <c r="F326" s="32" t="str">
        <f t="shared" ref="F326:I326" si="140">F325</f>
        <v>M22</v>
      </c>
      <c r="G326" s="62" t="str">
        <f t="shared" si="140"/>
        <v>302</v>
      </c>
      <c r="H326" s="63" t="str">
        <f t="shared" si="140"/>
        <v>C5</v>
      </c>
      <c r="I326" s="64">
        <f t="shared" si="140"/>
        <v>1</v>
      </c>
      <c r="J326" s="40" t="s">
        <v>34</v>
      </c>
      <c r="K326" s="115">
        <v>18</v>
      </c>
      <c r="L326" s="17">
        <v>0.53</v>
      </c>
      <c r="M326" s="19">
        <v>2.2000000000000002</v>
      </c>
      <c r="N326" s="22">
        <f>TREN01[[#This Row],[T]]-TREN01[[#This Row],[H]]</f>
        <v>1.6700000000000002</v>
      </c>
      <c r="O326" s="20" t="str">
        <f t="shared" si="138"/>
        <v>OK</v>
      </c>
    </row>
    <row r="327" spans="1:15" x14ac:dyDescent="0.25">
      <c r="A327" s="93" t="s">
        <v>16</v>
      </c>
      <c r="B327" s="32">
        <v>1</v>
      </c>
      <c r="C327" s="32">
        <v>1165744</v>
      </c>
      <c r="D327" s="39">
        <v>46129</v>
      </c>
      <c r="E327" s="32" t="s">
        <v>15</v>
      </c>
      <c r="F327" s="32" t="str">
        <f t="shared" ref="F327:H327" si="141">F326</f>
        <v>M22</v>
      </c>
      <c r="G327" s="62" t="str">
        <f t="shared" si="141"/>
        <v>302</v>
      </c>
      <c r="H327" s="63" t="str">
        <f t="shared" si="141"/>
        <v>C5</v>
      </c>
      <c r="I327" s="64">
        <v>2</v>
      </c>
      <c r="J327" s="40" t="s">
        <v>35</v>
      </c>
      <c r="K327" s="115">
        <v>19</v>
      </c>
      <c r="L327" s="17">
        <v>0.87</v>
      </c>
      <c r="M327" s="19">
        <v>2.2200000000000002</v>
      </c>
      <c r="N327" s="22">
        <f>TREN01[[#This Row],[T]]-TREN01[[#This Row],[H]]</f>
        <v>1.35</v>
      </c>
      <c r="O327" s="20" t="str">
        <f t="shared" si="138"/>
        <v>OK</v>
      </c>
    </row>
    <row r="328" spans="1:15" x14ac:dyDescent="0.25">
      <c r="A328" s="93" t="s">
        <v>16</v>
      </c>
      <c r="B328" s="32">
        <v>1</v>
      </c>
      <c r="C328" s="32">
        <v>1165744</v>
      </c>
      <c r="D328" s="39">
        <v>46129</v>
      </c>
      <c r="E328" s="32" t="s">
        <v>15</v>
      </c>
      <c r="F328" s="32" t="str">
        <f t="shared" ref="F328:I328" si="142">F327</f>
        <v>M22</v>
      </c>
      <c r="G328" s="62" t="str">
        <f t="shared" si="142"/>
        <v>302</v>
      </c>
      <c r="H328" s="63" t="str">
        <f t="shared" si="142"/>
        <v>C5</v>
      </c>
      <c r="I328" s="64">
        <f t="shared" si="142"/>
        <v>2</v>
      </c>
      <c r="J328" s="40" t="s">
        <v>36</v>
      </c>
      <c r="K328" s="115">
        <v>19</v>
      </c>
      <c r="L328" s="17">
        <v>0.88</v>
      </c>
      <c r="M328" s="19">
        <v>1.1499999999999999</v>
      </c>
      <c r="N328" s="22">
        <f>TREN01[[#This Row],[T]]-TREN01[[#This Row],[H]]</f>
        <v>0.26999999999999991</v>
      </c>
      <c r="O328" s="20" t="str">
        <f t="shared" si="138"/>
        <v>Seguimiento</v>
      </c>
    </row>
    <row r="329" spans="1:15" x14ac:dyDescent="0.25">
      <c r="A329" s="93" t="s">
        <v>16</v>
      </c>
      <c r="B329" s="32">
        <v>1</v>
      </c>
      <c r="C329" s="32">
        <v>1165744</v>
      </c>
      <c r="D329" s="39">
        <v>46129</v>
      </c>
      <c r="E329" s="32" t="s">
        <v>15</v>
      </c>
      <c r="F329" s="32" t="str">
        <f t="shared" ref="F329:I329" si="143">F328</f>
        <v>M22</v>
      </c>
      <c r="G329" s="62" t="str">
        <f t="shared" si="143"/>
        <v>302</v>
      </c>
      <c r="H329" s="63" t="str">
        <f t="shared" si="143"/>
        <v>C5</v>
      </c>
      <c r="I329" s="64">
        <f t="shared" si="143"/>
        <v>2</v>
      </c>
      <c r="J329" s="40" t="s">
        <v>37</v>
      </c>
      <c r="K329" s="115">
        <v>20</v>
      </c>
      <c r="L329" s="17">
        <v>0.2</v>
      </c>
      <c r="M329" s="19">
        <v>5.08</v>
      </c>
      <c r="N329" s="22">
        <f>TREN01[[#This Row],[T]]-TREN01[[#This Row],[H]]</f>
        <v>4.88</v>
      </c>
      <c r="O329" s="20" t="str">
        <f t="shared" si="138"/>
        <v>OK</v>
      </c>
    </row>
    <row r="330" spans="1:15" x14ac:dyDescent="0.25">
      <c r="A330" s="93" t="s">
        <v>16</v>
      </c>
      <c r="B330" s="32">
        <v>1</v>
      </c>
      <c r="C330" s="32">
        <v>1165744</v>
      </c>
      <c r="D330" s="39">
        <v>46129</v>
      </c>
      <c r="E330" s="32" t="s">
        <v>15</v>
      </c>
      <c r="F330" s="32" t="str">
        <f t="shared" ref="F330:I330" si="144">F329</f>
        <v>M22</v>
      </c>
      <c r="G330" s="62" t="str">
        <f t="shared" si="144"/>
        <v>302</v>
      </c>
      <c r="H330" s="63" t="str">
        <f t="shared" si="144"/>
        <v>C5</v>
      </c>
      <c r="I330" s="64">
        <f t="shared" si="144"/>
        <v>2</v>
      </c>
      <c r="J330" s="40" t="s">
        <v>38</v>
      </c>
      <c r="K330" s="115">
        <v>20</v>
      </c>
      <c r="L330" s="17">
        <v>0.92</v>
      </c>
      <c r="M330" s="19">
        <v>4.67</v>
      </c>
      <c r="N330" s="22">
        <f>TREN01[[#This Row],[T]]-TREN01[[#This Row],[H]]</f>
        <v>3.75</v>
      </c>
      <c r="O330" s="20" t="str">
        <f t="shared" si="138"/>
        <v>OK</v>
      </c>
    </row>
    <row r="331" spans="1:15" x14ac:dyDescent="0.25">
      <c r="A331" s="93" t="s">
        <v>16</v>
      </c>
      <c r="B331" s="32">
        <v>1</v>
      </c>
      <c r="C331" s="32">
        <v>1165744</v>
      </c>
      <c r="D331" s="39">
        <v>46129</v>
      </c>
      <c r="E331" s="32" t="s">
        <v>15</v>
      </c>
      <c r="F331" s="32" t="str">
        <f t="shared" ref="F331:G331" si="145">F330</f>
        <v>M22</v>
      </c>
      <c r="G331" s="62" t="str">
        <f t="shared" si="145"/>
        <v>302</v>
      </c>
      <c r="H331" s="63" t="s">
        <v>47</v>
      </c>
      <c r="I331" s="64">
        <v>1</v>
      </c>
      <c r="J331" s="40" t="s">
        <v>31</v>
      </c>
      <c r="K331" s="115">
        <v>21</v>
      </c>
      <c r="L331" s="17">
        <v>0.56999999999999995</v>
      </c>
      <c r="M331" s="19">
        <v>4.9400000000000004</v>
      </c>
      <c r="N331" s="22">
        <f>TREN01[[#This Row],[T]]-TREN01[[#This Row],[H]]</f>
        <v>4.37</v>
      </c>
      <c r="O331" s="20" t="str">
        <f t="shared" si="138"/>
        <v>OK</v>
      </c>
    </row>
    <row r="332" spans="1:15" x14ac:dyDescent="0.25">
      <c r="A332" s="93" t="s">
        <v>16</v>
      </c>
      <c r="B332" s="32">
        <v>1</v>
      </c>
      <c r="C332" s="32">
        <v>1165744</v>
      </c>
      <c r="D332" s="39">
        <v>46129</v>
      </c>
      <c r="E332" s="32" t="s">
        <v>15</v>
      </c>
      <c r="F332" s="32" t="str">
        <f t="shared" ref="F332:I332" si="146">F331</f>
        <v>M22</v>
      </c>
      <c r="G332" s="62" t="str">
        <f t="shared" si="146"/>
        <v>302</v>
      </c>
      <c r="H332" s="63" t="str">
        <f t="shared" si="146"/>
        <v>C6</v>
      </c>
      <c r="I332" s="64">
        <f t="shared" si="146"/>
        <v>1</v>
      </c>
      <c r="J332" s="40" t="s">
        <v>32</v>
      </c>
      <c r="K332" s="115">
        <v>21</v>
      </c>
      <c r="L332" s="17">
        <v>0.72</v>
      </c>
      <c r="M332" s="19">
        <v>4.5599999999999996</v>
      </c>
      <c r="N332" s="22">
        <f>TREN01[[#This Row],[T]]-TREN01[[#This Row],[H]]</f>
        <v>3.84</v>
      </c>
      <c r="O332" s="20" t="str">
        <f t="shared" si="138"/>
        <v>OK</v>
      </c>
    </row>
    <row r="333" spans="1:15" x14ac:dyDescent="0.25">
      <c r="A333" s="93" t="s">
        <v>16</v>
      </c>
      <c r="B333" s="32">
        <v>1</v>
      </c>
      <c r="C333" s="32">
        <v>1165744</v>
      </c>
      <c r="D333" s="39">
        <v>46129</v>
      </c>
      <c r="E333" s="32" t="s">
        <v>15</v>
      </c>
      <c r="F333" s="32" t="str">
        <f t="shared" ref="F333:I333" si="147">F332</f>
        <v>M22</v>
      </c>
      <c r="G333" s="62" t="str">
        <f t="shared" si="147"/>
        <v>302</v>
      </c>
      <c r="H333" s="63" t="str">
        <f t="shared" si="147"/>
        <v>C6</v>
      </c>
      <c r="I333" s="64">
        <f t="shared" si="147"/>
        <v>1</v>
      </c>
      <c r="J333" s="40" t="s">
        <v>33</v>
      </c>
      <c r="K333" s="115">
        <v>22</v>
      </c>
      <c r="L333" s="17">
        <v>1.91</v>
      </c>
      <c r="M333" s="19">
        <v>4.84</v>
      </c>
      <c r="N333" s="22">
        <f>TREN01[[#This Row],[T]]-TREN01[[#This Row],[H]]</f>
        <v>2.9299999999999997</v>
      </c>
      <c r="O333" s="20" t="str">
        <f t="shared" si="138"/>
        <v>Reperfilado</v>
      </c>
    </row>
    <row r="334" spans="1:15" x14ac:dyDescent="0.25">
      <c r="A334" s="93" t="s">
        <v>16</v>
      </c>
      <c r="B334" s="32">
        <v>1</v>
      </c>
      <c r="C334" s="32">
        <v>1165744</v>
      </c>
      <c r="D334" s="39">
        <v>46129</v>
      </c>
      <c r="E334" s="32" t="s">
        <v>15</v>
      </c>
      <c r="F334" s="32" t="str">
        <f t="shared" ref="F334:I334" si="148">F333</f>
        <v>M22</v>
      </c>
      <c r="G334" s="62" t="str">
        <f t="shared" si="148"/>
        <v>302</v>
      </c>
      <c r="H334" s="63" t="str">
        <f t="shared" si="148"/>
        <v>C6</v>
      </c>
      <c r="I334" s="64">
        <f t="shared" si="148"/>
        <v>1</v>
      </c>
      <c r="J334" s="40" t="s">
        <v>34</v>
      </c>
      <c r="K334" s="115">
        <v>22</v>
      </c>
      <c r="L334" s="17">
        <v>1.67</v>
      </c>
      <c r="M334" s="19">
        <v>4.55</v>
      </c>
      <c r="N334" s="22">
        <f>TREN01[[#This Row],[T]]-TREN01[[#This Row],[H]]</f>
        <v>2.88</v>
      </c>
      <c r="O334" s="20" t="str">
        <f t="shared" si="138"/>
        <v>OK</v>
      </c>
    </row>
    <row r="335" spans="1:15" x14ac:dyDescent="0.25">
      <c r="A335" s="93" t="s">
        <v>16</v>
      </c>
      <c r="B335" s="32">
        <v>1</v>
      </c>
      <c r="C335" s="32">
        <v>1165744</v>
      </c>
      <c r="D335" s="39">
        <v>46129</v>
      </c>
      <c r="E335" s="32" t="s">
        <v>15</v>
      </c>
      <c r="F335" s="32" t="str">
        <f t="shared" ref="F335:H335" si="149">F334</f>
        <v>M22</v>
      </c>
      <c r="G335" s="62" t="str">
        <f t="shared" si="149"/>
        <v>302</v>
      </c>
      <c r="H335" s="63" t="str">
        <f t="shared" si="149"/>
        <v>C6</v>
      </c>
      <c r="I335" s="64">
        <v>2</v>
      </c>
      <c r="J335" s="40" t="s">
        <v>35</v>
      </c>
      <c r="K335" s="115">
        <v>23</v>
      </c>
      <c r="L335" s="17">
        <v>0.69</v>
      </c>
      <c r="M335" s="19">
        <v>4.37</v>
      </c>
      <c r="N335" s="22">
        <f>TREN01[[#This Row],[T]]-TREN01[[#This Row],[H]]</f>
        <v>3.68</v>
      </c>
      <c r="O335" s="20" t="str">
        <f t="shared" si="138"/>
        <v>OK</v>
      </c>
    </row>
    <row r="336" spans="1:15" x14ac:dyDescent="0.25">
      <c r="A336" s="93" t="s">
        <v>16</v>
      </c>
      <c r="B336" s="32">
        <v>1</v>
      </c>
      <c r="C336" s="32">
        <v>1165744</v>
      </c>
      <c r="D336" s="39">
        <v>46129</v>
      </c>
      <c r="E336" s="32" t="s">
        <v>15</v>
      </c>
      <c r="F336" s="32" t="str">
        <f t="shared" ref="F336:I336" si="150">F335</f>
        <v>M22</v>
      </c>
      <c r="G336" s="62" t="str">
        <f t="shared" si="150"/>
        <v>302</v>
      </c>
      <c r="H336" s="63" t="str">
        <f t="shared" si="150"/>
        <v>C6</v>
      </c>
      <c r="I336" s="64">
        <f t="shared" si="150"/>
        <v>2</v>
      </c>
      <c r="J336" s="40" t="s">
        <v>36</v>
      </c>
      <c r="K336" s="115">
        <v>23</v>
      </c>
      <c r="L336" s="17">
        <v>0.77</v>
      </c>
      <c r="M336" s="19">
        <v>1.52</v>
      </c>
      <c r="N336" s="22">
        <f>TREN01[[#This Row],[T]]-TREN01[[#This Row],[H]]</f>
        <v>0.75</v>
      </c>
      <c r="O336" s="20" t="str">
        <f t="shared" si="138"/>
        <v>Seguimiento</v>
      </c>
    </row>
    <row r="337" spans="1:15" x14ac:dyDescent="0.25">
      <c r="A337" s="93" t="s">
        <v>16</v>
      </c>
      <c r="B337" s="32">
        <v>1</v>
      </c>
      <c r="C337" s="32">
        <v>1165744</v>
      </c>
      <c r="D337" s="39">
        <v>46129</v>
      </c>
      <c r="E337" s="32" t="s">
        <v>15</v>
      </c>
      <c r="F337" s="32" t="str">
        <f t="shared" ref="F337:I337" si="151">F336</f>
        <v>M22</v>
      </c>
      <c r="G337" s="62" t="str">
        <f t="shared" si="151"/>
        <v>302</v>
      </c>
      <c r="H337" s="63" t="str">
        <f t="shared" si="151"/>
        <v>C6</v>
      </c>
      <c r="I337" s="64">
        <f t="shared" si="151"/>
        <v>2</v>
      </c>
      <c r="J337" s="40" t="s">
        <v>37</v>
      </c>
      <c r="K337" s="115">
        <v>24</v>
      </c>
      <c r="L337" s="17">
        <v>0.68</v>
      </c>
      <c r="M337" s="19">
        <v>1.79</v>
      </c>
      <c r="N337" s="22">
        <f>TREN01[[#This Row],[T]]-TREN01[[#This Row],[H]]</f>
        <v>1.1099999999999999</v>
      </c>
      <c r="O337" s="20" t="str">
        <f t="shared" si="138"/>
        <v>OK</v>
      </c>
    </row>
    <row r="338" spans="1:15" x14ac:dyDescent="0.25">
      <c r="A338" s="93" t="s">
        <v>16</v>
      </c>
      <c r="B338" s="32">
        <v>1</v>
      </c>
      <c r="C338" s="32">
        <v>1165744</v>
      </c>
      <c r="D338" s="39">
        <v>46129</v>
      </c>
      <c r="E338" s="32" t="s">
        <v>15</v>
      </c>
      <c r="F338" s="32" t="str">
        <f t="shared" ref="F338:I338" si="152">F337</f>
        <v>M22</v>
      </c>
      <c r="G338" s="62" t="str">
        <f t="shared" si="152"/>
        <v>302</v>
      </c>
      <c r="H338" s="63" t="str">
        <f t="shared" si="152"/>
        <v>C6</v>
      </c>
      <c r="I338" s="64">
        <f t="shared" si="152"/>
        <v>2</v>
      </c>
      <c r="J338" s="40" t="s">
        <v>38</v>
      </c>
      <c r="K338" s="115">
        <v>24</v>
      </c>
      <c r="L338" s="17">
        <v>0.52</v>
      </c>
      <c r="M338" s="19">
        <v>4.7300000000000004</v>
      </c>
      <c r="N338" s="22">
        <f>TREN01[[#This Row],[T]]-TREN01[[#This Row],[H]]</f>
        <v>4.2100000000000009</v>
      </c>
      <c r="O338" s="20" t="str">
        <f t="shared" si="138"/>
        <v>OK</v>
      </c>
    </row>
    <row r="339" spans="1:15" x14ac:dyDescent="0.25">
      <c r="A339" s="93" t="s">
        <v>16</v>
      </c>
      <c r="B339" s="32">
        <v>1</v>
      </c>
      <c r="C339" s="32">
        <v>1165744</v>
      </c>
      <c r="D339" s="39">
        <v>46129</v>
      </c>
      <c r="E339" s="32" t="s">
        <v>15</v>
      </c>
      <c r="F339" s="32" t="s">
        <v>44</v>
      </c>
      <c r="G339" s="62" t="s">
        <v>48</v>
      </c>
      <c r="H339" s="63" t="s">
        <v>47</v>
      </c>
      <c r="I339" s="64">
        <v>2</v>
      </c>
      <c r="J339" s="40" t="s">
        <v>31</v>
      </c>
      <c r="K339" s="115">
        <v>25</v>
      </c>
      <c r="L339" s="17">
        <v>0.96</v>
      </c>
      <c r="M339" s="19">
        <v>4.75</v>
      </c>
      <c r="N339" s="22">
        <f>TREN01[[#This Row],[T]]-TREN01[[#This Row],[H]]</f>
        <v>3.79</v>
      </c>
      <c r="O339" s="20" t="str">
        <f t="shared" si="138"/>
        <v>OK</v>
      </c>
    </row>
    <row r="340" spans="1:15" x14ac:dyDescent="0.25">
      <c r="A340" s="93" t="s">
        <v>16</v>
      </c>
      <c r="B340" s="32">
        <v>1</v>
      </c>
      <c r="C340" s="32">
        <v>1165744</v>
      </c>
      <c r="D340" s="39">
        <v>46129</v>
      </c>
      <c r="E340" s="32" t="s">
        <v>15</v>
      </c>
      <c r="F340" s="32" t="str">
        <f t="shared" ref="F340:I340" si="153">F339</f>
        <v>M22</v>
      </c>
      <c r="G340" s="62" t="str">
        <f t="shared" si="153"/>
        <v>301</v>
      </c>
      <c r="H340" s="63" t="str">
        <f t="shared" si="153"/>
        <v>C6</v>
      </c>
      <c r="I340" s="64">
        <f t="shared" si="153"/>
        <v>2</v>
      </c>
      <c r="J340" s="40" t="s">
        <v>32</v>
      </c>
      <c r="K340" s="115">
        <v>25</v>
      </c>
      <c r="L340" s="17">
        <v>1.71</v>
      </c>
      <c r="M340" s="19">
        <v>2.84</v>
      </c>
      <c r="N340" s="22">
        <f>TREN01[[#This Row],[T]]-TREN01[[#This Row],[H]]</f>
        <v>1.1299999999999999</v>
      </c>
      <c r="O340" s="20" t="str">
        <f t="shared" si="138"/>
        <v>Reperfilado</v>
      </c>
    </row>
    <row r="341" spans="1:15" x14ac:dyDescent="0.25">
      <c r="A341" s="93" t="s">
        <v>16</v>
      </c>
      <c r="B341" s="32">
        <v>1</v>
      </c>
      <c r="C341" s="32">
        <v>1165744</v>
      </c>
      <c r="D341" s="39">
        <v>46129</v>
      </c>
      <c r="E341" s="32" t="s">
        <v>15</v>
      </c>
      <c r="F341" s="32" t="str">
        <f t="shared" ref="F341:I341" si="154">F340</f>
        <v>M22</v>
      </c>
      <c r="G341" s="62" t="str">
        <f t="shared" si="154"/>
        <v>301</v>
      </c>
      <c r="H341" s="63" t="str">
        <f t="shared" si="154"/>
        <v>C6</v>
      </c>
      <c r="I341" s="64">
        <f t="shared" si="154"/>
        <v>2</v>
      </c>
      <c r="J341" s="40" t="s">
        <v>33</v>
      </c>
      <c r="K341" s="115">
        <v>26</v>
      </c>
      <c r="L341" s="17">
        <v>0.72</v>
      </c>
      <c r="M341" s="19">
        <v>4.95</v>
      </c>
      <c r="N341" s="22">
        <f>TREN01[[#This Row],[T]]-TREN01[[#This Row],[H]]</f>
        <v>4.2300000000000004</v>
      </c>
      <c r="O341" s="20" t="str">
        <f t="shared" si="138"/>
        <v>OK</v>
      </c>
    </row>
    <row r="342" spans="1:15" x14ac:dyDescent="0.25">
      <c r="A342" s="93" t="s">
        <v>16</v>
      </c>
      <c r="B342" s="32">
        <v>1</v>
      </c>
      <c r="C342" s="32">
        <v>1165744</v>
      </c>
      <c r="D342" s="39">
        <v>46129</v>
      </c>
      <c r="E342" s="32" t="s">
        <v>15</v>
      </c>
      <c r="F342" s="32" t="str">
        <f t="shared" ref="F342:I342" si="155">F341</f>
        <v>M22</v>
      </c>
      <c r="G342" s="62" t="str">
        <f t="shared" si="155"/>
        <v>301</v>
      </c>
      <c r="H342" s="63" t="str">
        <f t="shared" si="155"/>
        <v>C6</v>
      </c>
      <c r="I342" s="64">
        <f t="shared" si="155"/>
        <v>2</v>
      </c>
      <c r="J342" s="40" t="s">
        <v>34</v>
      </c>
      <c r="K342" s="115">
        <v>26</v>
      </c>
      <c r="L342" s="17">
        <v>1.25</v>
      </c>
      <c r="M342" s="19">
        <v>4.8</v>
      </c>
      <c r="N342" s="22">
        <f>TREN01[[#This Row],[T]]-TREN01[[#This Row],[H]]</f>
        <v>3.55</v>
      </c>
      <c r="O342" s="20" t="str">
        <f t="shared" si="138"/>
        <v>OK</v>
      </c>
    </row>
    <row r="343" spans="1:15" x14ac:dyDescent="0.25">
      <c r="A343" s="93" t="s">
        <v>16</v>
      </c>
      <c r="B343" s="32">
        <v>1</v>
      </c>
      <c r="C343" s="32">
        <v>1165744</v>
      </c>
      <c r="D343" s="39">
        <v>46129</v>
      </c>
      <c r="E343" s="32" t="s">
        <v>15</v>
      </c>
      <c r="F343" s="32" t="str">
        <f t="shared" ref="F343:H343" si="156">F342</f>
        <v>M22</v>
      </c>
      <c r="G343" s="62" t="str">
        <f t="shared" si="156"/>
        <v>301</v>
      </c>
      <c r="H343" s="63" t="str">
        <f t="shared" si="156"/>
        <v>C6</v>
      </c>
      <c r="I343" s="64">
        <v>1</v>
      </c>
      <c r="J343" s="40" t="s">
        <v>35</v>
      </c>
      <c r="K343" s="115">
        <v>27</v>
      </c>
      <c r="L343" s="17">
        <v>1.34</v>
      </c>
      <c r="M343" s="19">
        <v>2.38</v>
      </c>
      <c r="N343" s="22">
        <f>TREN01[[#This Row],[T]]-TREN01[[#This Row],[H]]</f>
        <v>1.0399999999999998</v>
      </c>
      <c r="O343" s="20" t="str">
        <f t="shared" si="138"/>
        <v>OK</v>
      </c>
    </row>
    <row r="344" spans="1:15" x14ac:dyDescent="0.25">
      <c r="A344" s="93" t="s">
        <v>16</v>
      </c>
      <c r="B344" s="32">
        <v>1</v>
      </c>
      <c r="C344" s="32">
        <v>1165744</v>
      </c>
      <c r="D344" s="39">
        <v>46129</v>
      </c>
      <c r="E344" s="32" t="s">
        <v>15</v>
      </c>
      <c r="F344" s="32" t="str">
        <f t="shared" ref="F344:I344" si="157">F343</f>
        <v>M22</v>
      </c>
      <c r="G344" s="62" t="str">
        <f t="shared" si="157"/>
        <v>301</v>
      </c>
      <c r="H344" s="63" t="str">
        <f t="shared" si="157"/>
        <v>C6</v>
      </c>
      <c r="I344" s="64">
        <f t="shared" si="157"/>
        <v>1</v>
      </c>
      <c r="J344" s="40" t="s">
        <v>36</v>
      </c>
      <c r="K344" s="115">
        <v>27</v>
      </c>
      <c r="L344" s="17">
        <v>1.41</v>
      </c>
      <c r="M344" s="19">
        <v>2.62</v>
      </c>
      <c r="N344" s="22">
        <f>TREN01[[#This Row],[T]]-TREN01[[#This Row],[H]]</f>
        <v>1.2100000000000002</v>
      </c>
      <c r="O344" s="20" t="str">
        <f t="shared" si="138"/>
        <v>OK</v>
      </c>
    </row>
    <row r="345" spans="1:15" x14ac:dyDescent="0.25">
      <c r="A345" s="93" t="s">
        <v>16</v>
      </c>
      <c r="B345" s="32">
        <v>1</v>
      </c>
      <c r="C345" s="32">
        <v>1165744</v>
      </c>
      <c r="D345" s="39">
        <v>46129</v>
      </c>
      <c r="E345" s="32" t="s">
        <v>15</v>
      </c>
      <c r="F345" s="32" t="str">
        <f t="shared" ref="F345:I345" si="158">F344</f>
        <v>M22</v>
      </c>
      <c r="G345" s="62" t="str">
        <f t="shared" si="158"/>
        <v>301</v>
      </c>
      <c r="H345" s="63" t="str">
        <f t="shared" si="158"/>
        <v>C6</v>
      </c>
      <c r="I345" s="64">
        <f t="shared" si="158"/>
        <v>1</v>
      </c>
      <c r="J345" s="40" t="s">
        <v>37</v>
      </c>
      <c r="K345" s="115">
        <v>28</v>
      </c>
      <c r="L345" s="17">
        <v>1.07</v>
      </c>
      <c r="M345" s="19">
        <v>4.38</v>
      </c>
      <c r="N345" s="22">
        <f>TREN01[[#This Row],[T]]-TREN01[[#This Row],[H]]</f>
        <v>3.3099999999999996</v>
      </c>
      <c r="O345" s="20" t="str">
        <f t="shared" si="138"/>
        <v>OK</v>
      </c>
    </row>
    <row r="346" spans="1:15" x14ac:dyDescent="0.25">
      <c r="A346" s="93" t="s">
        <v>16</v>
      </c>
      <c r="B346" s="32">
        <v>1</v>
      </c>
      <c r="C346" s="32">
        <v>1165744</v>
      </c>
      <c r="D346" s="39">
        <v>46129</v>
      </c>
      <c r="E346" s="32" t="s">
        <v>15</v>
      </c>
      <c r="F346" s="32" t="str">
        <f t="shared" ref="F346:I346" si="159">F345</f>
        <v>M22</v>
      </c>
      <c r="G346" s="62" t="str">
        <f t="shared" si="159"/>
        <v>301</v>
      </c>
      <c r="H346" s="63" t="str">
        <f t="shared" si="159"/>
        <v>C6</v>
      </c>
      <c r="I346" s="64">
        <f t="shared" si="159"/>
        <v>1</v>
      </c>
      <c r="J346" s="40" t="s">
        <v>38</v>
      </c>
      <c r="K346" s="115">
        <v>28</v>
      </c>
      <c r="L346" s="17">
        <v>0.44</v>
      </c>
      <c r="M346" s="19">
        <v>5.0199999999999996</v>
      </c>
      <c r="N346" s="22">
        <f>TREN01[[#This Row],[T]]-TREN01[[#This Row],[H]]</f>
        <v>4.5799999999999992</v>
      </c>
      <c r="O346" s="20" t="str">
        <f t="shared" si="138"/>
        <v>OK</v>
      </c>
    </row>
    <row r="347" spans="1:15" x14ac:dyDescent="0.25">
      <c r="A347" s="93" t="s">
        <v>16</v>
      </c>
      <c r="B347" s="32">
        <v>1</v>
      </c>
      <c r="C347" s="32">
        <v>1165744</v>
      </c>
      <c r="D347" s="39">
        <v>46129</v>
      </c>
      <c r="E347" s="32" t="s">
        <v>15</v>
      </c>
      <c r="F347" s="32" t="str">
        <f t="shared" ref="F347:G347" si="160">F346</f>
        <v>M22</v>
      </c>
      <c r="G347" s="62" t="str">
        <f t="shared" si="160"/>
        <v>301</v>
      </c>
      <c r="H347" s="63" t="s">
        <v>46</v>
      </c>
      <c r="I347" s="64">
        <v>2</v>
      </c>
      <c r="J347" s="40" t="s">
        <v>31</v>
      </c>
      <c r="K347" s="115">
        <v>29</v>
      </c>
      <c r="L347" s="17">
        <v>0.57999999999999996</v>
      </c>
      <c r="M347" s="19">
        <v>4.4800000000000004</v>
      </c>
      <c r="N347" s="22">
        <f>TREN01[[#This Row],[T]]-TREN01[[#This Row],[H]]</f>
        <v>3.9000000000000004</v>
      </c>
      <c r="O347" s="20" t="str">
        <f t="shared" si="138"/>
        <v>OK</v>
      </c>
    </row>
    <row r="348" spans="1:15" x14ac:dyDescent="0.25">
      <c r="A348" s="93" t="s">
        <v>16</v>
      </c>
      <c r="B348" s="32">
        <v>1</v>
      </c>
      <c r="C348" s="32">
        <v>1165744</v>
      </c>
      <c r="D348" s="39">
        <v>46129</v>
      </c>
      <c r="E348" s="32" t="s">
        <v>15</v>
      </c>
      <c r="F348" s="32" t="str">
        <f t="shared" ref="F348:I348" si="161">F347</f>
        <v>M22</v>
      </c>
      <c r="G348" s="62" t="str">
        <f t="shared" si="161"/>
        <v>301</v>
      </c>
      <c r="H348" s="63" t="str">
        <f t="shared" si="161"/>
        <v>C5</v>
      </c>
      <c r="I348" s="64">
        <f t="shared" si="161"/>
        <v>2</v>
      </c>
      <c r="J348" s="40" t="s">
        <v>32</v>
      </c>
      <c r="K348" s="115">
        <v>29</v>
      </c>
      <c r="L348" s="17">
        <v>0.32</v>
      </c>
      <c r="M348" s="19">
        <v>1.55</v>
      </c>
      <c r="N348" s="22">
        <f>TREN01[[#This Row],[T]]-TREN01[[#This Row],[H]]</f>
        <v>1.23</v>
      </c>
      <c r="O348" s="20" t="str">
        <f t="shared" si="138"/>
        <v>OK</v>
      </c>
    </row>
    <row r="349" spans="1:15" x14ac:dyDescent="0.25">
      <c r="A349" s="93" t="s">
        <v>16</v>
      </c>
      <c r="B349" s="32">
        <v>1</v>
      </c>
      <c r="C349" s="32">
        <v>1165744</v>
      </c>
      <c r="D349" s="39">
        <v>46129</v>
      </c>
      <c r="E349" s="32" t="s">
        <v>15</v>
      </c>
      <c r="F349" s="32" t="str">
        <f t="shared" ref="F349:I349" si="162">F348</f>
        <v>M22</v>
      </c>
      <c r="G349" s="62" t="str">
        <f t="shared" si="162"/>
        <v>301</v>
      </c>
      <c r="H349" s="63" t="str">
        <f t="shared" si="162"/>
        <v>C5</v>
      </c>
      <c r="I349" s="64">
        <f t="shared" si="162"/>
        <v>2</v>
      </c>
      <c r="J349" s="40" t="s">
        <v>33</v>
      </c>
      <c r="K349" s="115">
        <v>30</v>
      </c>
      <c r="L349" s="17">
        <v>1.32</v>
      </c>
      <c r="M349" s="19">
        <v>4.8499999999999996</v>
      </c>
      <c r="N349" s="22">
        <f>TREN01[[#This Row],[T]]-TREN01[[#This Row],[H]]</f>
        <v>3.5299999999999994</v>
      </c>
      <c r="O349" s="20" t="str">
        <f t="shared" si="138"/>
        <v>OK</v>
      </c>
    </row>
    <row r="350" spans="1:15" x14ac:dyDescent="0.25">
      <c r="A350" s="93" t="s">
        <v>16</v>
      </c>
      <c r="B350" s="32">
        <v>1</v>
      </c>
      <c r="C350" s="32">
        <v>1165744</v>
      </c>
      <c r="D350" s="39">
        <v>46129</v>
      </c>
      <c r="E350" s="32" t="s">
        <v>15</v>
      </c>
      <c r="F350" s="32" t="str">
        <f t="shared" ref="F350:I350" si="163">F349</f>
        <v>M22</v>
      </c>
      <c r="G350" s="62" t="str">
        <f t="shared" si="163"/>
        <v>301</v>
      </c>
      <c r="H350" s="63" t="str">
        <f t="shared" si="163"/>
        <v>C5</v>
      </c>
      <c r="I350" s="64">
        <f t="shared" si="163"/>
        <v>2</v>
      </c>
      <c r="J350" s="40" t="s">
        <v>34</v>
      </c>
      <c r="K350" s="115">
        <v>30</v>
      </c>
      <c r="L350" s="17">
        <v>0.81</v>
      </c>
      <c r="M350" s="19">
        <v>5.04</v>
      </c>
      <c r="N350" s="22">
        <f>TREN01[[#This Row],[T]]-TREN01[[#This Row],[H]]</f>
        <v>4.2300000000000004</v>
      </c>
      <c r="O350" s="20" t="str">
        <f t="shared" si="138"/>
        <v>OK</v>
      </c>
    </row>
    <row r="351" spans="1:15" x14ac:dyDescent="0.25">
      <c r="A351" s="93" t="s">
        <v>16</v>
      </c>
      <c r="B351" s="32">
        <v>1</v>
      </c>
      <c r="C351" s="32">
        <v>1165744</v>
      </c>
      <c r="D351" s="39">
        <v>46129</v>
      </c>
      <c r="E351" s="32" t="s">
        <v>15</v>
      </c>
      <c r="F351" s="32" t="str">
        <f t="shared" ref="F351:H351" si="164">F350</f>
        <v>M22</v>
      </c>
      <c r="G351" s="62" t="str">
        <f t="shared" si="164"/>
        <v>301</v>
      </c>
      <c r="H351" s="63" t="str">
        <f t="shared" si="164"/>
        <v>C5</v>
      </c>
      <c r="I351" s="64">
        <v>1</v>
      </c>
      <c r="J351" s="40" t="s">
        <v>35</v>
      </c>
      <c r="K351" s="115">
        <v>31</v>
      </c>
      <c r="L351" s="17">
        <v>0.3</v>
      </c>
      <c r="M351" s="19">
        <v>5.01</v>
      </c>
      <c r="N351" s="22">
        <f>TREN01[[#This Row],[T]]-TREN01[[#This Row],[H]]</f>
        <v>4.71</v>
      </c>
      <c r="O351" s="20" t="str">
        <f t="shared" si="138"/>
        <v>OK</v>
      </c>
    </row>
    <row r="352" spans="1:15" x14ac:dyDescent="0.25">
      <c r="A352" s="93" t="s">
        <v>16</v>
      </c>
      <c r="B352" s="32">
        <v>1</v>
      </c>
      <c r="C352" s="32">
        <v>1165744</v>
      </c>
      <c r="D352" s="39">
        <v>46129</v>
      </c>
      <c r="E352" s="32" t="s">
        <v>15</v>
      </c>
      <c r="F352" s="32" t="str">
        <f t="shared" ref="F352:I352" si="165">F351</f>
        <v>M22</v>
      </c>
      <c r="G352" s="62" t="str">
        <f t="shared" si="165"/>
        <v>301</v>
      </c>
      <c r="H352" s="63" t="str">
        <f t="shared" si="165"/>
        <v>C5</v>
      </c>
      <c r="I352" s="64">
        <f t="shared" si="165"/>
        <v>1</v>
      </c>
      <c r="J352" s="40" t="s">
        <v>36</v>
      </c>
      <c r="K352" s="115">
        <v>31</v>
      </c>
      <c r="L352" s="17">
        <v>0.57999999999999996</v>
      </c>
      <c r="M352" s="19">
        <v>4.33</v>
      </c>
      <c r="N352" s="22">
        <f>TREN01[[#This Row],[T]]-TREN01[[#This Row],[H]]</f>
        <v>3.75</v>
      </c>
      <c r="O352" s="20" t="str">
        <f t="shared" si="138"/>
        <v>OK</v>
      </c>
    </row>
    <row r="353" spans="1:15" x14ac:dyDescent="0.25">
      <c r="A353" s="93" t="s">
        <v>16</v>
      </c>
      <c r="B353" s="32">
        <v>1</v>
      </c>
      <c r="C353" s="32">
        <v>1165744</v>
      </c>
      <c r="D353" s="39">
        <v>46129</v>
      </c>
      <c r="E353" s="32" t="s">
        <v>15</v>
      </c>
      <c r="F353" s="32" t="str">
        <f t="shared" ref="F353:I353" si="166">F352</f>
        <v>M22</v>
      </c>
      <c r="G353" s="62" t="str">
        <f t="shared" si="166"/>
        <v>301</v>
      </c>
      <c r="H353" s="63" t="str">
        <f t="shared" si="166"/>
        <v>C5</v>
      </c>
      <c r="I353" s="64">
        <f t="shared" si="166"/>
        <v>1</v>
      </c>
      <c r="J353" s="40" t="s">
        <v>37</v>
      </c>
      <c r="K353" s="115">
        <v>32</v>
      </c>
      <c r="L353" s="17">
        <v>1.25</v>
      </c>
      <c r="M353" s="19">
        <v>4.22</v>
      </c>
      <c r="N353" s="22">
        <f>TREN01[[#This Row],[T]]-TREN01[[#This Row],[H]]</f>
        <v>2.9699999999999998</v>
      </c>
      <c r="O353" s="20" t="str">
        <f t="shared" si="138"/>
        <v>OK</v>
      </c>
    </row>
    <row r="354" spans="1:15" x14ac:dyDescent="0.25">
      <c r="A354" s="93" t="s">
        <v>16</v>
      </c>
      <c r="B354" s="32">
        <v>1</v>
      </c>
      <c r="C354" s="32">
        <v>1165744</v>
      </c>
      <c r="D354" s="39">
        <v>46129</v>
      </c>
      <c r="E354" s="32" t="s">
        <v>15</v>
      </c>
      <c r="F354" s="32" t="str">
        <f t="shared" ref="F354:I354" si="167">F353</f>
        <v>M22</v>
      </c>
      <c r="G354" s="62" t="str">
        <f t="shared" si="167"/>
        <v>301</v>
      </c>
      <c r="H354" s="63" t="str">
        <f t="shared" si="167"/>
        <v>C5</v>
      </c>
      <c r="I354" s="64">
        <f t="shared" si="167"/>
        <v>1</v>
      </c>
      <c r="J354" s="40" t="s">
        <v>38</v>
      </c>
      <c r="K354" s="115">
        <v>32</v>
      </c>
      <c r="L354" s="17">
        <v>0.64</v>
      </c>
      <c r="M354" s="19">
        <v>2.0699999999999998</v>
      </c>
      <c r="N354" s="22">
        <f>TREN01[[#This Row],[T]]-TREN01[[#This Row],[H]]</f>
        <v>1.4299999999999997</v>
      </c>
      <c r="O354" s="20" t="str">
        <f t="shared" si="138"/>
        <v>OK</v>
      </c>
    </row>
    <row r="355" spans="1:15" x14ac:dyDescent="0.25">
      <c r="A355" s="93" t="s">
        <v>16</v>
      </c>
      <c r="B355" s="32">
        <v>1</v>
      </c>
      <c r="C355" s="32">
        <v>1165744</v>
      </c>
      <c r="D355" s="39">
        <v>46129</v>
      </c>
      <c r="E355" s="32" t="s">
        <v>15</v>
      </c>
      <c r="F355" s="32" t="s">
        <v>40</v>
      </c>
      <c r="G355" s="62" t="s">
        <v>49</v>
      </c>
      <c r="H355" s="63" t="s">
        <v>43</v>
      </c>
      <c r="I355" s="64">
        <v>2</v>
      </c>
      <c r="J355" s="40" t="s">
        <v>31</v>
      </c>
      <c r="K355" s="115">
        <v>33</v>
      </c>
      <c r="L355" s="17">
        <v>0.65</v>
      </c>
      <c r="M355" s="19">
        <v>1.98</v>
      </c>
      <c r="N355" s="22">
        <f>TREN01[[#This Row],[T]]-TREN01[[#This Row],[H]]</f>
        <v>1.33</v>
      </c>
      <c r="O355" s="20" t="str">
        <f t="shared" si="138"/>
        <v>OK</v>
      </c>
    </row>
    <row r="356" spans="1:15" x14ac:dyDescent="0.25">
      <c r="A356" s="93" t="s">
        <v>16</v>
      </c>
      <c r="B356" s="32">
        <v>1</v>
      </c>
      <c r="C356" s="32">
        <v>1165744</v>
      </c>
      <c r="D356" s="39">
        <v>46129</v>
      </c>
      <c r="E356" s="32" t="s">
        <v>15</v>
      </c>
      <c r="F356" s="32" t="str">
        <f t="shared" ref="F356:I356" si="168">F355</f>
        <v>M21</v>
      </c>
      <c r="G356" s="62" t="str">
        <f t="shared" si="168"/>
        <v>004</v>
      </c>
      <c r="H356" s="63" t="str">
        <f t="shared" si="168"/>
        <v>C4</v>
      </c>
      <c r="I356" s="64">
        <f t="shared" si="168"/>
        <v>2</v>
      </c>
      <c r="J356" s="40" t="s">
        <v>32</v>
      </c>
      <c r="K356" s="115">
        <v>33</v>
      </c>
      <c r="L356" s="17">
        <v>1.31</v>
      </c>
      <c r="M356" s="19">
        <v>3.39</v>
      </c>
      <c r="N356" s="22">
        <f>TREN01[[#This Row],[T]]-TREN01[[#This Row],[H]]</f>
        <v>2.08</v>
      </c>
      <c r="O356" s="20" t="str">
        <f t="shared" si="138"/>
        <v>OK</v>
      </c>
    </row>
    <row r="357" spans="1:15" x14ac:dyDescent="0.25">
      <c r="A357" s="93" t="s">
        <v>16</v>
      </c>
      <c r="B357" s="32">
        <v>1</v>
      </c>
      <c r="C357" s="32">
        <v>1165744</v>
      </c>
      <c r="D357" s="39">
        <v>46129</v>
      </c>
      <c r="E357" s="32" t="s">
        <v>15</v>
      </c>
      <c r="F357" s="32" t="str">
        <f t="shared" ref="F357:I357" si="169">F356</f>
        <v>M21</v>
      </c>
      <c r="G357" s="62" t="str">
        <f t="shared" si="169"/>
        <v>004</v>
      </c>
      <c r="H357" s="63" t="str">
        <f t="shared" si="169"/>
        <v>C4</v>
      </c>
      <c r="I357" s="64">
        <f t="shared" si="169"/>
        <v>2</v>
      </c>
      <c r="J357" s="40" t="s">
        <v>33</v>
      </c>
      <c r="K357" s="115">
        <v>34</v>
      </c>
      <c r="L357" s="17">
        <v>1.1000000000000001</v>
      </c>
      <c r="M357" s="19">
        <v>4.01</v>
      </c>
      <c r="N357" s="22">
        <f>TREN01[[#This Row],[T]]-TREN01[[#This Row],[H]]</f>
        <v>2.9099999999999997</v>
      </c>
      <c r="O357" s="20" t="str">
        <f t="shared" si="138"/>
        <v>OK</v>
      </c>
    </row>
    <row r="358" spans="1:15" x14ac:dyDescent="0.25">
      <c r="A358" s="93" t="s">
        <v>16</v>
      </c>
      <c r="B358" s="32">
        <v>1</v>
      </c>
      <c r="C358" s="32">
        <v>1165744</v>
      </c>
      <c r="D358" s="39">
        <v>46129</v>
      </c>
      <c r="E358" s="32" t="s">
        <v>15</v>
      </c>
      <c r="F358" s="32" t="str">
        <f t="shared" ref="F358:I358" si="170">F357</f>
        <v>M21</v>
      </c>
      <c r="G358" s="62" t="str">
        <f t="shared" si="170"/>
        <v>004</v>
      </c>
      <c r="H358" s="63" t="str">
        <f t="shared" si="170"/>
        <v>C4</v>
      </c>
      <c r="I358" s="64">
        <f t="shared" si="170"/>
        <v>2</v>
      </c>
      <c r="J358" s="40" t="s">
        <v>34</v>
      </c>
      <c r="K358" s="115">
        <v>34</v>
      </c>
      <c r="L358" s="17">
        <v>0.22</v>
      </c>
      <c r="M358" s="19">
        <v>1.61</v>
      </c>
      <c r="N358" s="22">
        <f>TREN01[[#This Row],[T]]-TREN01[[#This Row],[H]]</f>
        <v>1.3900000000000001</v>
      </c>
      <c r="O358" s="20" t="str">
        <f t="shared" si="138"/>
        <v>OK</v>
      </c>
    </row>
    <row r="359" spans="1:15" x14ac:dyDescent="0.25">
      <c r="A359" s="93" t="s">
        <v>16</v>
      </c>
      <c r="B359" s="32">
        <v>1</v>
      </c>
      <c r="C359" s="32">
        <v>1165744</v>
      </c>
      <c r="D359" s="39">
        <v>46129</v>
      </c>
      <c r="E359" s="32" t="s">
        <v>15</v>
      </c>
      <c r="F359" s="32" t="str">
        <f t="shared" ref="F359:H359" si="171">F358</f>
        <v>M21</v>
      </c>
      <c r="G359" s="62" t="str">
        <f t="shared" si="171"/>
        <v>004</v>
      </c>
      <c r="H359" s="63" t="str">
        <f t="shared" si="171"/>
        <v>C4</v>
      </c>
      <c r="I359" s="64">
        <v>1</v>
      </c>
      <c r="J359" s="40" t="s">
        <v>35</v>
      </c>
      <c r="K359" s="115">
        <v>35</v>
      </c>
      <c r="L359" s="17">
        <v>0.6</v>
      </c>
      <c r="M359" s="19">
        <v>3.05</v>
      </c>
      <c r="N359" s="22">
        <f>TREN01[[#This Row],[T]]-TREN01[[#This Row],[H]]</f>
        <v>2.4499999999999997</v>
      </c>
      <c r="O359" s="20" t="str">
        <f t="shared" si="138"/>
        <v>OK</v>
      </c>
    </row>
    <row r="360" spans="1:15" x14ac:dyDescent="0.25">
      <c r="A360" s="93" t="s">
        <v>16</v>
      </c>
      <c r="B360" s="32">
        <v>1</v>
      </c>
      <c r="C360" s="32">
        <v>1165744</v>
      </c>
      <c r="D360" s="39">
        <v>46129</v>
      </c>
      <c r="E360" s="32" t="s">
        <v>15</v>
      </c>
      <c r="F360" s="32" t="str">
        <f t="shared" ref="F360:I360" si="172">F359</f>
        <v>M21</v>
      </c>
      <c r="G360" s="62" t="str">
        <f t="shared" si="172"/>
        <v>004</v>
      </c>
      <c r="H360" s="63" t="str">
        <f t="shared" si="172"/>
        <v>C4</v>
      </c>
      <c r="I360" s="64">
        <f t="shared" si="172"/>
        <v>1</v>
      </c>
      <c r="J360" s="40" t="s">
        <v>36</v>
      </c>
      <c r="K360" s="115">
        <v>35</v>
      </c>
      <c r="L360" s="17">
        <v>7.0000000000000007E-2</v>
      </c>
      <c r="M360" s="19">
        <v>5.05</v>
      </c>
      <c r="N360" s="22">
        <f>TREN01[[#This Row],[T]]-TREN01[[#This Row],[H]]</f>
        <v>4.9799999999999995</v>
      </c>
      <c r="O360" s="20" t="str">
        <f t="shared" si="138"/>
        <v>OK</v>
      </c>
    </row>
    <row r="361" spans="1:15" x14ac:dyDescent="0.25">
      <c r="A361" s="93" t="s">
        <v>16</v>
      </c>
      <c r="B361" s="32">
        <v>1</v>
      </c>
      <c r="C361" s="32">
        <v>1165744</v>
      </c>
      <c r="D361" s="39">
        <v>46129</v>
      </c>
      <c r="E361" s="32" t="s">
        <v>15</v>
      </c>
      <c r="F361" s="32" t="str">
        <f t="shared" ref="F361:I361" si="173">F360</f>
        <v>M21</v>
      </c>
      <c r="G361" s="62" t="str">
        <f t="shared" si="173"/>
        <v>004</v>
      </c>
      <c r="H361" s="63" t="str">
        <f t="shared" si="173"/>
        <v>C4</v>
      </c>
      <c r="I361" s="64">
        <f t="shared" si="173"/>
        <v>1</v>
      </c>
      <c r="J361" s="40" t="s">
        <v>37</v>
      </c>
      <c r="K361" s="115">
        <v>36</v>
      </c>
      <c r="L361" s="17">
        <v>0.08</v>
      </c>
      <c r="M361" s="19">
        <v>4.78</v>
      </c>
      <c r="N361" s="22">
        <f>TREN01[[#This Row],[T]]-TREN01[[#This Row],[H]]</f>
        <v>4.7</v>
      </c>
      <c r="O361" s="20" t="str">
        <f t="shared" si="138"/>
        <v>OK</v>
      </c>
    </row>
    <row r="362" spans="1:15" x14ac:dyDescent="0.25">
      <c r="A362" s="93" t="s">
        <v>16</v>
      </c>
      <c r="B362" s="32">
        <v>1</v>
      </c>
      <c r="C362" s="32">
        <v>1165744</v>
      </c>
      <c r="D362" s="39">
        <v>46129</v>
      </c>
      <c r="E362" s="32" t="s">
        <v>15</v>
      </c>
      <c r="F362" s="32" t="str">
        <f t="shared" ref="F362:I362" si="174">F361</f>
        <v>M21</v>
      </c>
      <c r="G362" s="62" t="str">
        <f t="shared" si="174"/>
        <v>004</v>
      </c>
      <c r="H362" s="63" t="str">
        <f t="shared" si="174"/>
        <v>C4</v>
      </c>
      <c r="I362" s="64">
        <f t="shared" si="174"/>
        <v>1</v>
      </c>
      <c r="J362" s="40" t="s">
        <v>38</v>
      </c>
      <c r="K362" s="115">
        <v>36</v>
      </c>
      <c r="L362" s="17">
        <v>0.14000000000000001</v>
      </c>
      <c r="M362" s="19">
        <v>4.8</v>
      </c>
      <c r="N362" s="22">
        <f>TREN01[[#This Row],[T]]-TREN01[[#This Row],[H]]</f>
        <v>4.66</v>
      </c>
      <c r="O362" s="20" t="str">
        <f t="shared" si="138"/>
        <v>OK</v>
      </c>
    </row>
    <row r="363" spans="1:15" x14ac:dyDescent="0.25">
      <c r="A363" s="93" t="s">
        <v>16</v>
      </c>
      <c r="B363" s="32">
        <v>1</v>
      </c>
      <c r="C363" s="32">
        <v>1165744</v>
      </c>
      <c r="D363" s="39">
        <v>46129</v>
      </c>
      <c r="E363" s="32" t="s">
        <v>15</v>
      </c>
      <c r="F363" s="32" t="str">
        <f t="shared" ref="F363:G363" si="175">F362</f>
        <v>M21</v>
      </c>
      <c r="G363" s="62" t="str">
        <f t="shared" si="175"/>
        <v>004</v>
      </c>
      <c r="H363" s="63" t="s">
        <v>42</v>
      </c>
      <c r="I363" s="64">
        <v>2</v>
      </c>
      <c r="J363" s="40" t="s">
        <v>31</v>
      </c>
      <c r="K363" s="115">
        <v>37</v>
      </c>
      <c r="L363" s="17">
        <v>1.08</v>
      </c>
      <c r="M363" s="19">
        <v>3.96</v>
      </c>
      <c r="N363" s="22">
        <f>TREN01[[#This Row],[T]]-TREN01[[#This Row],[H]]</f>
        <v>2.88</v>
      </c>
      <c r="O363" s="20" t="str">
        <f t="shared" si="138"/>
        <v>OK</v>
      </c>
    </row>
    <row r="364" spans="1:15" x14ac:dyDescent="0.25">
      <c r="A364" s="93" t="s">
        <v>16</v>
      </c>
      <c r="B364" s="32">
        <v>1</v>
      </c>
      <c r="C364" s="32">
        <v>1165744</v>
      </c>
      <c r="D364" s="39">
        <v>46129</v>
      </c>
      <c r="E364" s="32" t="s">
        <v>15</v>
      </c>
      <c r="F364" s="32" t="str">
        <f t="shared" ref="F364:G364" si="176">F363</f>
        <v>M21</v>
      </c>
      <c r="G364" s="62" t="str">
        <f t="shared" si="176"/>
        <v>004</v>
      </c>
      <c r="H364" s="63" t="s">
        <v>42</v>
      </c>
      <c r="I364" s="64">
        <f t="shared" ref="I364" si="177">I363</f>
        <v>2</v>
      </c>
      <c r="J364" s="40" t="s">
        <v>32</v>
      </c>
      <c r="K364" s="115">
        <v>37</v>
      </c>
      <c r="L364" s="17">
        <v>0.21</v>
      </c>
      <c r="M364" s="19">
        <v>2.14</v>
      </c>
      <c r="N364" s="22">
        <f>TREN01[[#This Row],[T]]-TREN01[[#This Row],[H]]</f>
        <v>1.9300000000000002</v>
      </c>
      <c r="O364" s="20" t="str">
        <f t="shared" si="138"/>
        <v>OK</v>
      </c>
    </row>
    <row r="365" spans="1:15" x14ac:dyDescent="0.25">
      <c r="A365" s="93" t="s">
        <v>16</v>
      </c>
      <c r="B365" s="32">
        <v>1</v>
      </c>
      <c r="C365" s="32">
        <v>1165744</v>
      </c>
      <c r="D365" s="39">
        <v>46129</v>
      </c>
      <c r="E365" s="32" t="s">
        <v>15</v>
      </c>
      <c r="F365" s="32" t="str">
        <f t="shared" ref="F365:I365" si="178">F364</f>
        <v>M21</v>
      </c>
      <c r="G365" s="62" t="str">
        <f t="shared" si="178"/>
        <v>004</v>
      </c>
      <c r="H365" s="63" t="str">
        <f t="shared" si="178"/>
        <v>C3</v>
      </c>
      <c r="I365" s="64">
        <f t="shared" si="178"/>
        <v>2</v>
      </c>
      <c r="J365" s="40" t="s">
        <v>33</v>
      </c>
      <c r="K365" s="115">
        <v>38</v>
      </c>
      <c r="L365" s="17">
        <v>0.24</v>
      </c>
      <c r="M365" s="19">
        <v>2.2599999999999998</v>
      </c>
      <c r="N365" s="22">
        <f>TREN01[[#This Row],[T]]-TREN01[[#This Row],[H]]</f>
        <v>2.0199999999999996</v>
      </c>
      <c r="O365" s="20" t="str">
        <f t="shared" si="138"/>
        <v>OK</v>
      </c>
    </row>
    <row r="366" spans="1:15" x14ac:dyDescent="0.25">
      <c r="A366" s="93" t="s">
        <v>16</v>
      </c>
      <c r="B366" s="32">
        <v>1</v>
      </c>
      <c r="C366" s="32">
        <v>1165744</v>
      </c>
      <c r="D366" s="39">
        <v>46129</v>
      </c>
      <c r="E366" s="32" t="s">
        <v>15</v>
      </c>
      <c r="F366" s="32" t="str">
        <f t="shared" ref="F366:I366" si="179">F365</f>
        <v>M21</v>
      </c>
      <c r="G366" s="62" t="str">
        <f t="shared" si="179"/>
        <v>004</v>
      </c>
      <c r="H366" s="63" t="str">
        <f t="shared" si="179"/>
        <v>C3</v>
      </c>
      <c r="I366" s="64">
        <f t="shared" si="179"/>
        <v>2</v>
      </c>
      <c r="J366" s="40" t="s">
        <v>34</v>
      </c>
      <c r="K366" s="115">
        <v>38</v>
      </c>
      <c r="L366" s="17">
        <v>0.12</v>
      </c>
      <c r="M366" s="19">
        <v>1.2</v>
      </c>
      <c r="N366" s="22">
        <f>TREN01[[#This Row],[T]]-TREN01[[#This Row],[H]]</f>
        <v>1.08</v>
      </c>
      <c r="O366" s="20" t="str">
        <f t="shared" si="138"/>
        <v>OK</v>
      </c>
    </row>
    <row r="367" spans="1:15" x14ac:dyDescent="0.25">
      <c r="A367" s="93" t="s">
        <v>16</v>
      </c>
      <c r="B367" s="32">
        <v>1</v>
      </c>
      <c r="C367" s="32">
        <v>1165744</v>
      </c>
      <c r="D367" s="39">
        <v>46129</v>
      </c>
      <c r="E367" s="32" t="s">
        <v>15</v>
      </c>
      <c r="F367" s="32" t="str">
        <f t="shared" ref="F367:H367" si="180">F366</f>
        <v>M21</v>
      </c>
      <c r="G367" s="62" t="str">
        <f t="shared" si="180"/>
        <v>004</v>
      </c>
      <c r="H367" s="63" t="str">
        <f t="shared" si="180"/>
        <v>C3</v>
      </c>
      <c r="I367" s="64">
        <v>1</v>
      </c>
      <c r="J367" s="40" t="s">
        <v>35</v>
      </c>
      <c r="K367" s="115">
        <v>39</v>
      </c>
      <c r="L367" s="17">
        <v>0.72</v>
      </c>
      <c r="M367" s="19">
        <v>2.84</v>
      </c>
      <c r="N367" s="22">
        <f>TREN01[[#This Row],[T]]-TREN01[[#This Row],[H]]</f>
        <v>2.12</v>
      </c>
      <c r="O367" s="20" t="str">
        <f t="shared" si="138"/>
        <v>OK</v>
      </c>
    </row>
    <row r="368" spans="1:15" x14ac:dyDescent="0.25">
      <c r="A368" s="93" t="s">
        <v>16</v>
      </c>
      <c r="B368" s="32">
        <v>1</v>
      </c>
      <c r="C368" s="32">
        <v>1165744</v>
      </c>
      <c r="D368" s="39">
        <v>46129</v>
      </c>
      <c r="E368" s="32" t="s">
        <v>15</v>
      </c>
      <c r="F368" s="32" t="str">
        <f t="shared" ref="F368:I368" si="181">F367</f>
        <v>M21</v>
      </c>
      <c r="G368" s="62" t="str">
        <f t="shared" si="181"/>
        <v>004</v>
      </c>
      <c r="H368" s="63" t="str">
        <f t="shared" si="181"/>
        <v>C3</v>
      </c>
      <c r="I368" s="64">
        <f t="shared" si="181"/>
        <v>1</v>
      </c>
      <c r="J368" s="40" t="s">
        <v>36</v>
      </c>
      <c r="K368" s="115">
        <v>39</v>
      </c>
      <c r="L368" s="17">
        <v>0.94</v>
      </c>
      <c r="M368" s="19">
        <v>4.08</v>
      </c>
      <c r="N368" s="22">
        <f>TREN01[[#This Row],[T]]-TREN01[[#This Row],[H]]</f>
        <v>3.14</v>
      </c>
      <c r="O368" s="20" t="str">
        <f t="shared" si="138"/>
        <v>OK</v>
      </c>
    </row>
    <row r="369" spans="1:15" x14ac:dyDescent="0.25">
      <c r="A369" s="93" t="s">
        <v>16</v>
      </c>
      <c r="B369" s="32">
        <v>1</v>
      </c>
      <c r="C369" s="32">
        <v>1165744</v>
      </c>
      <c r="D369" s="39">
        <v>46129</v>
      </c>
      <c r="E369" s="32" t="s">
        <v>15</v>
      </c>
      <c r="F369" s="32" t="str">
        <f t="shared" ref="F369:I369" si="182">F368</f>
        <v>M21</v>
      </c>
      <c r="G369" s="62" t="str">
        <f t="shared" si="182"/>
        <v>004</v>
      </c>
      <c r="H369" s="63" t="str">
        <f t="shared" si="182"/>
        <v>C3</v>
      </c>
      <c r="I369" s="64">
        <f t="shared" si="182"/>
        <v>1</v>
      </c>
      <c r="J369" s="40" t="s">
        <v>37</v>
      </c>
      <c r="K369" s="115">
        <v>40</v>
      </c>
      <c r="L369" s="17">
        <v>0.42</v>
      </c>
      <c r="M369" s="19">
        <v>3.09</v>
      </c>
      <c r="N369" s="22">
        <f>TREN01[[#This Row],[T]]-TREN01[[#This Row],[H]]</f>
        <v>2.67</v>
      </c>
      <c r="O369" s="20" t="str">
        <f t="shared" si="138"/>
        <v>OK</v>
      </c>
    </row>
    <row r="370" spans="1:15" x14ac:dyDescent="0.25">
      <c r="A370" s="93" t="s">
        <v>16</v>
      </c>
      <c r="B370" s="32">
        <v>1</v>
      </c>
      <c r="C370" s="32">
        <v>1165744</v>
      </c>
      <c r="D370" s="39">
        <v>46129</v>
      </c>
      <c r="E370" s="32" t="s">
        <v>15</v>
      </c>
      <c r="F370" s="32" t="str">
        <f t="shared" ref="F370:I370" si="183">F369</f>
        <v>M21</v>
      </c>
      <c r="G370" s="62" t="str">
        <f t="shared" si="183"/>
        <v>004</v>
      </c>
      <c r="H370" s="63" t="str">
        <f t="shared" si="183"/>
        <v>C3</v>
      </c>
      <c r="I370" s="64">
        <f t="shared" si="183"/>
        <v>1</v>
      </c>
      <c r="J370" s="40" t="s">
        <v>38</v>
      </c>
      <c r="K370" s="115">
        <v>40</v>
      </c>
      <c r="L370" s="17">
        <v>0.66</v>
      </c>
      <c r="M370" s="19">
        <v>3.64</v>
      </c>
      <c r="N370" s="22">
        <f>TREN01[[#This Row],[T]]-TREN01[[#This Row],[H]]</f>
        <v>2.98</v>
      </c>
      <c r="O370" s="20" t="str">
        <f t="shared" si="138"/>
        <v>OK</v>
      </c>
    </row>
    <row r="371" spans="1:15" x14ac:dyDescent="0.25">
      <c r="A371" s="93" t="s">
        <v>16</v>
      </c>
      <c r="B371" s="32">
        <v>1</v>
      </c>
      <c r="C371" s="32">
        <v>1165744</v>
      </c>
      <c r="D371" s="39">
        <v>46129</v>
      </c>
      <c r="E371" s="32" t="s">
        <v>15</v>
      </c>
      <c r="F371" s="32" t="s">
        <v>28</v>
      </c>
      <c r="G371" s="62" t="s">
        <v>50</v>
      </c>
      <c r="H371" s="63" t="s">
        <v>39</v>
      </c>
      <c r="I371" s="64">
        <v>2</v>
      </c>
      <c r="J371" s="40" t="s">
        <v>31</v>
      </c>
      <c r="K371" s="115">
        <v>41</v>
      </c>
      <c r="L371" s="17">
        <v>0.15</v>
      </c>
      <c r="M371" s="19">
        <v>1.65</v>
      </c>
      <c r="N371" s="22">
        <f>TREN01[[#This Row],[T]]-TREN01[[#This Row],[H]]</f>
        <v>1.5</v>
      </c>
      <c r="O371" s="20" t="str">
        <f t="shared" si="138"/>
        <v>OK</v>
      </c>
    </row>
    <row r="372" spans="1:15" x14ac:dyDescent="0.25">
      <c r="A372" s="93" t="s">
        <v>16</v>
      </c>
      <c r="B372" s="32">
        <v>1</v>
      </c>
      <c r="C372" s="32">
        <v>1165744</v>
      </c>
      <c r="D372" s="39">
        <v>46129</v>
      </c>
      <c r="E372" s="32" t="s">
        <v>15</v>
      </c>
      <c r="F372" s="32" t="str">
        <f t="shared" ref="F372:I372" si="184">F371</f>
        <v>M20</v>
      </c>
      <c r="G372" s="62" t="str">
        <f t="shared" si="184"/>
        <v>003</v>
      </c>
      <c r="H372" s="63" t="str">
        <f t="shared" si="184"/>
        <v>C2</v>
      </c>
      <c r="I372" s="64">
        <f t="shared" si="184"/>
        <v>2</v>
      </c>
      <c r="J372" s="40" t="s">
        <v>32</v>
      </c>
      <c r="K372" s="115">
        <v>41</v>
      </c>
      <c r="L372" s="17">
        <v>7.0000000000000007E-2</v>
      </c>
      <c r="M372" s="19">
        <v>5.0599999999999996</v>
      </c>
      <c r="N372" s="22">
        <f>TREN01[[#This Row],[T]]-TREN01[[#This Row],[H]]</f>
        <v>4.9899999999999993</v>
      </c>
      <c r="O372" s="20" t="str">
        <f t="shared" si="138"/>
        <v>OK</v>
      </c>
    </row>
    <row r="373" spans="1:15" x14ac:dyDescent="0.25">
      <c r="A373" s="93" t="s">
        <v>16</v>
      </c>
      <c r="B373" s="32">
        <v>1</v>
      </c>
      <c r="C373" s="32">
        <v>1165744</v>
      </c>
      <c r="D373" s="39">
        <v>46129</v>
      </c>
      <c r="E373" s="32" t="s">
        <v>15</v>
      </c>
      <c r="F373" s="32" t="str">
        <f t="shared" ref="F373:I373" si="185">F372</f>
        <v>M20</v>
      </c>
      <c r="G373" s="62" t="str">
        <f t="shared" si="185"/>
        <v>003</v>
      </c>
      <c r="H373" s="63" t="str">
        <f t="shared" si="185"/>
        <v>C2</v>
      </c>
      <c r="I373" s="64">
        <f t="shared" si="185"/>
        <v>2</v>
      </c>
      <c r="J373" s="40" t="s">
        <v>33</v>
      </c>
      <c r="K373" s="115">
        <v>42</v>
      </c>
      <c r="L373" s="17">
        <v>0.05</v>
      </c>
      <c r="M373" s="19">
        <v>4.17</v>
      </c>
      <c r="N373" s="22">
        <f>TREN01[[#This Row],[T]]-TREN01[[#This Row],[H]]</f>
        <v>4.12</v>
      </c>
      <c r="O373" s="20" t="str">
        <f t="shared" si="138"/>
        <v>OK</v>
      </c>
    </row>
    <row r="374" spans="1:15" x14ac:dyDescent="0.25">
      <c r="A374" s="93" t="s">
        <v>16</v>
      </c>
      <c r="B374" s="32">
        <v>1</v>
      </c>
      <c r="C374" s="32">
        <v>1165744</v>
      </c>
      <c r="D374" s="39">
        <v>46129</v>
      </c>
      <c r="E374" s="32" t="s">
        <v>15</v>
      </c>
      <c r="F374" s="32" t="str">
        <f t="shared" ref="F374:I374" si="186">F373</f>
        <v>M20</v>
      </c>
      <c r="G374" s="62" t="str">
        <f t="shared" si="186"/>
        <v>003</v>
      </c>
      <c r="H374" s="63" t="str">
        <f t="shared" si="186"/>
        <v>C2</v>
      </c>
      <c r="I374" s="64">
        <f t="shared" si="186"/>
        <v>2</v>
      </c>
      <c r="J374" s="40" t="s">
        <v>34</v>
      </c>
      <c r="K374" s="115">
        <v>42</v>
      </c>
      <c r="L374" s="17">
        <v>0.14000000000000001</v>
      </c>
      <c r="M374" s="19">
        <v>4.9000000000000004</v>
      </c>
      <c r="N374" s="22">
        <f>TREN01[[#This Row],[T]]-TREN01[[#This Row],[H]]</f>
        <v>4.7600000000000007</v>
      </c>
      <c r="O374" s="20" t="str">
        <f t="shared" si="138"/>
        <v>OK</v>
      </c>
    </row>
    <row r="375" spans="1:15" x14ac:dyDescent="0.25">
      <c r="A375" s="93" t="s">
        <v>16</v>
      </c>
      <c r="B375" s="32">
        <v>1</v>
      </c>
      <c r="C375" s="32">
        <v>1165744</v>
      </c>
      <c r="D375" s="39">
        <v>46129</v>
      </c>
      <c r="E375" s="32" t="s">
        <v>15</v>
      </c>
      <c r="F375" s="32" t="str">
        <f t="shared" ref="F375:H375" si="187">F374</f>
        <v>M20</v>
      </c>
      <c r="G375" s="62" t="str">
        <f t="shared" si="187"/>
        <v>003</v>
      </c>
      <c r="H375" s="63" t="str">
        <f t="shared" si="187"/>
        <v>C2</v>
      </c>
      <c r="I375" s="64">
        <v>1</v>
      </c>
      <c r="J375" s="40" t="s">
        <v>35</v>
      </c>
      <c r="K375" s="115">
        <v>43</v>
      </c>
      <c r="L375" s="17">
        <v>0.46</v>
      </c>
      <c r="M375" s="19">
        <v>3.15</v>
      </c>
      <c r="N375" s="22">
        <f>TREN01[[#This Row],[T]]-TREN01[[#This Row],[H]]</f>
        <v>2.69</v>
      </c>
      <c r="O375" s="20" t="str">
        <f t="shared" si="138"/>
        <v>OK</v>
      </c>
    </row>
    <row r="376" spans="1:15" x14ac:dyDescent="0.25">
      <c r="A376" s="93" t="s">
        <v>16</v>
      </c>
      <c r="B376" s="32">
        <v>1</v>
      </c>
      <c r="C376" s="32">
        <v>1165744</v>
      </c>
      <c r="D376" s="39">
        <v>46129</v>
      </c>
      <c r="E376" s="32" t="s">
        <v>15</v>
      </c>
      <c r="F376" s="32" t="str">
        <f t="shared" ref="F376:I376" si="188">F375</f>
        <v>M20</v>
      </c>
      <c r="G376" s="62" t="str">
        <f t="shared" si="188"/>
        <v>003</v>
      </c>
      <c r="H376" s="63" t="str">
        <f t="shared" si="188"/>
        <v>C2</v>
      </c>
      <c r="I376" s="64">
        <f t="shared" si="188"/>
        <v>1</v>
      </c>
      <c r="J376" s="40" t="s">
        <v>36</v>
      </c>
      <c r="K376" s="115">
        <v>43</v>
      </c>
      <c r="L376" s="17">
        <v>0.5</v>
      </c>
      <c r="M376" s="19">
        <v>3.8</v>
      </c>
      <c r="N376" s="22">
        <f>TREN01[[#This Row],[T]]-TREN01[[#This Row],[H]]</f>
        <v>3.3</v>
      </c>
      <c r="O376" s="20" t="str">
        <f t="shared" si="138"/>
        <v>OK</v>
      </c>
    </row>
    <row r="377" spans="1:15" x14ac:dyDescent="0.25">
      <c r="A377" s="93" t="s">
        <v>16</v>
      </c>
      <c r="B377" s="32">
        <v>1</v>
      </c>
      <c r="C377" s="32">
        <v>1165744</v>
      </c>
      <c r="D377" s="39">
        <v>46129</v>
      </c>
      <c r="E377" s="32" t="s">
        <v>15</v>
      </c>
      <c r="F377" s="32" t="str">
        <f t="shared" ref="F377:I377" si="189">F376</f>
        <v>M20</v>
      </c>
      <c r="G377" s="62" t="str">
        <f t="shared" si="189"/>
        <v>003</v>
      </c>
      <c r="H377" s="63" t="str">
        <f t="shared" si="189"/>
        <v>C2</v>
      </c>
      <c r="I377" s="64">
        <f t="shared" si="189"/>
        <v>1</v>
      </c>
      <c r="J377" s="40" t="s">
        <v>37</v>
      </c>
      <c r="K377" s="115">
        <v>44</v>
      </c>
      <c r="L377" s="17">
        <v>0.04</v>
      </c>
      <c r="M377" s="19">
        <v>4.25</v>
      </c>
      <c r="N377" s="22">
        <f>TREN01[[#This Row],[T]]-TREN01[[#This Row],[H]]</f>
        <v>4.21</v>
      </c>
      <c r="O377" s="20" t="str">
        <f t="shared" si="138"/>
        <v>OK</v>
      </c>
    </row>
    <row r="378" spans="1:15" x14ac:dyDescent="0.25">
      <c r="A378" s="93" t="s">
        <v>16</v>
      </c>
      <c r="B378" s="32">
        <v>1</v>
      </c>
      <c r="C378" s="32">
        <v>1165744</v>
      </c>
      <c r="D378" s="39">
        <v>46129</v>
      </c>
      <c r="E378" s="32" t="s">
        <v>15</v>
      </c>
      <c r="F378" s="32" t="str">
        <f t="shared" ref="F378:I378" si="190">F377</f>
        <v>M20</v>
      </c>
      <c r="G378" s="62" t="str">
        <f t="shared" si="190"/>
        <v>003</v>
      </c>
      <c r="H378" s="63" t="str">
        <f t="shared" si="190"/>
        <v>C2</v>
      </c>
      <c r="I378" s="64">
        <f t="shared" si="190"/>
        <v>1</v>
      </c>
      <c r="J378" s="40" t="s">
        <v>38</v>
      </c>
      <c r="K378" s="115">
        <v>44</v>
      </c>
      <c r="L378" s="17">
        <v>7.0000000000000007E-2</v>
      </c>
      <c r="M378" s="19">
        <v>4.0999999999999996</v>
      </c>
      <c r="N378" s="22">
        <f>TREN01[[#This Row],[T]]-TREN01[[#This Row],[H]]</f>
        <v>4.0299999999999994</v>
      </c>
      <c r="O378" s="20" t="str">
        <f t="shared" si="138"/>
        <v>OK</v>
      </c>
    </row>
    <row r="379" spans="1:15" x14ac:dyDescent="0.25">
      <c r="A379" s="93" t="s">
        <v>16</v>
      </c>
      <c r="B379" s="32">
        <v>1</v>
      </c>
      <c r="C379" s="32">
        <v>1165744</v>
      </c>
      <c r="D379" s="39">
        <v>46129</v>
      </c>
      <c r="E379" s="32" t="s">
        <v>15</v>
      </c>
      <c r="F379" s="32" t="str">
        <f t="shared" ref="F379:G379" si="191">F378</f>
        <v>M20</v>
      </c>
      <c r="G379" s="62" t="str">
        <f t="shared" si="191"/>
        <v>003</v>
      </c>
      <c r="H379" s="63" t="s">
        <v>30</v>
      </c>
      <c r="I379" s="64">
        <v>2</v>
      </c>
      <c r="J379" s="40" t="s">
        <v>31</v>
      </c>
      <c r="K379" s="115">
        <v>45</v>
      </c>
      <c r="L379" s="17">
        <v>0.81</v>
      </c>
      <c r="M379" s="19">
        <v>3.46</v>
      </c>
      <c r="N379" s="22">
        <f>TREN01[[#This Row],[T]]-TREN01[[#This Row],[H]]</f>
        <v>2.65</v>
      </c>
      <c r="O379" s="20" t="str">
        <f t="shared" si="138"/>
        <v>OK</v>
      </c>
    </row>
    <row r="380" spans="1:15" x14ac:dyDescent="0.25">
      <c r="A380" s="93" t="s">
        <v>16</v>
      </c>
      <c r="B380" s="32">
        <v>1</v>
      </c>
      <c r="C380" s="32">
        <v>1165744</v>
      </c>
      <c r="D380" s="39">
        <v>46129</v>
      </c>
      <c r="E380" s="32" t="s">
        <v>15</v>
      </c>
      <c r="F380" s="32" t="str">
        <f t="shared" ref="F380:I380" si="192">F379</f>
        <v>M20</v>
      </c>
      <c r="G380" s="62" t="str">
        <f t="shared" si="192"/>
        <v>003</v>
      </c>
      <c r="H380" s="63" t="str">
        <f t="shared" si="192"/>
        <v>C1</v>
      </c>
      <c r="I380" s="64">
        <f t="shared" si="192"/>
        <v>2</v>
      </c>
      <c r="J380" s="40" t="s">
        <v>32</v>
      </c>
      <c r="K380" s="115">
        <v>45</v>
      </c>
      <c r="L380" s="17">
        <v>0.24</v>
      </c>
      <c r="M380" s="19">
        <v>2.23</v>
      </c>
      <c r="N380" s="22">
        <f>TREN01[[#This Row],[T]]-TREN01[[#This Row],[H]]</f>
        <v>1.99</v>
      </c>
      <c r="O380" s="20" t="str">
        <f t="shared" si="138"/>
        <v>OK</v>
      </c>
    </row>
    <row r="381" spans="1:15" x14ac:dyDescent="0.25">
      <c r="A381" s="93" t="s">
        <v>16</v>
      </c>
      <c r="B381" s="32">
        <v>1</v>
      </c>
      <c r="C381" s="32">
        <v>1165744</v>
      </c>
      <c r="D381" s="39">
        <v>46129</v>
      </c>
      <c r="E381" s="32" t="s">
        <v>15</v>
      </c>
      <c r="F381" s="32" t="str">
        <f t="shared" ref="F381:I381" si="193">F380</f>
        <v>M20</v>
      </c>
      <c r="G381" s="62" t="str">
        <f t="shared" si="193"/>
        <v>003</v>
      </c>
      <c r="H381" s="63" t="str">
        <f t="shared" si="193"/>
        <v>C1</v>
      </c>
      <c r="I381" s="64">
        <f t="shared" si="193"/>
        <v>2</v>
      </c>
      <c r="J381" s="40" t="s">
        <v>33</v>
      </c>
      <c r="K381" s="115">
        <v>46</v>
      </c>
      <c r="L381" s="17">
        <v>0.28999999999999998</v>
      </c>
      <c r="M381" s="19">
        <v>3.51</v>
      </c>
      <c r="N381" s="22">
        <f>TREN01[[#This Row],[T]]-TREN01[[#This Row],[H]]</f>
        <v>3.2199999999999998</v>
      </c>
      <c r="O381" s="20" t="str">
        <f t="shared" si="138"/>
        <v>OK</v>
      </c>
    </row>
    <row r="382" spans="1:15" x14ac:dyDescent="0.25">
      <c r="A382" s="93" t="s">
        <v>16</v>
      </c>
      <c r="B382" s="32">
        <v>1</v>
      </c>
      <c r="C382" s="32">
        <v>1165744</v>
      </c>
      <c r="D382" s="39">
        <v>46129</v>
      </c>
      <c r="E382" s="32" t="s">
        <v>15</v>
      </c>
      <c r="F382" s="32" t="str">
        <f t="shared" ref="F382:I382" si="194">F381</f>
        <v>M20</v>
      </c>
      <c r="G382" s="62" t="str">
        <f t="shared" si="194"/>
        <v>003</v>
      </c>
      <c r="H382" s="63" t="str">
        <f t="shared" si="194"/>
        <v>C1</v>
      </c>
      <c r="I382" s="64">
        <f t="shared" si="194"/>
        <v>2</v>
      </c>
      <c r="J382" s="40" t="s">
        <v>34</v>
      </c>
      <c r="K382" s="115">
        <v>46</v>
      </c>
      <c r="L382" s="17">
        <v>0.09</v>
      </c>
      <c r="M382" s="19">
        <v>4.6900000000000004</v>
      </c>
      <c r="N382" s="22">
        <f>TREN01[[#This Row],[T]]-TREN01[[#This Row],[H]]</f>
        <v>4.6000000000000005</v>
      </c>
      <c r="O382" s="20" t="str">
        <f t="shared" si="138"/>
        <v>OK</v>
      </c>
    </row>
    <row r="383" spans="1:15" x14ac:dyDescent="0.25">
      <c r="A383" s="93" t="s">
        <v>16</v>
      </c>
      <c r="B383" s="32">
        <v>1</v>
      </c>
      <c r="C383" s="32">
        <v>1165744</v>
      </c>
      <c r="D383" s="39">
        <v>46129</v>
      </c>
      <c r="E383" s="32" t="s">
        <v>15</v>
      </c>
      <c r="F383" s="32" t="str">
        <f t="shared" ref="F383:H383" si="195">F382</f>
        <v>M20</v>
      </c>
      <c r="G383" s="62" t="str">
        <f t="shared" si="195"/>
        <v>003</v>
      </c>
      <c r="H383" s="63" t="str">
        <f t="shared" si="195"/>
        <v>C1</v>
      </c>
      <c r="I383" s="64">
        <v>1</v>
      </c>
      <c r="J383" s="40" t="s">
        <v>35</v>
      </c>
      <c r="K383" s="115">
        <v>47</v>
      </c>
      <c r="L383" s="17">
        <v>0.56999999999999995</v>
      </c>
      <c r="M383" s="19">
        <v>3.06</v>
      </c>
      <c r="N383" s="22">
        <f>TREN01[[#This Row],[T]]-TREN01[[#This Row],[H]]</f>
        <v>2.4900000000000002</v>
      </c>
      <c r="O383" s="20" t="str">
        <f t="shared" si="138"/>
        <v>OK</v>
      </c>
    </row>
    <row r="384" spans="1:15" x14ac:dyDescent="0.25">
      <c r="A384" s="93" t="s">
        <v>16</v>
      </c>
      <c r="B384" s="32">
        <v>1</v>
      </c>
      <c r="C384" s="32">
        <v>1165744</v>
      </c>
      <c r="D384" s="39">
        <v>46129</v>
      </c>
      <c r="E384" s="32" t="s">
        <v>15</v>
      </c>
      <c r="F384" s="32" t="str">
        <f t="shared" ref="F384:I384" si="196">F383</f>
        <v>M20</v>
      </c>
      <c r="G384" s="62" t="str">
        <f t="shared" si="196"/>
        <v>003</v>
      </c>
      <c r="H384" s="63" t="str">
        <f t="shared" si="196"/>
        <v>C1</v>
      </c>
      <c r="I384" s="64">
        <f t="shared" si="196"/>
        <v>1</v>
      </c>
      <c r="J384" s="40" t="s">
        <v>36</v>
      </c>
      <c r="K384" s="115">
        <v>47</v>
      </c>
      <c r="L384" s="17">
        <v>0.06</v>
      </c>
      <c r="M384" s="19">
        <v>1.94</v>
      </c>
      <c r="N384" s="22">
        <f>TREN01[[#This Row],[T]]-TREN01[[#This Row],[H]]</f>
        <v>1.88</v>
      </c>
      <c r="O384" s="20" t="str">
        <f t="shared" si="138"/>
        <v>OK</v>
      </c>
    </row>
    <row r="385" spans="1:15" x14ac:dyDescent="0.25">
      <c r="A385" s="96" t="s">
        <v>16</v>
      </c>
      <c r="B385" s="43">
        <v>1</v>
      </c>
      <c r="C385" s="43">
        <v>1165744</v>
      </c>
      <c r="D385" s="44">
        <v>46129</v>
      </c>
      <c r="E385" s="43" t="s">
        <v>15</v>
      </c>
      <c r="F385" s="43" t="str">
        <f t="shared" ref="F385:I385" si="197">F384</f>
        <v>M20</v>
      </c>
      <c r="G385" s="97" t="str">
        <f t="shared" si="197"/>
        <v>003</v>
      </c>
      <c r="H385" s="98" t="str">
        <f t="shared" si="197"/>
        <v>C1</v>
      </c>
      <c r="I385" s="99">
        <f t="shared" si="197"/>
        <v>1</v>
      </c>
      <c r="J385" s="100" t="s">
        <v>37</v>
      </c>
      <c r="K385" s="116">
        <v>48</v>
      </c>
      <c r="L385" s="23">
        <v>0.08</v>
      </c>
      <c r="M385" s="24">
        <v>1.99</v>
      </c>
      <c r="N385" s="109">
        <f>TREN01[[#This Row],[T]]-TREN01[[#This Row],[H]]</f>
        <v>1.91</v>
      </c>
      <c r="O385" s="20" t="str">
        <f t="shared" si="138"/>
        <v>OK</v>
      </c>
    </row>
    <row r="386" spans="1:15" x14ac:dyDescent="0.25">
      <c r="A386" s="54" t="s">
        <v>16</v>
      </c>
      <c r="B386" s="32">
        <v>1</v>
      </c>
      <c r="C386" s="32">
        <v>1165744</v>
      </c>
      <c r="D386" s="39">
        <v>46129</v>
      </c>
      <c r="E386" s="32" t="s">
        <v>15</v>
      </c>
      <c r="F386" s="32" t="str">
        <f t="shared" ref="F386:I386" si="198">F385</f>
        <v>M20</v>
      </c>
      <c r="G386" s="62" t="str">
        <f t="shared" si="198"/>
        <v>003</v>
      </c>
      <c r="H386" s="38" t="str">
        <f t="shared" si="198"/>
        <v>C1</v>
      </c>
      <c r="I386" s="38">
        <f t="shared" si="198"/>
        <v>1</v>
      </c>
      <c r="J386" s="37" t="s">
        <v>38</v>
      </c>
      <c r="K386" s="37">
        <v>48</v>
      </c>
      <c r="L386" s="26">
        <v>0.09</v>
      </c>
      <c r="M386" s="26">
        <v>4.76</v>
      </c>
      <c r="N386" s="29">
        <f>TREN01[[#This Row],[T]]-TREN01[[#This Row],[H]]</f>
        <v>4.67</v>
      </c>
      <c r="O386" s="20" t="str">
        <f t="shared" si="138"/>
        <v>OK</v>
      </c>
    </row>
    <row r="387" spans="1:15" x14ac:dyDescent="0.25">
      <c r="A387" s="91" t="s">
        <v>16</v>
      </c>
      <c r="B387" s="32">
        <v>1</v>
      </c>
      <c r="C387" s="32">
        <v>1172205</v>
      </c>
      <c r="D387" s="39">
        <v>46169</v>
      </c>
      <c r="E387" s="32" t="s">
        <v>15</v>
      </c>
      <c r="F387" s="32" t="s">
        <v>28</v>
      </c>
      <c r="G387" s="62" t="s">
        <v>50</v>
      </c>
      <c r="H387" s="63" t="s">
        <v>30</v>
      </c>
      <c r="I387" s="64">
        <v>1</v>
      </c>
      <c r="J387" s="40" t="s">
        <v>31</v>
      </c>
      <c r="K387" s="114">
        <v>1</v>
      </c>
      <c r="L387" s="17">
        <v>0.1</v>
      </c>
      <c r="M387" s="19">
        <v>4.79</v>
      </c>
      <c r="N387" s="18">
        <f>TREN01[[#This Row],[T]]-TREN01[[#This Row],[H]]</f>
        <v>4.6900000000000004</v>
      </c>
      <c r="O387" s="20" t="str">
        <f t="shared" si="138"/>
        <v>OK</v>
      </c>
    </row>
    <row r="388" spans="1:15" x14ac:dyDescent="0.25">
      <c r="A388" s="91" t="s">
        <v>16</v>
      </c>
      <c r="B388" s="32">
        <v>1</v>
      </c>
      <c r="C388" s="32">
        <v>1172205</v>
      </c>
      <c r="D388" s="39">
        <v>46169</v>
      </c>
      <c r="E388" s="32" t="s">
        <v>15</v>
      </c>
      <c r="F388" s="32" t="str">
        <f t="shared" ref="F388:I388" si="199">F387</f>
        <v>M20</v>
      </c>
      <c r="G388" s="62" t="str">
        <f t="shared" si="199"/>
        <v>003</v>
      </c>
      <c r="H388" s="63" t="str">
        <f t="shared" si="199"/>
        <v>C1</v>
      </c>
      <c r="I388" s="64">
        <f t="shared" si="199"/>
        <v>1</v>
      </c>
      <c r="J388" s="40" t="s">
        <v>32</v>
      </c>
      <c r="K388" s="115">
        <v>1</v>
      </c>
      <c r="L388" s="17">
        <v>0.09</v>
      </c>
      <c r="M388" s="19">
        <v>4.67</v>
      </c>
      <c r="N388" s="22">
        <f>TREN01[[#This Row],[T]]-TREN01[[#This Row],[H]]</f>
        <v>4.58</v>
      </c>
      <c r="O388" s="20" t="str">
        <f t="shared" ref="O388:O451" si="200">IF(N388&lt;=0,"Critico",IF(N388&lt;=0.2,"Cambio",IF(N388&lt;=1,"Seguimiento",IF(L388&gt;=1.7,"Reperfilado","OK"))))</f>
        <v>OK</v>
      </c>
    </row>
    <row r="389" spans="1:15" x14ac:dyDescent="0.25">
      <c r="A389" s="93" t="s">
        <v>16</v>
      </c>
      <c r="B389" s="32">
        <v>1</v>
      </c>
      <c r="C389" s="32">
        <v>1172205</v>
      </c>
      <c r="D389" s="39">
        <v>46169</v>
      </c>
      <c r="E389" s="32" t="s">
        <v>15</v>
      </c>
      <c r="F389" s="32" t="str">
        <f t="shared" ref="F389:I389" si="201">F388</f>
        <v>M20</v>
      </c>
      <c r="G389" s="62" t="str">
        <f t="shared" si="201"/>
        <v>003</v>
      </c>
      <c r="H389" s="63" t="str">
        <f t="shared" si="201"/>
        <v>C1</v>
      </c>
      <c r="I389" s="64">
        <f t="shared" si="201"/>
        <v>1</v>
      </c>
      <c r="J389" s="40" t="s">
        <v>33</v>
      </c>
      <c r="K389" s="115">
        <v>2</v>
      </c>
      <c r="L389" s="17">
        <v>0.65</v>
      </c>
      <c r="M389" s="19">
        <v>4.1100000000000003</v>
      </c>
      <c r="N389" s="22">
        <f>TREN01[[#This Row],[T]]-TREN01[[#This Row],[H]]</f>
        <v>3.4600000000000004</v>
      </c>
      <c r="O389" s="20" t="str">
        <f t="shared" si="200"/>
        <v>OK</v>
      </c>
    </row>
    <row r="390" spans="1:15" x14ac:dyDescent="0.25">
      <c r="A390" s="93" t="s">
        <v>16</v>
      </c>
      <c r="B390" s="32">
        <v>1</v>
      </c>
      <c r="C390" s="32">
        <v>1172205</v>
      </c>
      <c r="D390" s="39">
        <v>46169</v>
      </c>
      <c r="E390" s="32" t="s">
        <v>15</v>
      </c>
      <c r="F390" s="32" t="str">
        <f t="shared" ref="F390:I390" si="202">F389</f>
        <v>M20</v>
      </c>
      <c r="G390" s="62" t="str">
        <f t="shared" si="202"/>
        <v>003</v>
      </c>
      <c r="H390" s="63" t="str">
        <f t="shared" si="202"/>
        <v>C1</v>
      </c>
      <c r="I390" s="64">
        <f t="shared" si="202"/>
        <v>1</v>
      </c>
      <c r="J390" s="40" t="s">
        <v>34</v>
      </c>
      <c r="K390" s="115">
        <v>2</v>
      </c>
      <c r="L390" s="17">
        <v>0.28000000000000003</v>
      </c>
      <c r="M390" s="19">
        <v>1.2</v>
      </c>
      <c r="N390" s="22">
        <f>TREN01[[#This Row],[T]]-TREN01[[#This Row],[H]]</f>
        <v>0.91999999999999993</v>
      </c>
      <c r="O390" s="20" t="str">
        <f t="shared" si="200"/>
        <v>Seguimiento</v>
      </c>
    </row>
    <row r="391" spans="1:15" x14ac:dyDescent="0.25">
      <c r="A391" s="93" t="s">
        <v>16</v>
      </c>
      <c r="B391" s="32">
        <v>1</v>
      </c>
      <c r="C391" s="32">
        <v>1172205</v>
      </c>
      <c r="D391" s="39">
        <v>46169</v>
      </c>
      <c r="E391" s="32" t="s">
        <v>15</v>
      </c>
      <c r="F391" s="32" t="str">
        <f t="shared" ref="F391:H391" si="203">F390</f>
        <v>M20</v>
      </c>
      <c r="G391" s="62" t="str">
        <f t="shared" si="203"/>
        <v>003</v>
      </c>
      <c r="H391" s="63" t="str">
        <f t="shared" si="203"/>
        <v>C1</v>
      </c>
      <c r="I391" s="64">
        <v>2</v>
      </c>
      <c r="J391" s="40" t="s">
        <v>35</v>
      </c>
      <c r="K391" s="115">
        <v>3</v>
      </c>
      <c r="L391" s="17">
        <v>0.05</v>
      </c>
      <c r="M391" s="19">
        <v>5.05</v>
      </c>
      <c r="N391" s="22">
        <f>TREN01[[#This Row],[T]]-TREN01[[#This Row],[H]]</f>
        <v>5</v>
      </c>
      <c r="O391" s="20" t="str">
        <f t="shared" si="200"/>
        <v>OK</v>
      </c>
    </row>
    <row r="392" spans="1:15" x14ac:dyDescent="0.25">
      <c r="A392" s="93" t="s">
        <v>16</v>
      </c>
      <c r="B392" s="32">
        <v>1</v>
      </c>
      <c r="C392" s="32">
        <v>1172205</v>
      </c>
      <c r="D392" s="39">
        <v>46169</v>
      </c>
      <c r="E392" s="32" t="s">
        <v>15</v>
      </c>
      <c r="F392" s="32" t="str">
        <f t="shared" ref="F392:I392" si="204">F391</f>
        <v>M20</v>
      </c>
      <c r="G392" s="62" t="str">
        <f t="shared" si="204"/>
        <v>003</v>
      </c>
      <c r="H392" s="63" t="str">
        <f t="shared" si="204"/>
        <v>C1</v>
      </c>
      <c r="I392" s="64">
        <f t="shared" si="204"/>
        <v>2</v>
      </c>
      <c r="J392" s="40" t="s">
        <v>36</v>
      </c>
      <c r="K392" s="115">
        <v>3</v>
      </c>
      <c r="L392" s="17">
        <v>0.13</v>
      </c>
      <c r="M392" s="19">
        <v>2.4300000000000002</v>
      </c>
      <c r="N392" s="22">
        <f>TREN01[[#This Row],[T]]-TREN01[[#This Row],[H]]</f>
        <v>2.3000000000000003</v>
      </c>
      <c r="O392" s="20" t="str">
        <f t="shared" si="200"/>
        <v>OK</v>
      </c>
    </row>
    <row r="393" spans="1:15" x14ac:dyDescent="0.25">
      <c r="A393" s="93" t="s">
        <v>16</v>
      </c>
      <c r="B393" s="32">
        <v>1</v>
      </c>
      <c r="C393" s="32">
        <v>1172205</v>
      </c>
      <c r="D393" s="39">
        <v>46169</v>
      </c>
      <c r="E393" s="32" t="s">
        <v>15</v>
      </c>
      <c r="F393" s="32" t="str">
        <f t="shared" ref="F393:I393" si="205">F392</f>
        <v>M20</v>
      </c>
      <c r="G393" s="62" t="str">
        <f t="shared" si="205"/>
        <v>003</v>
      </c>
      <c r="H393" s="63" t="str">
        <f t="shared" si="205"/>
        <v>C1</v>
      </c>
      <c r="I393" s="64">
        <f t="shared" si="205"/>
        <v>2</v>
      </c>
      <c r="J393" s="40" t="s">
        <v>37</v>
      </c>
      <c r="K393" s="115">
        <v>4</v>
      </c>
      <c r="L393" s="17">
        <v>7.0000000000000007E-2</v>
      </c>
      <c r="M393" s="19">
        <v>5.01</v>
      </c>
      <c r="N393" s="22">
        <f>TREN01[[#This Row],[T]]-TREN01[[#This Row],[H]]</f>
        <v>4.9399999999999995</v>
      </c>
      <c r="O393" s="20" t="str">
        <f t="shared" si="200"/>
        <v>OK</v>
      </c>
    </row>
    <row r="394" spans="1:15" x14ac:dyDescent="0.25">
      <c r="A394" s="93" t="s">
        <v>16</v>
      </c>
      <c r="B394" s="32">
        <v>1</v>
      </c>
      <c r="C394" s="32">
        <v>1172205</v>
      </c>
      <c r="D394" s="39">
        <v>46169</v>
      </c>
      <c r="E394" s="32" t="s">
        <v>15</v>
      </c>
      <c r="F394" s="32" t="str">
        <f t="shared" ref="F394:I394" si="206">F393</f>
        <v>M20</v>
      </c>
      <c r="G394" s="62" t="str">
        <f t="shared" si="206"/>
        <v>003</v>
      </c>
      <c r="H394" s="63" t="str">
        <f t="shared" si="206"/>
        <v>C1</v>
      </c>
      <c r="I394" s="64">
        <f t="shared" si="206"/>
        <v>2</v>
      </c>
      <c r="J394" s="40" t="s">
        <v>38</v>
      </c>
      <c r="K394" s="115">
        <v>4</v>
      </c>
      <c r="L394" s="17">
        <v>0.2</v>
      </c>
      <c r="M394" s="19">
        <v>4.58</v>
      </c>
      <c r="N394" s="22">
        <f>TREN01[[#This Row],[T]]-TREN01[[#This Row],[H]]</f>
        <v>4.38</v>
      </c>
      <c r="O394" s="20" t="str">
        <f t="shared" si="200"/>
        <v>OK</v>
      </c>
    </row>
    <row r="395" spans="1:15" x14ac:dyDescent="0.25">
      <c r="A395" s="93" t="s">
        <v>16</v>
      </c>
      <c r="B395" s="32">
        <v>1</v>
      </c>
      <c r="C395" s="32">
        <v>1172205</v>
      </c>
      <c r="D395" s="39">
        <v>46169</v>
      </c>
      <c r="E395" s="32" t="s">
        <v>15</v>
      </c>
      <c r="F395" s="32" t="str">
        <f t="shared" ref="F395:G395" si="207">F394</f>
        <v>M20</v>
      </c>
      <c r="G395" s="62" t="str">
        <f t="shared" si="207"/>
        <v>003</v>
      </c>
      <c r="H395" s="63" t="s">
        <v>39</v>
      </c>
      <c r="I395" s="64">
        <v>1</v>
      </c>
      <c r="J395" s="40" t="s">
        <v>31</v>
      </c>
      <c r="K395" s="115">
        <v>5</v>
      </c>
      <c r="L395" s="17">
        <v>0.56000000000000005</v>
      </c>
      <c r="M395" s="19">
        <v>3.83</v>
      </c>
      <c r="N395" s="22">
        <f>TREN01[[#This Row],[T]]-TREN01[[#This Row],[H]]</f>
        <v>3.27</v>
      </c>
      <c r="O395" s="20" t="str">
        <f t="shared" si="200"/>
        <v>OK</v>
      </c>
    </row>
    <row r="396" spans="1:15" x14ac:dyDescent="0.25">
      <c r="A396" s="93" t="s">
        <v>16</v>
      </c>
      <c r="B396" s="32">
        <v>1</v>
      </c>
      <c r="C396" s="32">
        <v>1172205</v>
      </c>
      <c r="D396" s="39">
        <v>46169</v>
      </c>
      <c r="E396" s="32" t="s">
        <v>15</v>
      </c>
      <c r="F396" s="32" t="str">
        <f t="shared" ref="F396:I396" si="208">F395</f>
        <v>M20</v>
      </c>
      <c r="G396" s="62" t="str">
        <f t="shared" si="208"/>
        <v>003</v>
      </c>
      <c r="H396" s="63" t="str">
        <f t="shared" si="208"/>
        <v>C2</v>
      </c>
      <c r="I396" s="64">
        <f t="shared" si="208"/>
        <v>1</v>
      </c>
      <c r="J396" s="40" t="s">
        <v>32</v>
      </c>
      <c r="K396" s="115">
        <v>5</v>
      </c>
      <c r="L396" s="17">
        <v>0.2</v>
      </c>
      <c r="M396" s="19">
        <v>3.42</v>
      </c>
      <c r="N396" s="22">
        <f>TREN01[[#This Row],[T]]-TREN01[[#This Row],[H]]</f>
        <v>3.2199999999999998</v>
      </c>
      <c r="O396" s="20" t="str">
        <f t="shared" si="200"/>
        <v>OK</v>
      </c>
    </row>
    <row r="397" spans="1:15" x14ac:dyDescent="0.25">
      <c r="A397" s="93" t="s">
        <v>16</v>
      </c>
      <c r="B397" s="32">
        <v>1</v>
      </c>
      <c r="C397" s="32">
        <v>1172205</v>
      </c>
      <c r="D397" s="39">
        <v>46169</v>
      </c>
      <c r="E397" s="32" t="s">
        <v>15</v>
      </c>
      <c r="F397" s="32" t="str">
        <f t="shared" ref="F397:I397" si="209">F396</f>
        <v>M20</v>
      </c>
      <c r="G397" s="62" t="str">
        <f t="shared" si="209"/>
        <v>003</v>
      </c>
      <c r="H397" s="63" t="str">
        <f t="shared" si="209"/>
        <v>C2</v>
      </c>
      <c r="I397" s="64">
        <f t="shared" si="209"/>
        <v>1</v>
      </c>
      <c r="J397" s="40" t="s">
        <v>33</v>
      </c>
      <c r="K397" s="115">
        <v>6</v>
      </c>
      <c r="L397" s="17">
        <v>0.1</v>
      </c>
      <c r="M397" s="19">
        <v>3.25</v>
      </c>
      <c r="N397" s="22">
        <f>TREN01[[#This Row],[T]]-TREN01[[#This Row],[H]]</f>
        <v>3.15</v>
      </c>
      <c r="O397" s="20" t="str">
        <f t="shared" si="200"/>
        <v>OK</v>
      </c>
    </row>
    <row r="398" spans="1:15" x14ac:dyDescent="0.25">
      <c r="A398" s="93" t="s">
        <v>16</v>
      </c>
      <c r="B398" s="32">
        <v>1</v>
      </c>
      <c r="C398" s="32">
        <v>1172205</v>
      </c>
      <c r="D398" s="39">
        <v>46169</v>
      </c>
      <c r="E398" s="32" t="s">
        <v>15</v>
      </c>
      <c r="F398" s="32" t="str">
        <f t="shared" ref="F398:I398" si="210">F397</f>
        <v>M20</v>
      </c>
      <c r="G398" s="62" t="str">
        <f t="shared" si="210"/>
        <v>003</v>
      </c>
      <c r="H398" s="63" t="str">
        <f t="shared" si="210"/>
        <v>C2</v>
      </c>
      <c r="I398" s="64">
        <f t="shared" si="210"/>
        <v>1</v>
      </c>
      <c r="J398" s="40" t="s">
        <v>34</v>
      </c>
      <c r="K398" s="115">
        <v>6</v>
      </c>
      <c r="L398" s="17">
        <v>0.49</v>
      </c>
      <c r="M398" s="19">
        <v>4.3600000000000003</v>
      </c>
      <c r="N398" s="22">
        <f>TREN01[[#This Row],[T]]-TREN01[[#This Row],[H]]</f>
        <v>3.87</v>
      </c>
      <c r="O398" s="20" t="str">
        <f t="shared" si="200"/>
        <v>OK</v>
      </c>
    </row>
    <row r="399" spans="1:15" x14ac:dyDescent="0.25">
      <c r="A399" s="93" t="s">
        <v>16</v>
      </c>
      <c r="B399" s="32">
        <v>1</v>
      </c>
      <c r="C399" s="32">
        <v>1172205</v>
      </c>
      <c r="D399" s="39">
        <v>46169</v>
      </c>
      <c r="E399" s="32" t="s">
        <v>15</v>
      </c>
      <c r="F399" s="32" t="str">
        <f t="shared" ref="F399:H399" si="211">F398</f>
        <v>M20</v>
      </c>
      <c r="G399" s="62" t="str">
        <f t="shared" si="211"/>
        <v>003</v>
      </c>
      <c r="H399" s="63" t="str">
        <f t="shared" si="211"/>
        <v>C2</v>
      </c>
      <c r="I399" s="64">
        <v>2</v>
      </c>
      <c r="J399" s="40" t="s">
        <v>35</v>
      </c>
      <c r="K399" s="115">
        <v>7</v>
      </c>
      <c r="L399" s="17">
        <v>1</v>
      </c>
      <c r="M399" s="19">
        <v>4.6500000000000004</v>
      </c>
      <c r="N399" s="22">
        <f>TREN01[[#This Row],[T]]-TREN01[[#This Row],[H]]</f>
        <v>3.6500000000000004</v>
      </c>
      <c r="O399" s="20" t="str">
        <f t="shared" si="200"/>
        <v>OK</v>
      </c>
    </row>
    <row r="400" spans="1:15" x14ac:dyDescent="0.25">
      <c r="A400" s="93" t="s">
        <v>16</v>
      </c>
      <c r="B400" s="32">
        <v>1</v>
      </c>
      <c r="C400" s="32">
        <v>1172205</v>
      </c>
      <c r="D400" s="39">
        <v>46169</v>
      </c>
      <c r="E400" s="32" t="s">
        <v>15</v>
      </c>
      <c r="F400" s="32" t="str">
        <f t="shared" ref="F400:I400" si="212">F399</f>
        <v>M20</v>
      </c>
      <c r="G400" s="62" t="str">
        <f t="shared" si="212"/>
        <v>003</v>
      </c>
      <c r="H400" s="63" t="str">
        <f t="shared" si="212"/>
        <v>C2</v>
      </c>
      <c r="I400" s="64">
        <f t="shared" si="212"/>
        <v>2</v>
      </c>
      <c r="J400" s="40" t="s">
        <v>36</v>
      </c>
      <c r="K400" s="115">
        <v>7</v>
      </c>
      <c r="L400" s="17">
        <v>0.48</v>
      </c>
      <c r="M400" s="19">
        <v>3.71</v>
      </c>
      <c r="N400" s="22">
        <f>TREN01[[#This Row],[T]]-TREN01[[#This Row],[H]]</f>
        <v>3.23</v>
      </c>
      <c r="O400" s="20" t="str">
        <f t="shared" si="200"/>
        <v>OK</v>
      </c>
    </row>
    <row r="401" spans="1:15" x14ac:dyDescent="0.25">
      <c r="A401" s="93" t="s">
        <v>16</v>
      </c>
      <c r="B401" s="32">
        <v>1</v>
      </c>
      <c r="C401" s="32">
        <v>1172205</v>
      </c>
      <c r="D401" s="39">
        <v>46169</v>
      </c>
      <c r="E401" s="32" t="s">
        <v>15</v>
      </c>
      <c r="F401" s="32" t="str">
        <f t="shared" ref="F401:I401" si="213">F400</f>
        <v>M20</v>
      </c>
      <c r="G401" s="62" t="str">
        <f t="shared" si="213"/>
        <v>003</v>
      </c>
      <c r="H401" s="63" t="str">
        <f t="shared" si="213"/>
        <v>C2</v>
      </c>
      <c r="I401" s="64">
        <f t="shared" si="213"/>
        <v>2</v>
      </c>
      <c r="J401" s="40" t="s">
        <v>37</v>
      </c>
      <c r="K401" s="115">
        <v>8</v>
      </c>
      <c r="L401" s="17">
        <v>0.43</v>
      </c>
      <c r="M401" s="19">
        <v>3.99</v>
      </c>
      <c r="N401" s="22">
        <f>TREN01[[#This Row],[T]]-TREN01[[#This Row],[H]]</f>
        <v>3.56</v>
      </c>
      <c r="O401" s="20" t="str">
        <f t="shared" si="200"/>
        <v>OK</v>
      </c>
    </row>
    <row r="402" spans="1:15" x14ac:dyDescent="0.25">
      <c r="A402" s="93" t="s">
        <v>16</v>
      </c>
      <c r="B402" s="32">
        <v>1</v>
      </c>
      <c r="C402" s="32">
        <v>1172205</v>
      </c>
      <c r="D402" s="39">
        <v>46169</v>
      </c>
      <c r="E402" s="32" t="s">
        <v>15</v>
      </c>
      <c r="F402" s="32" t="str">
        <f t="shared" ref="F402:I402" si="214">F401</f>
        <v>M20</v>
      </c>
      <c r="G402" s="62" t="str">
        <f t="shared" si="214"/>
        <v>003</v>
      </c>
      <c r="H402" s="63" t="str">
        <f t="shared" si="214"/>
        <v>C2</v>
      </c>
      <c r="I402" s="64">
        <f t="shared" si="214"/>
        <v>2</v>
      </c>
      <c r="J402" s="40" t="s">
        <v>38</v>
      </c>
      <c r="K402" s="115">
        <v>8</v>
      </c>
      <c r="L402" s="17">
        <v>0.52</v>
      </c>
      <c r="M402" s="19">
        <v>1.1100000000000001</v>
      </c>
      <c r="N402" s="22">
        <f>TREN01[[#This Row],[T]]-TREN01[[#This Row],[H]]</f>
        <v>0.59000000000000008</v>
      </c>
      <c r="O402" s="20" t="str">
        <f t="shared" si="200"/>
        <v>Seguimiento</v>
      </c>
    </row>
    <row r="403" spans="1:15" x14ac:dyDescent="0.25">
      <c r="A403" s="93" t="s">
        <v>16</v>
      </c>
      <c r="B403" s="32">
        <v>1</v>
      </c>
      <c r="C403" s="32">
        <v>1172205</v>
      </c>
      <c r="D403" s="39">
        <v>46169</v>
      </c>
      <c r="E403" s="32" t="s">
        <v>15</v>
      </c>
      <c r="F403" s="32" t="s">
        <v>40</v>
      </c>
      <c r="G403" s="62" t="s">
        <v>49</v>
      </c>
      <c r="H403" s="63" t="s">
        <v>42</v>
      </c>
      <c r="I403" s="64">
        <v>1</v>
      </c>
      <c r="J403" s="40" t="s">
        <v>31</v>
      </c>
      <c r="K403" s="115">
        <v>9</v>
      </c>
      <c r="L403" s="17">
        <v>0.38</v>
      </c>
      <c r="M403" s="19">
        <v>1.8</v>
      </c>
      <c r="N403" s="22">
        <f>TREN01[[#This Row],[T]]-TREN01[[#This Row],[H]]</f>
        <v>1.42</v>
      </c>
      <c r="O403" s="20" t="str">
        <f t="shared" si="200"/>
        <v>OK</v>
      </c>
    </row>
    <row r="404" spans="1:15" x14ac:dyDescent="0.25">
      <c r="A404" s="93" t="s">
        <v>16</v>
      </c>
      <c r="B404" s="32">
        <v>1</v>
      </c>
      <c r="C404" s="32">
        <v>1172205</v>
      </c>
      <c r="D404" s="39">
        <v>46169</v>
      </c>
      <c r="E404" s="32" t="s">
        <v>15</v>
      </c>
      <c r="F404" s="32" t="str">
        <f t="shared" ref="F404:I404" si="215">F403</f>
        <v>M21</v>
      </c>
      <c r="G404" s="62" t="str">
        <f t="shared" si="215"/>
        <v>004</v>
      </c>
      <c r="H404" s="63" t="str">
        <f t="shared" si="215"/>
        <v>C3</v>
      </c>
      <c r="I404" s="64">
        <f t="shared" si="215"/>
        <v>1</v>
      </c>
      <c r="J404" s="40" t="s">
        <v>32</v>
      </c>
      <c r="K404" s="115">
        <v>9</v>
      </c>
      <c r="L404" s="17">
        <v>1.0900000000000001</v>
      </c>
      <c r="M404" s="19">
        <v>3.52</v>
      </c>
      <c r="N404" s="22">
        <f>TREN01[[#This Row],[T]]-TREN01[[#This Row],[H]]</f>
        <v>2.4299999999999997</v>
      </c>
      <c r="O404" s="20" t="str">
        <f t="shared" si="200"/>
        <v>OK</v>
      </c>
    </row>
    <row r="405" spans="1:15" x14ac:dyDescent="0.25">
      <c r="A405" s="93" t="s">
        <v>16</v>
      </c>
      <c r="B405" s="32">
        <v>1</v>
      </c>
      <c r="C405" s="32">
        <v>1172205</v>
      </c>
      <c r="D405" s="39">
        <v>46169</v>
      </c>
      <c r="E405" s="32" t="s">
        <v>15</v>
      </c>
      <c r="F405" s="32" t="str">
        <f t="shared" ref="F405:I405" si="216">F404</f>
        <v>M21</v>
      </c>
      <c r="G405" s="62" t="str">
        <f t="shared" si="216"/>
        <v>004</v>
      </c>
      <c r="H405" s="63" t="str">
        <f t="shared" si="216"/>
        <v>C3</v>
      </c>
      <c r="I405" s="64">
        <f t="shared" si="216"/>
        <v>1</v>
      </c>
      <c r="J405" s="40" t="s">
        <v>33</v>
      </c>
      <c r="K405" s="115">
        <v>10</v>
      </c>
      <c r="L405" s="17">
        <v>0.95</v>
      </c>
      <c r="M405" s="19">
        <v>3.52</v>
      </c>
      <c r="N405" s="22">
        <f>TREN01[[#This Row],[T]]-TREN01[[#This Row],[H]]</f>
        <v>2.5700000000000003</v>
      </c>
      <c r="O405" s="20" t="str">
        <f t="shared" si="200"/>
        <v>OK</v>
      </c>
    </row>
    <row r="406" spans="1:15" x14ac:dyDescent="0.25">
      <c r="A406" s="93" t="s">
        <v>16</v>
      </c>
      <c r="B406" s="32">
        <v>1</v>
      </c>
      <c r="C406" s="32">
        <v>1172205</v>
      </c>
      <c r="D406" s="39">
        <v>46169</v>
      </c>
      <c r="E406" s="32" t="s">
        <v>15</v>
      </c>
      <c r="F406" s="32" t="str">
        <f t="shared" ref="F406:I406" si="217">F405</f>
        <v>M21</v>
      </c>
      <c r="G406" s="62" t="str">
        <f t="shared" si="217"/>
        <v>004</v>
      </c>
      <c r="H406" s="63" t="str">
        <f t="shared" si="217"/>
        <v>C3</v>
      </c>
      <c r="I406" s="64">
        <f t="shared" si="217"/>
        <v>1</v>
      </c>
      <c r="J406" s="40" t="s">
        <v>34</v>
      </c>
      <c r="K406" s="115">
        <v>10</v>
      </c>
      <c r="L406" s="17">
        <v>0.77</v>
      </c>
      <c r="M406" s="19">
        <v>3.25</v>
      </c>
      <c r="N406" s="22">
        <f>TREN01[[#This Row],[T]]-TREN01[[#This Row],[H]]</f>
        <v>2.48</v>
      </c>
      <c r="O406" s="20" t="str">
        <f t="shared" si="200"/>
        <v>OK</v>
      </c>
    </row>
    <row r="407" spans="1:15" x14ac:dyDescent="0.25">
      <c r="A407" s="93" t="s">
        <v>16</v>
      </c>
      <c r="B407" s="32">
        <v>1</v>
      </c>
      <c r="C407" s="32">
        <v>1172205</v>
      </c>
      <c r="D407" s="39">
        <v>46169</v>
      </c>
      <c r="E407" s="32" t="s">
        <v>15</v>
      </c>
      <c r="F407" s="32" t="str">
        <f t="shared" ref="F407:H407" si="218">F406</f>
        <v>M21</v>
      </c>
      <c r="G407" s="62" t="str">
        <f t="shared" si="218"/>
        <v>004</v>
      </c>
      <c r="H407" s="63" t="str">
        <f t="shared" si="218"/>
        <v>C3</v>
      </c>
      <c r="I407" s="64">
        <v>2</v>
      </c>
      <c r="J407" s="40" t="s">
        <v>35</v>
      </c>
      <c r="K407" s="115">
        <v>11</v>
      </c>
      <c r="L407" s="17">
        <v>0.89</v>
      </c>
      <c r="M407" s="19">
        <v>3.34</v>
      </c>
      <c r="N407" s="22">
        <f>TREN01[[#This Row],[T]]-TREN01[[#This Row],[H]]</f>
        <v>2.4499999999999997</v>
      </c>
      <c r="O407" s="20" t="str">
        <f t="shared" si="200"/>
        <v>OK</v>
      </c>
    </row>
    <row r="408" spans="1:15" x14ac:dyDescent="0.25">
      <c r="A408" s="93" t="s">
        <v>16</v>
      </c>
      <c r="B408" s="32">
        <v>1</v>
      </c>
      <c r="C408" s="32">
        <v>1172205</v>
      </c>
      <c r="D408" s="39">
        <v>46169</v>
      </c>
      <c r="E408" s="32" t="s">
        <v>15</v>
      </c>
      <c r="F408" s="32" t="str">
        <f t="shared" ref="F408:I408" si="219">F407</f>
        <v>M21</v>
      </c>
      <c r="G408" s="62" t="str">
        <f t="shared" si="219"/>
        <v>004</v>
      </c>
      <c r="H408" s="63" t="str">
        <f t="shared" si="219"/>
        <v>C3</v>
      </c>
      <c r="I408" s="64">
        <f t="shared" si="219"/>
        <v>2</v>
      </c>
      <c r="J408" s="40" t="s">
        <v>36</v>
      </c>
      <c r="K408" s="115">
        <v>11</v>
      </c>
      <c r="L408" s="17">
        <v>0.03</v>
      </c>
      <c r="M408" s="19">
        <v>4.22</v>
      </c>
      <c r="N408" s="22">
        <f>TREN01[[#This Row],[T]]-TREN01[[#This Row],[H]]</f>
        <v>4.1899999999999995</v>
      </c>
      <c r="O408" s="20" t="str">
        <f t="shared" si="200"/>
        <v>OK</v>
      </c>
    </row>
    <row r="409" spans="1:15" x14ac:dyDescent="0.25">
      <c r="A409" s="93" t="s">
        <v>16</v>
      </c>
      <c r="B409" s="32">
        <v>1</v>
      </c>
      <c r="C409" s="32">
        <v>1172205</v>
      </c>
      <c r="D409" s="39">
        <v>46169</v>
      </c>
      <c r="E409" s="32" t="s">
        <v>15</v>
      </c>
      <c r="F409" s="32" t="str">
        <f t="shared" ref="F409:I409" si="220">F408</f>
        <v>M21</v>
      </c>
      <c r="G409" s="62" t="str">
        <f t="shared" si="220"/>
        <v>004</v>
      </c>
      <c r="H409" s="63" t="str">
        <f t="shared" si="220"/>
        <v>C3</v>
      </c>
      <c r="I409" s="64">
        <f t="shared" si="220"/>
        <v>2</v>
      </c>
      <c r="J409" s="40" t="s">
        <v>37</v>
      </c>
      <c r="K409" s="115">
        <v>12</v>
      </c>
      <c r="L409" s="17">
        <v>0.13</v>
      </c>
      <c r="M409" s="19">
        <v>1.56</v>
      </c>
      <c r="N409" s="22">
        <f>TREN01[[#This Row],[T]]-TREN01[[#This Row],[H]]</f>
        <v>1.4300000000000002</v>
      </c>
      <c r="O409" s="20" t="str">
        <f t="shared" si="200"/>
        <v>OK</v>
      </c>
    </row>
    <row r="410" spans="1:15" x14ac:dyDescent="0.25">
      <c r="A410" s="93" t="s">
        <v>16</v>
      </c>
      <c r="B410" s="32">
        <v>1</v>
      </c>
      <c r="C410" s="32">
        <v>1172205</v>
      </c>
      <c r="D410" s="39">
        <v>46169</v>
      </c>
      <c r="E410" s="32" t="s">
        <v>15</v>
      </c>
      <c r="F410" s="32" t="str">
        <f t="shared" ref="F410:I410" si="221">F409</f>
        <v>M21</v>
      </c>
      <c r="G410" s="62" t="str">
        <f t="shared" si="221"/>
        <v>004</v>
      </c>
      <c r="H410" s="63" t="str">
        <f t="shared" si="221"/>
        <v>C3</v>
      </c>
      <c r="I410" s="64">
        <f t="shared" si="221"/>
        <v>2</v>
      </c>
      <c r="J410" s="40" t="s">
        <v>38</v>
      </c>
      <c r="K410" s="115">
        <v>12</v>
      </c>
      <c r="L410" s="17">
        <v>0.03</v>
      </c>
      <c r="M410" s="19">
        <v>4.71</v>
      </c>
      <c r="N410" s="22">
        <f>TREN01[[#This Row],[T]]-TREN01[[#This Row],[H]]</f>
        <v>4.68</v>
      </c>
      <c r="O410" s="20" t="str">
        <f t="shared" si="200"/>
        <v>OK</v>
      </c>
    </row>
    <row r="411" spans="1:15" x14ac:dyDescent="0.25">
      <c r="A411" s="93" t="s">
        <v>16</v>
      </c>
      <c r="B411" s="32">
        <v>1</v>
      </c>
      <c r="C411" s="32">
        <v>1172205</v>
      </c>
      <c r="D411" s="39">
        <v>46169</v>
      </c>
      <c r="E411" s="32" t="s">
        <v>15</v>
      </c>
      <c r="F411" s="32" t="str">
        <f t="shared" ref="F411:G411" si="222">F410</f>
        <v>M21</v>
      </c>
      <c r="G411" s="62" t="str">
        <f t="shared" si="222"/>
        <v>004</v>
      </c>
      <c r="H411" s="63" t="s">
        <v>43</v>
      </c>
      <c r="I411" s="64">
        <v>1</v>
      </c>
      <c r="J411" s="40" t="s">
        <v>31</v>
      </c>
      <c r="K411" s="115">
        <v>13</v>
      </c>
      <c r="L411" s="17">
        <v>0.15</v>
      </c>
      <c r="M411" s="19">
        <v>1.72</v>
      </c>
      <c r="N411" s="22">
        <f>TREN01[[#This Row],[T]]-TREN01[[#This Row],[H]]</f>
        <v>1.57</v>
      </c>
      <c r="O411" s="20" t="str">
        <f t="shared" si="200"/>
        <v>OK</v>
      </c>
    </row>
    <row r="412" spans="1:15" x14ac:dyDescent="0.25">
      <c r="A412" s="93" t="s">
        <v>16</v>
      </c>
      <c r="B412" s="32">
        <v>1</v>
      </c>
      <c r="C412" s="32">
        <v>1172205</v>
      </c>
      <c r="D412" s="39">
        <v>46169</v>
      </c>
      <c r="E412" s="32" t="s">
        <v>15</v>
      </c>
      <c r="F412" s="32" t="str">
        <f t="shared" ref="F412:I412" si="223">F411</f>
        <v>M21</v>
      </c>
      <c r="G412" s="62" t="str">
        <f t="shared" si="223"/>
        <v>004</v>
      </c>
      <c r="H412" s="63" t="str">
        <f t="shared" si="223"/>
        <v>C4</v>
      </c>
      <c r="I412" s="64">
        <f t="shared" si="223"/>
        <v>1</v>
      </c>
      <c r="J412" s="40" t="s">
        <v>32</v>
      </c>
      <c r="K412" s="115">
        <v>13</v>
      </c>
      <c r="L412" s="17">
        <v>0.61</v>
      </c>
      <c r="M412" s="19">
        <v>3.01</v>
      </c>
      <c r="N412" s="22">
        <f>TREN01[[#This Row],[T]]-TREN01[[#This Row],[H]]</f>
        <v>2.4</v>
      </c>
      <c r="O412" s="20" t="str">
        <f t="shared" si="200"/>
        <v>OK</v>
      </c>
    </row>
    <row r="413" spans="1:15" x14ac:dyDescent="0.25">
      <c r="A413" s="93" t="s">
        <v>16</v>
      </c>
      <c r="B413" s="32">
        <v>1</v>
      </c>
      <c r="C413" s="32">
        <v>1172205</v>
      </c>
      <c r="D413" s="39">
        <v>46169</v>
      </c>
      <c r="E413" s="32" t="s">
        <v>15</v>
      </c>
      <c r="F413" s="32" t="str">
        <f t="shared" ref="F413:I413" si="224">F412</f>
        <v>M21</v>
      </c>
      <c r="G413" s="62" t="str">
        <f t="shared" si="224"/>
        <v>004</v>
      </c>
      <c r="H413" s="63" t="str">
        <f t="shared" si="224"/>
        <v>C4</v>
      </c>
      <c r="I413" s="64">
        <f t="shared" si="224"/>
        <v>1</v>
      </c>
      <c r="J413" s="40" t="s">
        <v>33</v>
      </c>
      <c r="K413" s="115">
        <v>14</v>
      </c>
      <c r="L413" s="17">
        <v>0.06</v>
      </c>
      <c r="M413" s="19">
        <v>5.0199999999999996</v>
      </c>
      <c r="N413" s="22">
        <f>TREN01[[#This Row],[T]]-TREN01[[#This Row],[H]]</f>
        <v>4.96</v>
      </c>
      <c r="O413" s="20" t="str">
        <f t="shared" si="200"/>
        <v>OK</v>
      </c>
    </row>
    <row r="414" spans="1:15" x14ac:dyDescent="0.25">
      <c r="A414" s="93" t="s">
        <v>16</v>
      </c>
      <c r="B414" s="32">
        <v>1</v>
      </c>
      <c r="C414" s="32">
        <v>1172205</v>
      </c>
      <c r="D414" s="39">
        <v>46169</v>
      </c>
      <c r="E414" s="32" t="s">
        <v>15</v>
      </c>
      <c r="F414" s="32" t="str">
        <f t="shared" ref="F414:I414" si="225">F413</f>
        <v>M21</v>
      </c>
      <c r="G414" s="62" t="str">
        <f t="shared" si="225"/>
        <v>004</v>
      </c>
      <c r="H414" s="63" t="str">
        <f t="shared" si="225"/>
        <v>C4</v>
      </c>
      <c r="I414" s="64">
        <f t="shared" si="225"/>
        <v>1</v>
      </c>
      <c r="J414" s="40" t="s">
        <v>34</v>
      </c>
      <c r="K414" s="115">
        <v>14</v>
      </c>
      <c r="L414" s="17">
        <v>0.03</v>
      </c>
      <c r="M414" s="19">
        <v>4.6100000000000003</v>
      </c>
      <c r="N414" s="22">
        <f>TREN01[[#This Row],[T]]-TREN01[[#This Row],[H]]</f>
        <v>4.58</v>
      </c>
      <c r="O414" s="20" t="str">
        <f t="shared" si="200"/>
        <v>OK</v>
      </c>
    </row>
    <row r="415" spans="1:15" x14ac:dyDescent="0.25">
      <c r="A415" s="93" t="s">
        <v>16</v>
      </c>
      <c r="B415" s="32">
        <v>1</v>
      </c>
      <c r="C415" s="32">
        <v>1172205</v>
      </c>
      <c r="D415" s="39">
        <v>46169</v>
      </c>
      <c r="E415" s="32" t="s">
        <v>15</v>
      </c>
      <c r="F415" s="32" t="str">
        <f t="shared" ref="F415:H415" si="226">F414</f>
        <v>M21</v>
      </c>
      <c r="G415" s="62" t="str">
        <f t="shared" si="226"/>
        <v>004</v>
      </c>
      <c r="H415" s="63" t="str">
        <f t="shared" si="226"/>
        <v>C4</v>
      </c>
      <c r="I415" s="64">
        <v>2</v>
      </c>
      <c r="J415" s="40" t="s">
        <v>35</v>
      </c>
      <c r="K415" s="115">
        <v>15</v>
      </c>
      <c r="L415" s="17">
        <v>0.92</v>
      </c>
      <c r="M415" s="19">
        <v>4.04</v>
      </c>
      <c r="N415" s="22">
        <f>TREN01[[#This Row],[T]]-TREN01[[#This Row],[H]]</f>
        <v>3.12</v>
      </c>
      <c r="O415" s="20" t="str">
        <f t="shared" si="200"/>
        <v>OK</v>
      </c>
    </row>
    <row r="416" spans="1:15" x14ac:dyDescent="0.25">
      <c r="A416" s="93" t="s">
        <v>16</v>
      </c>
      <c r="B416" s="32">
        <v>1</v>
      </c>
      <c r="C416" s="32">
        <v>1172205</v>
      </c>
      <c r="D416" s="39">
        <v>46169</v>
      </c>
      <c r="E416" s="32" t="s">
        <v>15</v>
      </c>
      <c r="F416" s="32" t="str">
        <f t="shared" ref="F416:I416" si="227">F415</f>
        <v>M21</v>
      </c>
      <c r="G416" s="62" t="str">
        <f t="shared" si="227"/>
        <v>004</v>
      </c>
      <c r="H416" s="63" t="str">
        <f t="shared" si="227"/>
        <v>C4</v>
      </c>
      <c r="I416" s="64">
        <f t="shared" si="227"/>
        <v>2</v>
      </c>
      <c r="J416" s="40" t="s">
        <v>36</v>
      </c>
      <c r="K416" s="115">
        <v>15</v>
      </c>
      <c r="L416" s="17">
        <v>7.0000000000000007E-2</v>
      </c>
      <c r="M416" s="19">
        <v>4.66</v>
      </c>
      <c r="N416" s="22">
        <f>TREN01[[#This Row],[T]]-TREN01[[#This Row],[H]]</f>
        <v>4.59</v>
      </c>
      <c r="O416" s="20" t="str">
        <f t="shared" si="200"/>
        <v>OK</v>
      </c>
    </row>
    <row r="417" spans="1:15" x14ac:dyDescent="0.25">
      <c r="A417" s="93" t="s">
        <v>16</v>
      </c>
      <c r="B417" s="32">
        <v>1</v>
      </c>
      <c r="C417" s="32">
        <v>1172205</v>
      </c>
      <c r="D417" s="39">
        <v>46169</v>
      </c>
      <c r="E417" s="32" t="s">
        <v>15</v>
      </c>
      <c r="F417" s="32" t="str">
        <f t="shared" ref="F417:I417" si="228">F416</f>
        <v>M21</v>
      </c>
      <c r="G417" s="62" t="str">
        <f t="shared" si="228"/>
        <v>004</v>
      </c>
      <c r="H417" s="63" t="str">
        <f t="shared" si="228"/>
        <v>C4</v>
      </c>
      <c r="I417" s="64">
        <f t="shared" si="228"/>
        <v>2</v>
      </c>
      <c r="J417" s="40" t="s">
        <v>37</v>
      </c>
      <c r="K417" s="115">
        <v>16</v>
      </c>
      <c r="L417" s="17">
        <v>0.74</v>
      </c>
      <c r="M417" s="19">
        <v>3.15</v>
      </c>
      <c r="N417" s="22">
        <f>TREN01[[#This Row],[T]]-TREN01[[#This Row],[H]]</f>
        <v>2.41</v>
      </c>
      <c r="O417" s="20" t="str">
        <f t="shared" si="200"/>
        <v>OK</v>
      </c>
    </row>
    <row r="418" spans="1:15" x14ac:dyDescent="0.25">
      <c r="A418" s="93" t="s">
        <v>16</v>
      </c>
      <c r="B418" s="32">
        <v>1</v>
      </c>
      <c r="C418" s="32">
        <v>1172205</v>
      </c>
      <c r="D418" s="39">
        <v>46169</v>
      </c>
      <c r="E418" s="32" t="s">
        <v>15</v>
      </c>
      <c r="F418" s="32" t="str">
        <f t="shared" ref="F418:I418" si="229">F417</f>
        <v>M21</v>
      </c>
      <c r="G418" s="62" t="str">
        <f t="shared" si="229"/>
        <v>004</v>
      </c>
      <c r="H418" s="63" t="str">
        <f t="shared" si="229"/>
        <v>C4</v>
      </c>
      <c r="I418" s="64">
        <f t="shared" si="229"/>
        <v>2</v>
      </c>
      <c r="J418" s="40" t="s">
        <v>38</v>
      </c>
      <c r="K418" s="115">
        <v>16</v>
      </c>
      <c r="L418" s="17">
        <v>0.99</v>
      </c>
      <c r="M418" s="19">
        <v>3.28</v>
      </c>
      <c r="N418" s="22">
        <f>TREN01[[#This Row],[T]]-TREN01[[#This Row],[H]]</f>
        <v>2.29</v>
      </c>
      <c r="O418" s="20" t="str">
        <f t="shared" si="200"/>
        <v>OK</v>
      </c>
    </row>
    <row r="419" spans="1:15" x14ac:dyDescent="0.25">
      <c r="A419" s="93" t="s">
        <v>16</v>
      </c>
      <c r="B419" s="32">
        <v>1</v>
      </c>
      <c r="C419" s="32">
        <v>1172205</v>
      </c>
      <c r="D419" s="39">
        <v>46169</v>
      </c>
      <c r="E419" s="32" t="s">
        <v>15</v>
      </c>
      <c r="F419" s="32" t="s">
        <v>44</v>
      </c>
      <c r="G419" s="62" t="s">
        <v>48</v>
      </c>
      <c r="H419" s="63" t="s">
        <v>46</v>
      </c>
      <c r="I419" s="64">
        <v>1</v>
      </c>
      <c r="J419" s="40" t="s">
        <v>31</v>
      </c>
      <c r="K419" s="115">
        <v>17</v>
      </c>
      <c r="L419" s="17">
        <v>0.52</v>
      </c>
      <c r="M419" s="19">
        <v>1.82</v>
      </c>
      <c r="N419" s="22">
        <f>TREN01[[#This Row],[T]]-TREN01[[#This Row],[H]]</f>
        <v>1.3</v>
      </c>
      <c r="O419" s="20" t="str">
        <f t="shared" si="200"/>
        <v>OK</v>
      </c>
    </row>
    <row r="420" spans="1:15" x14ac:dyDescent="0.25">
      <c r="A420" s="93" t="s">
        <v>16</v>
      </c>
      <c r="B420" s="32">
        <v>1</v>
      </c>
      <c r="C420" s="32">
        <v>1172205</v>
      </c>
      <c r="D420" s="39">
        <v>46169</v>
      </c>
      <c r="E420" s="32" t="s">
        <v>15</v>
      </c>
      <c r="F420" s="32" t="str">
        <f t="shared" ref="F420:I420" si="230">F419</f>
        <v>M22</v>
      </c>
      <c r="G420" s="62" t="str">
        <f t="shared" si="230"/>
        <v>301</v>
      </c>
      <c r="H420" s="63" t="str">
        <f t="shared" si="230"/>
        <v>C5</v>
      </c>
      <c r="I420" s="64">
        <f t="shared" si="230"/>
        <v>1</v>
      </c>
      <c r="J420" s="40" t="s">
        <v>32</v>
      </c>
      <c r="K420" s="115">
        <v>17</v>
      </c>
      <c r="L420" s="17">
        <v>1.23</v>
      </c>
      <c r="M420" s="19">
        <v>2.2799999999999998</v>
      </c>
      <c r="N420" s="22">
        <f>TREN01[[#This Row],[T]]-TREN01[[#This Row],[H]]</f>
        <v>1.0499999999999998</v>
      </c>
      <c r="O420" s="20" t="str">
        <f t="shared" si="200"/>
        <v>OK</v>
      </c>
    </row>
    <row r="421" spans="1:15" x14ac:dyDescent="0.25">
      <c r="A421" s="93" t="s">
        <v>16</v>
      </c>
      <c r="B421" s="32">
        <v>1</v>
      </c>
      <c r="C421" s="32">
        <v>1172205</v>
      </c>
      <c r="D421" s="39">
        <v>46169</v>
      </c>
      <c r="E421" s="32" t="s">
        <v>15</v>
      </c>
      <c r="F421" s="32" t="str">
        <f t="shared" ref="F421:I421" si="231">F420</f>
        <v>M22</v>
      </c>
      <c r="G421" s="62" t="str">
        <f t="shared" si="231"/>
        <v>301</v>
      </c>
      <c r="H421" s="63" t="str">
        <f t="shared" si="231"/>
        <v>C5</v>
      </c>
      <c r="I421" s="64">
        <f t="shared" si="231"/>
        <v>1</v>
      </c>
      <c r="J421" s="40" t="s">
        <v>33</v>
      </c>
      <c r="K421" s="115">
        <v>18</v>
      </c>
      <c r="L421" s="17">
        <v>1.37</v>
      </c>
      <c r="M421" s="19">
        <v>2.59</v>
      </c>
      <c r="N421" s="22">
        <f>TREN01[[#This Row],[T]]-TREN01[[#This Row],[H]]</f>
        <v>1.2199999999999998</v>
      </c>
      <c r="O421" s="20" t="str">
        <f t="shared" si="200"/>
        <v>OK</v>
      </c>
    </row>
    <row r="422" spans="1:15" x14ac:dyDescent="0.25">
      <c r="A422" s="93" t="s">
        <v>16</v>
      </c>
      <c r="B422" s="32">
        <v>1</v>
      </c>
      <c r="C422" s="32">
        <v>1172205</v>
      </c>
      <c r="D422" s="39">
        <v>46169</v>
      </c>
      <c r="E422" s="32" t="s">
        <v>15</v>
      </c>
      <c r="F422" s="32" t="str">
        <f t="shared" ref="F422:I422" si="232">F421</f>
        <v>M22</v>
      </c>
      <c r="G422" s="62" t="str">
        <f t="shared" si="232"/>
        <v>301</v>
      </c>
      <c r="H422" s="63" t="str">
        <f t="shared" si="232"/>
        <v>C5</v>
      </c>
      <c r="I422" s="64">
        <f t="shared" si="232"/>
        <v>1</v>
      </c>
      <c r="J422" s="40" t="s">
        <v>34</v>
      </c>
      <c r="K422" s="115">
        <v>18</v>
      </c>
      <c r="L422" s="17">
        <v>0.56000000000000005</v>
      </c>
      <c r="M422" s="19">
        <v>2.16</v>
      </c>
      <c r="N422" s="22">
        <f>TREN01[[#This Row],[T]]-TREN01[[#This Row],[H]]</f>
        <v>1.6</v>
      </c>
      <c r="O422" s="20" t="str">
        <f t="shared" si="200"/>
        <v>OK</v>
      </c>
    </row>
    <row r="423" spans="1:15" x14ac:dyDescent="0.25">
      <c r="A423" s="93" t="s">
        <v>16</v>
      </c>
      <c r="B423" s="32">
        <v>1</v>
      </c>
      <c r="C423" s="32">
        <v>1172205</v>
      </c>
      <c r="D423" s="39">
        <v>46169</v>
      </c>
      <c r="E423" s="32" t="s">
        <v>15</v>
      </c>
      <c r="F423" s="32" t="str">
        <f t="shared" ref="F423:H423" si="233">F422</f>
        <v>M22</v>
      </c>
      <c r="G423" s="62" t="str">
        <f t="shared" si="233"/>
        <v>301</v>
      </c>
      <c r="H423" s="63" t="str">
        <f t="shared" si="233"/>
        <v>C5</v>
      </c>
      <c r="I423" s="64">
        <v>2</v>
      </c>
      <c r="J423" s="40" t="s">
        <v>35</v>
      </c>
      <c r="K423" s="115">
        <v>19</v>
      </c>
      <c r="L423" s="17">
        <v>0.83</v>
      </c>
      <c r="M423" s="19">
        <v>2.3199999999999998</v>
      </c>
      <c r="N423" s="22">
        <f>TREN01[[#This Row],[T]]-TREN01[[#This Row],[H]]</f>
        <v>1.4899999999999998</v>
      </c>
      <c r="O423" s="20" t="str">
        <f t="shared" si="200"/>
        <v>OK</v>
      </c>
    </row>
    <row r="424" spans="1:15" x14ac:dyDescent="0.25">
      <c r="A424" s="93" t="s">
        <v>16</v>
      </c>
      <c r="B424" s="32">
        <v>1</v>
      </c>
      <c r="C424" s="32">
        <v>1172205</v>
      </c>
      <c r="D424" s="39">
        <v>46169</v>
      </c>
      <c r="E424" s="32" t="s">
        <v>15</v>
      </c>
      <c r="F424" s="32" t="str">
        <f t="shared" ref="F424:I424" si="234">F423</f>
        <v>M22</v>
      </c>
      <c r="G424" s="62" t="str">
        <f t="shared" si="234"/>
        <v>301</v>
      </c>
      <c r="H424" s="63" t="str">
        <f t="shared" si="234"/>
        <v>C5</v>
      </c>
      <c r="I424" s="64">
        <f t="shared" si="234"/>
        <v>2</v>
      </c>
      <c r="J424" s="40" t="s">
        <v>36</v>
      </c>
      <c r="K424" s="115">
        <v>19</v>
      </c>
      <c r="L424" s="17">
        <v>0.86</v>
      </c>
      <c r="M424" s="19">
        <v>1.1299999999999999</v>
      </c>
      <c r="N424" s="22">
        <f>TREN01[[#This Row],[T]]-TREN01[[#This Row],[H]]</f>
        <v>0.26999999999999991</v>
      </c>
      <c r="O424" s="20" t="str">
        <f t="shared" si="200"/>
        <v>Seguimiento</v>
      </c>
    </row>
    <row r="425" spans="1:15" x14ac:dyDescent="0.25">
      <c r="A425" s="93" t="s">
        <v>16</v>
      </c>
      <c r="B425" s="32">
        <v>1</v>
      </c>
      <c r="C425" s="32">
        <v>1172205</v>
      </c>
      <c r="D425" s="39">
        <v>46169</v>
      </c>
      <c r="E425" s="32" t="s">
        <v>15</v>
      </c>
      <c r="F425" s="32" t="str">
        <f t="shared" ref="F425:I425" si="235">F424</f>
        <v>M22</v>
      </c>
      <c r="G425" s="62" t="str">
        <f t="shared" si="235"/>
        <v>301</v>
      </c>
      <c r="H425" s="63" t="str">
        <f t="shared" si="235"/>
        <v>C5</v>
      </c>
      <c r="I425" s="64">
        <f t="shared" si="235"/>
        <v>2</v>
      </c>
      <c r="J425" s="40" t="s">
        <v>37</v>
      </c>
      <c r="K425" s="115">
        <v>20</v>
      </c>
      <c r="L425" s="17">
        <v>0.17</v>
      </c>
      <c r="M425" s="19">
        <v>5.03</v>
      </c>
      <c r="N425" s="22">
        <f>TREN01[[#This Row],[T]]-TREN01[[#This Row],[H]]</f>
        <v>4.8600000000000003</v>
      </c>
      <c r="O425" s="20" t="str">
        <f t="shared" si="200"/>
        <v>OK</v>
      </c>
    </row>
    <row r="426" spans="1:15" x14ac:dyDescent="0.25">
      <c r="A426" s="93" t="s">
        <v>16</v>
      </c>
      <c r="B426" s="32">
        <v>1</v>
      </c>
      <c r="C426" s="32">
        <v>1172205</v>
      </c>
      <c r="D426" s="39">
        <v>46169</v>
      </c>
      <c r="E426" s="32" t="s">
        <v>15</v>
      </c>
      <c r="F426" s="32" t="str">
        <f t="shared" ref="F426:I426" si="236">F425</f>
        <v>M22</v>
      </c>
      <c r="G426" s="62" t="str">
        <f t="shared" si="236"/>
        <v>301</v>
      </c>
      <c r="H426" s="63" t="str">
        <f t="shared" si="236"/>
        <v>C5</v>
      </c>
      <c r="I426" s="64">
        <f t="shared" si="236"/>
        <v>2</v>
      </c>
      <c r="J426" s="40" t="s">
        <v>38</v>
      </c>
      <c r="K426" s="115">
        <v>20</v>
      </c>
      <c r="L426" s="17">
        <v>0.88</v>
      </c>
      <c r="M426" s="19">
        <v>4.58</v>
      </c>
      <c r="N426" s="22">
        <f>TREN01[[#This Row],[T]]-TREN01[[#This Row],[H]]</f>
        <v>3.7</v>
      </c>
      <c r="O426" s="20" t="str">
        <f t="shared" si="200"/>
        <v>OK</v>
      </c>
    </row>
    <row r="427" spans="1:15" x14ac:dyDescent="0.25">
      <c r="A427" s="93" t="s">
        <v>16</v>
      </c>
      <c r="B427" s="32">
        <v>1</v>
      </c>
      <c r="C427" s="32">
        <v>1172205</v>
      </c>
      <c r="D427" s="39">
        <v>46169</v>
      </c>
      <c r="E427" s="32" t="s">
        <v>15</v>
      </c>
      <c r="F427" s="32" t="str">
        <f t="shared" ref="F427:G427" si="237">F426</f>
        <v>M22</v>
      </c>
      <c r="G427" s="62" t="str">
        <f t="shared" si="237"/>
        <v>301</v>
      </c>
      <c r="H427" s="63" t="s">
        <v>47</v>
      </c>
      <c r="I427" s="64">
        <v>1</v>
      </c>
      <c r="J427" s="40" t="s">
        <v>31</v>
      </c>
      <c r="K427" s="115">
        <v>21</v>
      </c>
      <c r="L427" s="17">
        <v>0.47</v>
      </c>
      <c r="M427" s="19">
        <v>4.7</v>
      </c>
      <c r="N427" s="22">
        <f>TREN01[[#This Row],[T]]-TREN01[[#This Row],[H]]</f>
        <v>4.2300000000000004</v>
      </c>
      <c r="O427" s="20" t="str">
        <f t="shared" si="200"/>
        <v>OK</v>
      </c>
    </row>
    <row r="428" spans="1:15" x14ac:dyDescent="0.25">
      <c r="A428" s="93" t="s">
        <v>16</v>
      </c>
      <c r="B428" s="32">
        <v>1</v>
      </c>
      <c r="C428" s="32">
        <v>1172205</v>
      </c>
      <c r="D428" s="39">
        <v>46169</v>
      </c>
      <c r="E428" s="32" t="s">
        <v>15</v>
      </c>
      <c r="F428" s="32" t="str">
        <f t="shared" ref="F428:I428" si="238">F427</f>
        <v>M22</v>
      </c>
      <c r="G428" s="62" t="str">
        <f t="shared" si="238"/>
        <v>301</v>
      </c>
      <c r="H428" s="63" t="str">
        <f t="shared" si="238"/>
        <v>C6</v>
      </c>
      <c r="I428" s="64">
        <f t="shared" si="238"/>
        <v>1</v>
      </c>
      <c r="J428" s="40" t="s">
        <v>32</v>
      </c>
      <c r="K428" s="115">
        <v>21</v>
      </c>
      <c r="L428" s="17">
        <v>0.66</v>
      </c>
      <c r="M428" s="19">
        <v>4.54</v>
      </c>
      <c r="N428" s="22">
        <f>TREN01[[#This Row],[T]]-TREN01[[#This Row],[H]]</f>
        <v>3.88</v>
      </c>
      <c r="O428" s="20" t="str">
        <f t="shared" si="200"/>
        <v>OK</v>
      </c>
    </row>
    <row r="429" spans="1:15" x14ac:dyDescent="0.25">
      <c r="A429" s="93" t="s">
        <v>16</v>
      </c>
      <c r="B429" s="32">
        <v>1</v>
      </c>
      <c r="C429" s="32">
        <v>1172205</v>
      </c>
      <c r="D429" s="39">
        <v>46169</v>
      </c>
      <c r="E429" s="32" t="s">
        <v>15</v>
      </c>
      <c r="F429" s="32" t="str">
        <f t="shared" ref="F429:I429" si="239">F428</f>
        <v>M22</v>
      </c>
      <c r="G429" s="62" t="str">
        <f t="shared" si="239"/>
        <v>301</v>
      </c>
      <c r="H429" s="63" t="str">
        <f t="shared" si="239"/>
        <v>C6</v>
      </c>
      <c r="I429" s="64">
        <f t="shared" si="239"/>
        <v>1</v>
      </c>
      <c r="J429" s="40" t="s">
        <v>33</v>
      </c>
      <c r="K429" s="115">
        <v>22</v>
      </c>
      <c r="L429" s="17">
        <v>1.85</v>
      </c>
      <c r="M429" s="19">
        <v>5.12</v>
      </c>
      <c r="N429" s="22">
        <f>TREN01[[#This Row],[T]]-TREN01[[#This Row],[H]]</f>
        <v>3.27</v>
      </c>
      <c r="O429" s="20" t="str">
        <f t="shared" si="200"/>
        <v>Reperfilado</v>
      </c>
    </row>
    <row r="430" spans="1:15" x14ac:dyDescent="0.25">
      <c r="A430" s="93" t="s">
        <v>16</v>
      </c>
      <c r="B430" s="32">
        <v>1</v>
      </c>
      <c r="C430" s="32">
        <v>1172205</v>
      </c>
      <c r="D430" s="39">
        <v>46169</v>
      </c>
      <c r="E430" s="32" t="s">
        <v>15</v>
      </c>
      <c r="F430" s="32" t="str">
        <f t="shared" ref="F430:I430" si="240">F429</f>
        <v>M22</v>
      </c>
      <c r="G430" s="62" t="str">
        <f t="shared" si="240"/>
        <v>301</v>
      </c>
      <c r="H430" s="63" t="str">
        <f t="shared" si="240"/>
        <v>C6</v>
      </c>
      <c r="I430" s="64">
        <f t="shared" si="240"/>
        <v>1</v>
      </c>
      <c r="J430" s="40" t="s">
        <v>34</v>
      </c>
      <c r="K430" s="115">
        <v>22</v>
      </c>
      <c r="L430" s="17">
        <v>1.3</v>
      </c>
      <c r="M430" s="19">
        <v>4.34</v>
      </c>
      <c r="N430" s="22">
        <f>TREN01[[#This Row],[T]]-TREN01[[#This Row],[H]]</f>
        <v>3.04</v>
      </c>
      <c r="O430" s="20" t="str">
        <f t="shared" si="200"/>
        <v>OK</v>
      </c>
    </row>
    <row r="431" spans="1:15" x14ac:dyDescent="0.25">
      <c r="A431" s="93" t="s">
        <v>16</v>
      </c>
      <c r="B431" s="32">
        <v>1</v>
      </c>
      <c r="C431" s="32">
        <v>1172205</v>
      </c>
      <c r="D431" s="39">
        <v>46169</v>
      </c>
      <c r="E431" s="32" t="s">
        <v>15</v>
      </c>
      <c r="F431" s="32" t="str">
        <f t="shared" ref="F431:H431" si="241">F430</f>
        <v>M22</v>
      </c>
      <c r="G431" s="62" t="str">
        <f t="shared" si="241"/>
        <v>301</v>
      </c>
      <c r="H431" s="63" t="str">
        <f t="shared" si="241"/>
        <v>C6</v>
      </c>
      <c r="I431" s="64">
        <v>2</v>
      </c>
      <c r="J431" s="40" t="s">
        <v>35</v>
      </c>
      <c r="K431" s="115">
        <v>23</v>
      </c>
      <c r="L431" s="17">
        <v>0.66</v>
      </c>
      <c r="M431" s="19">
        <v>4.43</v>
      </c>
      <c r="N431" s="22">
        <f>TREN01[[#This Row],[T]]-TREN01[[#This Row],[H]]</f>
        <v>3.7699999999999996</v>
      </c>
      <c r="O431" s="20" t="str">
        <f t="shared" si="200"/>
        <v>OK</v>
      </c>
    </row>
    <row r="432" spans="1:15" x14ac:dyDescent="0.25">
      <c r="A432" s="93" t="s">
        <v>16</v>
      </c>
      <c r="B432" s="32">
        <v>1</v>
      </c>
      <c r="C432" s="32">
        <v>1172205</v>
      </c>
      <c r="D432" s="39">
        <v>46169</v>
      </c>
      <c r="E432" s="32" t="s">
        <v>15</v>
      </c>
      <c r="F432" s="32" t="str">
        <f t="shared" ref="F432:I432" si="242">F431</f>
        <v>M22</v>
      </c>
      <c r="G432" s="62" t="str">
        <f t="shared" si="242"/>
        <v>301</v>
      </c>
      <c r="H432" s="63" t="str">
        <f t="shared" si="242"/>
        <v>C6</v>
      </c>
      <c r="I432" s="64">
        <f t="shared" si="242"/>
        <v>2</v>
      </c>
      <c r="J432" s="40" t="s">
        <v>36</v>
      </c>
      <c r="K432" s="115">
        <v>23</v>
      </c>
      <c r="L432" s="17">
        <v>0.76</v>
      </c>
      <c r="M432" s="19">
        <v>1.75</v>
      </c>
      <c r="N432" s="22">
        <f>TREN01[[#This Row],[T]]-TREN01[[#This Row],[H]]</f>
        <v>0.99</v>
      </c>
      <c r="O432" s="20" t="str">
        <f t="shared" si="200"/>
        <v>Seguimiento</v>
      </c>
    </row>
    <row r="433" spans="1:15" x14ac:dyDescent="0.25">
      <c r="A433" s="93" t="s">
        <v>16</v>
      </c>
      <c r="B433" s="32">
        <v>1</v>
      </c>
      <c r="C433" s="32">
        <v>1172205</v>
      </c>
      <c r="D433" s="39">
        <v>46169</v>
      </c>
      <c r="E433" s="32" t="s">
        <v>15</v>
      </c>
      <c r="F433" s="32" t="str">
        <f t="shared" ref="F433:I433" si="243">F432</f>
        <v>M22</v>
      </c>
      <c r="G433" s="62" t="str">
        <f t="shared" si="243"/>
        <v>301</v>
      </c>
      <c r="H433" s="63" t="str">
        <f t="shared" si="243"/>
        <v>C6</v>
      </c>
      <c r="I433" s="64">
        <f t="shared" si="243"/>
        <v>2</v>
      </c>
      <c r="J433" s="40" t="s">
        <v>37</v>
      </c>
      <c r="K433" s="115">
        <v>24</v>
      </c>
      <c r="L433" s="17">
        <v>0.66</v>
      </c>
      <c r="M433" s="19">
        <v>2.06</v>
      </c>
      <c r="N433" s="22">
        <f>TREN01[[#This Row],[T]]-TREN01[[#This Row],[H]]</f>
        <v>1.4</v>
      </c>
      <c r="O433" s="20" t="str">
        <f t="shared" si="200"/>
        <v>OK</v>
      </c>
    </row>
    <row r="434" spans="1:15" x14ac:dyDescent="0.25">
      <c r="A434" s="93" t="s">
        <v>16</v>
      </c>
      <c r="B434" s="32">
        <v>1</v>
      </c>
      <c r="C434" s="32">
        <v>1172205</v>
      </c>
      <c r="D434" s="39">
        <v>46169</v>
      </c>
      <c r="E434" s="32" t="s">
        <v>15</v>
      </c>
      <c r="F434" s="32" t="str">
        <f t="shared" ref="F434:I434" si="244">F433</f>
        <v>M22</v>
      </c>
      <c r="G434" s="62" t="str">
        <f t="shared" si="244"/>
        <v>301</v>
      </c>
      <c r="H434" s="63" t="str">
        <f t="shared" si="244"/>
        <v>C6</v>
      </c>
      <c r="I434" s="64">
        <f t="shared" si="244"/>
        <v>2</v>
      </c>
      <c r="J434" s="40" t="s">
        <v>38</v>
      </c>
      <c r="K434" s="115">
        <v>24</v>
      </c>
      <c r="L434" s="17">
        <v>0.49</v>
      </c>
      <c r="M434" s="19">
        <v>4.79</v>
      </c>
      <c r="N434" s="22">
        <f>TREN01[[#This Row],[T]]-TREN01[[#This Row],[H]]</f>
        <v>4.3</v>
      </c>
      <c r="O434" s="20" t="str">
        <f t="shared" si="200"/>
        <v>OK</v>
      </c>
    </row>
    <row r="435" spans="1:15" x14ac:dyDescent="0.25">
      <c r="A435" s="93" t="s">
        <v>16</v>
      </c>
      <c r="B435" s="32">
        <v>1</v>
      </c>
      <c r="C435" s="32">
        <v>1172205</v>
      </c>
      <c r="D435" s="39">
        <v>46169</v>
      </c>
      <c r="E435" s="32" t="s">
        <v>15</v>
      </c>
      <c r="F435" s="32" t="s">
        <v>44</v>
      </c>
      <c r="G435" s="62" t="s">
        <v>45</v>
      </c>
      <c r="H435" s="63" t="s">
        <v>47</v>
      </c>
      <c r="I435" s="64">
        <v>2</v>
      </c>
      <c r="J435" s="40" t="s">
        <v>31</v>
      </c>
      <c r="K435" s="115">
        <v>25</v>
      </c>
      <c r="L435" s="17">
        <v>0.98</v>
      </c>
      <c r="M435" s="19">
        <v>4.76</v>
      </c>
      <c r="N435" s="22">
        <f>TREN01[[#This Row],[T]]-TREN01[[#This Row],[H]]</f>
        <v>3.78</v>
      </c>
      <c r="O435" s="20" t="str">
        <f t="shared" si="200"/>
        <v>OK</v>
      </c>
    </row>
    <row r="436" spans="1:15" x14ac:dyDescent="0.25">
      <c r="A436" s="93" t="s">
        <v>16</v>
      </c>
      <c r="B436" s="32">
        <v>1</v>
      </c>
      <c r="C436" s="32">
        <v>1172205</v>
      </c>
      <c r="D436" s="39">
        <v>46169</v>
      </c>
      <c r="E436" s="32" t="s">
        <v>15</v>
      </c>
      <c r="F436" s="32" t="str">
        <f t="shared" ref="F436:I436" si="245">F435</f>
        <v>M22</v>
      </c>
      <c r="G436" s="62" t="str">
        <f t="shared" si="245"/>
        <v>302</v>
      </c>
      <c r="H436" s="63" t="str">
        <f t="shared" si="245"/>
        <v>C6</v>
      </c>
      <c r="I436" s="64">
        <f t="shared" si="245"/>
        <v>2</v>
      </c>
      <c r="J436" s="40" t="s">
        <v>32</v>
      </c>
      <c r="K436" s="115">
        <v>25</v>
      </c>
      <c r="L436" s="17">
        <v>1.68</v>
      </c>
      <c r="M436" s="19">
        <v>2.86</v>
      </c>
      <c r="N436" s="22">
        <f>TREN01[[#This Row],[T]]-TREN01[[#This Row],[H]]</f>
        <v>1.18</v>
      </c>
      <c r="O436" s="20" t="str">
        <f t="shared" si="200"/>
        <v>OK</v>
      </c>
    </row>
    <row r="437" spans="1:15" x14ac:dyDescent="0.25">
      <c r="A437" s="93" t="s">
        <v>16</v>
      </c>
      <c r="B437" s="32">
        <v>1</v>
      </c>
      <c r="C437" s="32">
        <v>1172205</v>
      </c>
      <c r="D437" s="39">
        <v>46169</v>
      </c>
      <c r="E437" s="32" t="s">
        <v>15</v>
      </c>
      <c r="F437" s="32" t="str">
        <f t="shared" ref="F437:I437" si="246">F436</f>
        <v>M22</v>
      </c>
      <c r="G437" s="62" t="str">
        <f t="shared" si="246"/>
        <v>302</v>
      </c>
      <c r="H437" s="63" t="str">
        <f t="shared" si="246"/>
        <v>C6</v>
      </c>
      <c r="I437" s="64">
        <f t="shared" si="246"/>
        <v>2</v>
      </c>
      <c r="J437" s="40" t="s">
        <v>33</v>
      </c>
      <c r="K437" s="115">
        <v>26</v>
      </c>
      <c r="L437" s="17">
        <v>0.7</v>
      </c>
      <c r="M437" s="19">
        <v>4.93</v>
      </c>
      <c r="N437" s="22">
        <f>TREN01[[#This Row],[T]]-TREN01[[#This Row],[H]]</f>
        <v>4.2299999999999995</v>
      </c>
      <c r="O437" s="20" t="str">
        <f t="shared" si="200"/>
        <v>OK</v>
      </c>
    </row>
    <row r="438" spans="1:15" x14ac:dyDescent="0.25">
      <c r="A438" s="93" t="s">
        <v>16</v>
      </c>
      <c r="B438" s="32">
        <v>1</v>
      </c>
      <c r="C438" s="32">
        <v>1172205</v>
      </c>
      <c r="D438" s="39">
        <v>46169</v>
      </c>
      <c r="E438" s="32" t="s">
        <v>15</v>
      </c>
      <c r="F438" s="32" t="str">
        <f t="shared" ref="F438:I438" si="247">F437</f>
        <v>M22</v>
      </c>
      <c r="G438" s="62" t="str">
        <f t="shared" si="247"/>
        <v>302</v>
      </c>
      <c r="H438" s="63" t="str">
        <f t="shared" si="247"/>
        <v>C6</v>
      </c>
      <c r="I438" s="64">
        <f t="shared" si="247"/>
        <v>2</v>
      </c>
      <c r="J438" s="40" t="s">
        <v>34</v>
      </c>
      <c r="K438" s="115">
        <v>26</v>
      </c>
      <c r="L438" s="17">
        <v>1.26</v>
      </c>
      <c r="M438" s="19">
        <v>4.8099999999999996</v>
      </c>
      <c r="N438" s="22">
        <f>TREN01[[#This Row],[T]]-TREN01[[#This Row],[H]]</f>
        <v>3.55</v>
      </c>
      <c r="O438" s="20" t="str">
        <f t="shared" si="200"/>
        <v>OK</v>
      </c>
    </row>
    <row r="439" spans="1:15" x14ac:dyDescent="0.25">
      <c r="A439" s="93" t="s">
        <v>16</v>
      </c>
      <c r="B439" s="32">
        <v>1</v>
      </c>
      <c r="C439" s="32">
        <v>1172205</v>
      </c>
      <c r="D439" s="39">
        <v>46169</v>
      </c>
      <c r="E439" s="32" t="s">
        <v>15</v>
      </c>
      <c r="F439" s="32" t="str">
        <f t="shared" ref="F439:H439" si="248">F438</f>
        <v>M22</v>
      </c>
      <c r="G439" s="62" t="str">
        <f t="shared" si="248"/>
        <v>302</v>
      </c>
      <c r="H439" s="63" t="str">
        <f t="shared" si="248"/>
        <v>C6</v>
      </c>
      <c r="I439" s="64">
        <v>1</v>
      </c>
      <c r="J439" s="40" t="s">
        <v>35</v>
      </c>
      <c r="K439" s="115">
        <v>27</v>
      </c>
      <c r="L439" s="17">
        <v>1.37</v>
      </c>
      <c r="M439" s="19">
        <v>1.95</v>
      </c>
      <c r="N439" s="22">
        <f>TREN01[[#This Row],[T]]-TREN01[[#This Row],[H]]</f>
        <v>0.57999999999999985</v>
      </c>
      <c r="O439" s="20" t="str">
        <f t="shared" si="200"/>
        <v>Seguimiento</v>
      </c>
    </row>
    <row r="440" spans="1:15" x14ac:dyDescent="0.25">
      <c r="A440" s="93" t="s">
        <v>16</v>
      </c>
      <c r="B440" s="32">
        <v>1</v>
      </c>
      <c r="C440" s="32">
        <v>1172205</v>
      </c>
      <c r="D440" s="39">
        <v>46169</v>
      </c>
      <c r="E440" s="32" t="s">
        <v>15</v>
      </c>
      <c r="F440" s="32" t="str">
        <f t="shared" ref="F440:I440" si="249">F439</f>
        <v>M22</v>
      </c>
      <c r="G440" s="62" t="str">
        <f t="shared" si="249"/>
        <v>302</v>
      </c>
      <c r="H440" s="63" t="str">
        <f t="shared" si="249"/>
        <v>C6</v>
      </c>
      <c r="I440" s="64">
        <f t="shared" si="249"/>
        <v>1</v>
      </c>
      <c r="J440" s="40" t="s">
        <v>36</v>
      </c>
      <c r="K440" s="115">
        <v>27</v>
      </c>
      <c r="L440" s="17">
        <v>1.38</v>
      </c>
      <c r="M440" s="19">
        <v>2.08</v>
      </c>
      <c r="N440" s="22">
        <f>TREN01[[#This Row],[T]]-TREN01[[#This Row],[H]]</f>
        <v>0.70000000000000018</v>
      </c>
      <c r="O440" s="20" t="str">
        <f t="shared" si="200"/>
        <v>Seguimiento</v>
      </c>
    </row>
    <row r="441" spans="1:15" x14ac:dyDescent="0.25">
      <c r="A441" s="93" t="s">
        <v>16</v>
      </c>
      <c r="B441" s="32">
        <v>1</v>
      </c>
      <c r="C441" s="32">
        <v>1172205</v>
      </c>
      <c r="D441" s="39">
        <v>46169</v>
      </c>
      <c r="E441" s="32" t="s">
        <v>15</v>
      </c>
      <c r="F441" s="32" t="str">
        <f t="shared" ref="F441:I441" si="250">F440</f>
        <v>M22</v>
      </c>
      <c r="G441" s="62" t="str">
        <f t="shared" si="250"/>
        <v>302</v>
      </c>
      <c r="H441" s="63" t="str">
        <f t="shared" si="250"/>
        <v>C6</v>
      </c>
      <c r="I441" s="64">
        <f t="shared" si="250"/>
        <v>1</v>
      </c>
      <c r="J441" s="40" t="s">
        <v>37</v>
      </c>
      <c r="K441" s="115">
        <v>28</v>
      </c>
      <c r="L441" s="17">
        <v>1.1100000000000001</v>
      </c>
      <c r="M441" s="19">
        <v>4.2</v>
      </c>
      <c r="N441" s="22">
        <f>TREN01[[#This Row],[T]]-TREN01[[#This Row],[H]]</f>
        <v>3.09</v>
      </c>
      <c r="O441" s="20" t="str">
        <f t="shared" si="200"/>
        <v>OK</v>
      </c>
    </row>
    <row r="442" spans="1:15" x14ac:dyDescent="0.25">
      <c r="A442" s="93" t="s">
        <v>16</v>
      </c>
      <c r="B442" s="32">
        <v>1</v>
      </c>
      <c r="C442" s="32">
        <v>1172205</v>
      </c>
      <c r="D442" s="39">
        <v>46169</v>
      </c>
      <c r="E442" s="32" t="s">
        <v>15</v>
      </c>
      <c r="F442" s="32" t="str">
        <f t="shared" ref="F442:I442" si="251">F441</f>
        <v>M22</v>
      </c>
      <c r="G442" s="62" t="str">
        <f t="shared" si="251"/>
        <v>302</v>
      </c>
      <c r="H442" s="63" t="str">
        <f t="shared" si="251"/>
        <v>C6</v>
      </c>
      <c r="I442" s="64">
        <f t="shared" si="251"/>
        <v>1</v>
      </c>
      <c r="J442" s="40" t="s">
        <v>38</v>
      </c>
      <c r="K442" s="115">
        <v>28</v>
      </c>
      <c r="L442" s="17">
        <v>0.43</v>
      </c>
      <c r="M442" s="19">
        <v>5.08</v>
      </c>
      <c r="N442" s="22">
        <f>TREN01[[#This Row],[T]]-TREN01[[#This Row],[H]]</f>
        <v>4.6500000000000004</v>
      </c>
      <c r="O442" s="20" t="str">
        <f t="shared" si="200"/>
        <v>OK</v>
      </c>
    </row>
    <row r="443" spans="1:15" x14ac:dyDescent="0.25">
      <c r="A443" s="93" t="s">
        <v>16</v>
      </c>
      <c r="B443" s="32">
        <v>1</v>
      </c>
      <c r="C443" s="32">
        <v>1172205</v>
      </c>
      <c r="D443" s="39">
        <v>46169</v>
      </c>
      <c r="E443" s="32" t="s">
        <v>15</v>
      </c>
      <c r="F443" s="32" t="str">
        <f t="shared" ref="F443:G443" si="252">F442</f>
        <v>M22</v>
      </c>
      <c r="G443" s="62" t="str">
        <f t="shared" si="252"/>
        <v>302</v>
      </c>
      <c r="H443" s="63" t="s">
        <v>46</v>
      </c>
      <c r="I443" s="64">
        <v>2</v>
      </c>
      <c r="J443" s="40" t="s">
        <v>31</v>
      </c>
      <c r="K443" s="115">
        <v>29</v>
      </c>
      <c r="L443" s="17">
        <v>0.5</v>
      </c>
      <c r="M443" s="19">
        <v>4.49</v>
      </c>
      <c r="N443" s="22">
        <f>TREN01[[#This Row],[T]]-TREN01[[#This Row],[H]]</f>
        <v>3.99</v>
      </c>
      <c r="O443" s="20" t="str">
        <f t="shared" si="200"/>
        <v>OK</v>
      </c>
    </row>
    <row r="444" spans="1:15" x14ac:dyDescent="0.25">
      <c r="A444" s="93" t="s">
        <v>16</v>
      </c>
      <c r="B444" s="32">
        <v>1</v>
      </c>
      <c r="C444" s="32">
        <v>1172205</v>
      </c>
      <c r="D444" s="39">
        <v>46169</v>
      </c>
      <c r="E444" s="32" t="s">
        <v>15</v>
      </c>
      <c r="F444" s="32" t="str">
        <f t="shared" ref="F444:I444" si="253">F443</f>
        <v>M22</v>
      </c>
      <c r="G444" s="62" t="str">
        <f t="shared" si="253"/>
        <v>302</v>
      </c>
      <c r="H444" s="63" t="str">
        <f t="shared" si="253"/>
        <v>C5</v>
      </c>
      <c r="I444" s="64">
        <f t="shared" si="253"/>
        <v>2</v>
      </c>
      <c r="J444" s="40" t="s">
        <v>32</v>
      </c>
      <c r="K444" s="115">
        <v>29</v>
      </c>
      <c r="L444" s="17">
        <v>0.28999999999999998</v>
      </c>
      <c r="M444" s="19">
        <v>1.6</v>
      </c>
      <c r="N444" s="22">
        <f>TREN01[[#This Row],[T]]-TREN01[[#This Row],[H]]</f>
        <v>1.31</v>
      </c>
      <c r="O444" s="20" t="str">
        <f t="shared" si="200"/>
        <v>OK</v>
      </c>
    </row>
    <row r="445" spans="1:15" x14ac:dyDescent="0.25">
      <c r="A445" s="93" t="s">
        <v>16</v>
      </c>
      <c r="B445" s="32">
        <v>1</v>
      </c>
      <c r="C445" s="32">
        <v>1172205</v>
      </c>
      <c r="D445" s="39">
        <v>46169</v>
      </c>
      <c r="E445" s="32" t="s">
        <v>15</v>
      </c>
      <c r="F445" s="32" t="str">
        <f t="shared" ref="F445:I445" si="254">F444</f>
        <v>M22</v>
      </c>
      <c r="G445" s="62" t="str">
        <f t="shared" si="254"/>
        <v>302</v>
      </c>
      <c r="H445" s="63" t="str">
        <f t="shared" si="254"/>
        <v>C5</v>
      </c>
      <c r="I445" s="64">
        <f t="shared" si="254"/>
        <v>2</v>
      </c>
      <c r="J445" s="40" t="s">
        <v>33</v>
      </c>
      <c r="K445" s="115">
        <v>30</v>
      </c>
      <c r="L445" s="17">
        <v>1.27</v>
      </c>
      <c r="M445" s="19">
        <v>4.4400000000000004</v>
      </c>
      <c r="N445" s="22">
        <f>TREN01[[#This Row],[T]]-TREN01[[#This Row],[H]]</f>
        <v>3.1700000000000004</v>
      </c>
      <c r="O445" s="20" t="str">
        <f t="shared" si="200"/>
        <v>OK</v>
      </c>
    </row>
    <row r="446" spans="1:15" x14ac:dyDescent="0.25">
      <c r="A446" s="93" t="s">
        <v>16</v>
      </c>
      <c r="B446" s="32">
        <v>1</v>
      </c>
      <c r="C446" s="32">
        <v>1172205</v>
      </c>
      <c r="D446" s="39">
        <v>46169</v>
      </c>
      <c r="E446" s="32" t="s">
        <v>15</v>
      </c>
      <c r="F446" s="32" t="str">
        <f t="shared" ref="F446:I446" si="255">F445</f>
        <v>M22</v>
      </c>
      <c r="G446" s="62" t="str">
        <f t="shared" si="255"/>
        <v>302</v>
      </c>
      <c r="H446" s="63" t="str">
        <f t="shared" si="255"/>
        <v>C5</v>
      </c>
      <c r="I446" s="64">
        <f t="shared" si="255"/>
        <v>2</v>
      </c>
      <c r="J446" s="40" t="s">
        <v>34</v>
      </c>
      <c r="K446" s="115">
        <v>30</v>
      </c>
      <c r="L446" s="17">
        <v>0.62</v>
      </c>
      <c r="M446" s="19">
        <v>4.99</v>
      </c>
      <c r="N446" s="22">
        <f>TREN01[[#This Row],[T]]-TREN01[[#This Row],[H]]</f>
        <v>4.37</v>
      </c>
      <c r="O446" s="20" t="str">
        <f t="shared" si="200"/>
        <v>OK</v>
      </c>
    </row>
    <row r="447" spans="1:15" x14ac:dyDescent="0.25">
      <c r="A447" s="93" t="s">
        <v>16</v>
      </c>
      <c r="B447" s="32">
        <v>1</v>
      </c>
      <c r="C447" s="32">
        <v>1172205</v>
      </c>
      <c r="D447" s="39">
        <v>46169</v>
      </c>
      <c r="E447" s="32" t="s">
        <v>15</v>
      </c>
      <c r="F447" s="32" t="str">
        <f t="shared" ref="F447:H447" si="256">F446</f>
        <v>M22</v>
      </c>
      <c r="G447" s="62" t="str">
        <f t="shared" si="256"/>
        <v>302</v>
      </c>
      <c r="H447" s="63" t="str">
        <f t="shared" si="256"/>
        <v>C5</v>
      </c>
      <c r="I447" s="64">
        <v>1</v>
      </c>
      <c r="J447" s="40" t="s">
        <v>35</v>
      </c>
      <c r="K447" s="115">
        <v>31</v>
      </c>
      <c r="L447" s="17">
        <v>0.28999999999999998</v>
      </c>
      <c r="M447" s="19">
        <v>4.99</v>
      </c>
      <c r="N447" s="22">
        <f>TREN01[[#This Row],[T]]-TREN01[[#This Row],[H]]</f>
        <v>4.7</v>
      </c>
      <c r="O447" s="20" t="str">
        <f t="shared" si="200"/>
        <v>OK</v>
      </c>
    </row>
    <row r="448" spans="1:15" x14ac:dyDescent="0.25">
      <c r="A448" s="93" t="s">
        <v>16</v>
      </c>
      <c r="B448" s="32">
        <v>1</v>
      </c>
      <c r="C448" s="32">
        <v>1172205</v>
      </c>
      <c r="D448" s="39">
        <v>46169</v>
      </c>
      <c r="E448" s="32" t="s">
        <v>15</v>
      </c>
      <c r="F448" s="32" t="str">
        <f t="shared" ref="F448:I448" si="257">F447</f>
        <v>M22</v>
      </c>
      <c r="G448" s="62" t="str">
        <f t="shared" si="257"/>
        <v>302</v>
      </c>
      <c r="H448" s="63" t="str">
        <f t="shared" si="257"/>
        <v>C5</v>
      </c>
      <c r="I448" s="64">
        <f t="shared" si="257"/>
        <v>1</v>
      </c>
      <c r="J448" s="40" t="s">
        <v>36</v>
      </c>
      <c r="K448" s="115">
        <v>31</v>
      </c>
      <c r="L448" s="17">
        <v>0.56000000000000005</v>
      </c>
      <c r="M448" s="19">
        <v>4.17</v>
      </c>
      <c r="N448" s="22">
        <f>TREN01[[#This Row],[T]]-TREN01[[#This Row],[H]]</f>
        <v>3.61</v>
      </c>
      <c r="O448" s="20" t="str">
        <f t="shared" si="200"/>
        <v>OK</v>
      </c>
    </row>
    <row r="449" spans="1:15" x14ac:dyDescent="0.25">
      <c r="A449" s="93" t="s">
        <v>16</v>
      </c>
      <c r="B449" s="32">
        <v>1</v>
      </c>
      <c r="C449" s="32">
        <v>1172205</v>
      </c>
      <c r="D449" s="39">
        <v>46169</v>
      </c>
      <c r="E449" s="32" t="s">
        <v>15</v>
      </c>
      <c r="F449" s="32" t="str">
        <f t="shared" ref="F449:I449" si="258">F448</f>
        <v>M22</v>
      </c>
      <c r="G449" s="62" t="str">
        <f t="shared" si="258"/>
        <v>302</v>
      </c>
      <c r="H449" s="63" t="str">
        <f t="shared" si="258"/>
        <v>C5</v>
      </c>
      <c r="I449" s="64">
        <f t="shared" si="258"/>
        <v>1</v>
      </c>
      <c r="J449" s="40" t="s">
        <v>37</v>
      </c>
      <c r="K449" s="115">
        <v>32</v>
      </c>
      <c r="L449" s="17">
        <v>1.25</v>
      </c>
      <c r="M449" s="19">
        <v>3.87</v>
      </c>
      <c r="N449" s="22">
        <f>TREN01[[#This Row],[T]]-TREN01[[#This Row],[H]]</f>
        <v>2.62</v>
      </c>
      <c r="O449" s="20" t="str">
        <f t="shared" si="200"/>
        <v>OK</v>
      </c>
    </row>
    <row r="450" spans="1:15" x14ac:dyDescent="0.25">
      <c r="A450" s="93" t="s">
        <v>16</v>
      </c>
      <c r="B450" s="32">
        <v>1</v>
      </c>
      <c r="C450" s="32">
        <v>1172205</v>
      </c>
      <c r="D450" s="39">
        <v>46169</v>
      </c>
      <c r="E450" s="32" t="s">
        <v>15</v>
      </c>
      <c r="F450" s="32" t="str">
        <f t="shared" ref="F450:I450" si="259">F449</f>
        <v>M22</v>
      </c>
      <c r="G450" s="62" t="str">
        <f t="shared" si="259"/>
        <v>302</v>
      </c>
      <c r="H450" s="63" t="str">
        <f t="shared" si="259"/>
        <v>C5</v>
      </c>
      <c r="I450" s="64">
        <f t="shared" si="259"/>
        <v>1</v>
      </c>
      <c r="J450" s="40" t="s">
        <v>38</v>
      </c>
      <c r="K450" s="115">
        <v>32</v>
      </c>
      <c r="L450" s="17">
        <v>0.64</v>
      </c>
      <c r="M450" s="19">
        <v>2.12</v>
      </c>
      <c r="N450" s="22">
        <f>TREN01[[#This Row],[T]]-TREN01[[#This Row],[H]]</f>
        <v>1.48</v>
      </c>
      <c r="O450" s="20" t="str">
        <f t="shared" si="200"/>
        <v>OK</v>
      </c>
    </row>
    <row r="451" spans="1:15" x14ac:dyDescent="0.25">
      <c r="A451" s="93" t="s">
        <v>16</v>
      </c>
      <c r="B451" s="32">
        <v>1</v>
      </c>
      <c r="C451" s="32">
        <v>1172205</v>
      </c>
      <c r="D451" s="39">
        <v>46169</v>
      </c>
      <c r="E451" s="32" t="s">
        <v>15</v>
      </c>
      <c r="F451" s="32" t="s">
        <v>40</v>
      </c>
      <c r="G451" s="62" t="s">
        <v>41</v>
      </c>
      <c r="H451" s="63" t="s">
        <v>43</v>
      </c>
      <c r="I451" s="64">
        <v>2</v>
      </c>
      <c r="J451" s="40" t="s">
        <v>31</v>
      </c>
      <c r="K451" s="115">
        <v>33</v>
      </c>
      <c r="L451" s="17">
        <v>0.57999999999999996</v>
      </c>
      <c r="M451" s="19">
        <v>1.94</v>
      </c>
      <c r="N451" s="22">
        <f>TREN01[[#This Row],[T]]-TREN01[[#This Row],[H]]</f>
        <v>1.3599999999999999</v>
      </c>
      <c r="O451" s="20" t="str">
        <f t="shared" si="200"/>
        <v>OK</v>
      </c>
    </row>
    <row r="452" spans="1:15" x14ac:dyDescent="0.25">
      <c r="A452" s="93" t="s">
        <v>16</v>
      </c>
      <c r="B452" s="32">
        <v>1</v>
      </c>
      <c r="C452" s="32">
        <v>1172205</v>
      </c>
      <c r="D452" s="39">
        <v>46169</v>
      </c>
      <c r="E452" s="32" t="s">
        <v>15</v>
      </c>
      <c r="F452" s="32" t="str">
        <f t="shared" ref="F452:I452" si="260">F451</f>
        <v>M21</v>
      </c>
      <c r="G452" s="62" t="str">
        <f t="shared" si="260"/>
        <v>002</v>
      </c>
      <c r="H452" s="63" t="str">
        <f t="shared" si="260"/>
        <v>C4</v>
      </c>
      <c r="I452" s="64">
        <f t="shared" si="260"/>
        <v>2</v>
      </c>
      <c r="J452" s="40" t="s">
        <v>32</v>
      </c>
      <c r="K452" s="115">
        <v>33</v>
      </c>
      <c r="L452" s="17">
        <v>1.3</v>
      </c>
      <c r="M452" s="19">
        <v>3.23</v>
      </c>
      <c r="N452" s="22">
        <f>TREN01[[#This Row],[T]]-TREN01[[#This Row],[H]]</f>
        <v>1.93</v>
      </c>
      <c r="O452" s="20" t="str">
        <f t="shared" ref="O452:O482" si="261">IF(N452&lt;=0,"Critico",IF(N452&lt;=0.2,"Cambio",IF(N452&lt;=1,"Seguimiento",IF(L452&gt;=1.7,"Reperfilado","OK"))))</f>
        <v>OK</v>
      </c>
    </row>
    <row r="453" spans="1:15" x14ac:dyDescent="0.25">
      <c r="A453" s="93" t="s">
        <v>16</v>
      </c>
      <c r="B453" s="32">
        <v>1</v>
      </c>
      <c r="C453" s="32">
        <v>1172205</v>
      </c>
      <c r="D453" s="39">
        <v>46169</v>
      </c>
      <c r="E453" s="32" t="s">
        <v>15</v>
      </c>
      <c r="F453" s="32" t="str">
        <f t="shared" ref="F453:I453" si="262">F452</f>
        <v>M21</v>
      </c>
      <c r="G453" s="62" t="str">
        <f t="shared" si="262"/>
        <v>002</v>
      </c>
      <c r="H453" s="63" t="str">
        <f t="shared" si="262"/>
        <v>C4</v>
      </c>
      <c r="I453" s="64">
        <f t="shared" si="262"/>
        <v>2</v>
      </c>
      <c r="J453" s="40" t="s">
        <v>33</v>
      </c>
      <c r="K453" s="115">
        <v>34</v>
      </c>
      <c r="L453" s="17">
        <v>1.1100000000000001</v>
      </c>
      <c r="M453" s="19">
        <v>4.1900000000000004</v>
      </c>
      <c r="N453" s="22">
        <f>TREN01[[#This Row],[T]]-TREN01[[#This Row],[H]]</f>
        <v>3.08</v>
      </c>
      <c r="O453" s="20" t="str">
        <f t="shared" si="261"/>
        <v>OK</v>
      </c>
    </row>
    <row r="454" spans="1:15" x14ac:dyDescent="0.25">
      <c r="A454" s="93" t="s">
        <v>16</v>
      </c>
      <c r="B454" s="32">
        <v>1</v>
      </c>
      <c r="C454" s="32">
        <v>1172205</v>
      </c>
      <c r="D454" s="39">
        <v>46169</v>
      </c>
      <c r="E454" s="32" t="s">
        <v>15</v>
      </c>
      <c r="F454" s="32" t="str">
        <f t="shared" ref="F454:I454" si="263">F453</f>
        <v>M21</v>
      </c>
      <c r="G454" s="62" t="str">
        <f t="shared" si="263"/>
        <v>002</v>
      </c>
      <c r="H454" s="63" t="str">
        <f t="shared" si="263"/>
        <v>C4</v>
      </c>
      <c r="I454" s="64">
        <f t="shared" si="263"/>
        <v>2</v>
      </c>
      <c r="J454" s="40" t="s">
        <v>34</v>
      </c>
      <c r="K454" s="115">
        <v>34</v>
      </c>
      <c r="L454" s="17">
        <v>0.25</v>
      </c>
      <c r="M454" s="19">
        <v>1.84</v>
      </c>
      <c r="N454" s="22">
        <f>TREN01[[#This Row],[T]]-TREN01[[#This Row],[H]]</f>
        <v>1.59</v>
      </c>
      <c r="O454" s="20" t="str">
        <f t="shared" si="261"/>
        <v>OK</v>
      </c>
    </row>
    <row r="455" spans="1:15" x14ac:dyDescent="0.25">
      <c r="A455" s="93" t="s">
        <v>16</v>
      </c>
      <c r="B455" s="32">
        <v>1</v>
      </c>
      <c r="C455" s="32">
        <v>1172205</v>
      </c>
      <c r="D455" s="39">
        <v>46169</v>
      </c>
      <c r="E455" s="32" t="s">
        <v>15</v>
      </c>
      <c r="F455" s="32" t="str">
        <f t="shared" ref="F455:H455" si="264">F454</f>
        <v>M21</v>
      </c>
      <c r="G455" s="62" t="str">
        <f t="shared" si="264"/>
        <v>002</v>
      </c>
      <c r="H455" s="63" t="str">
        <f t="shared" si="264"/>
        <v>C4</v>
      </c>
      <c r="I455" s="64">
        <v>1</v>
      </c>
      <c r="J455" s="40" t="s">
        <v>35</v>
      </c>
      <c r="K455" s="115">
        <v>35</v>
      </c>
      <c r="L455" s="17">
        <v>0.67</v>
      </c>
      <c r="M455" s="19">
        <v>2.57</v>
      </c>
      <c r="N455" s="22">
        <f>TREN01[[#This Row],[T]]-TREN01[[#This Row],[H]]</f>
        <v>1.9</v>
      </c>
      <c r="O455" s="20" t="str">
        <f t="shared" si="261"/>
        <v>OK</v>
      </c>
    </row>
    <row r="456" spans="1:15" x14ac:dyDescent="0.25">
      <c r="A456" s="93" t="s">
        <v>16</v>
      </c>
      <c r="B456" s="32">
        <v>1</v>
      </c>
      <c r="C456" s="32">
        <v>1172205</v>
      </c>
      <c r="D456" s="39">
        <v>46169</v>
      </c>
      <c r="E456" s="32" t="s">
        <v>15</v>
      </c>
      <c r="F456" s="32" t="str">
        <f t="shared" ref="F456:I456" si="265">F455</f>
        <v>M21</v>
      </c>
      <c r="G456" s="62" t="str">
        <f t="shared" si="265"/>
        <v>002</v>
      </c>
      <c r="H456" s="63" t="str">
        <f t="shared" si="265"/>
        <v>C4</v>
      </c>
      <c r="I456" s="64">
        <f t="shared" si="265"/>
        <v>1</v>
      </c>
      <c r="J456" s="40" t="s">
        <v>36</v>
      </c>
      <c r="K456" s="115">
        <v>35</v>
      </c>
      <c r="L456" s="17">
        <v>7.0000000000000007E-2</v>
      </c>
      <c r="M456" s="19">
        <v>5.01</v>
      </c>
      <c r="N456" s="22">
        <f>TREN01[[#This Row],[T]]-TREN01[[#This Row],[H]]</f>
        <v>4.9399999999999995</v>
      </c>
      <c r="O456" s="20" t="str">
        <f t="shared" si="261"/>
        <v>OK</v>
      </c>
    </row>
    <row r="457" spans="1:15" x14ac:dyDescent="0.25">
      <c r="A457" s="93" t="s">
        <v>16</v>
      </c>
      <c r="B457" s="32">
        <v>1</v>
      </c>
      <c r="C457" s="32">
        <v>1172205</v>
      </c>
      <c r="D457" s="39">
        <v>46169</v>
      </c>
      <c r="E457" s="32" t="s">
        <v>15</v>
      </c>
      <c r="F457" s="32" t="str">
        <f t="shared" ref="F457:I457" si="266">F456</f>
        <v>M21</v>
      </c>
      <c r="G457" s="62" t="str">
        <f t="shared" si="266"/>
        <v>002</v>
      </c>
      <c r="H457" s="63" t="str">
        <f t="shared" si="266"/>
        <v>C4</v>
      </c>
      <c r="I457" s="64">
        <f t="shared" si="266"/>
        <v>1</v>
      </c>
      <c r="J457" s="40" t="s">
        <v>37</v>
      </c>
      <c r="K457" s="115">
        <v>36</v>
      </c>
      <c r="L457" s="17">
        <v>7.0000000000000007E-2</v>
      </c>
      <c r="M457" s="19">
        <v>4.71</v>
      </c>
      <c r="N457" s="22">
        <f>TREN01[[#This Row],[T]]-TREN01[[#This Row],[H]]</f>
        <v>4.6399999999999997</v>
      </c>
      <c r="O457" s="20" t="str">
        <f t="shared" si="261"/>
        <v>OK</v>
      </c>
    </row>
    <row r="458" spans="1:15" x14ac:dyDescent="0.25">
      <c r="A458" s="93" t="s">
        <v>16</v>
      </c>
      <c r="B458" s="32">
        <v>1</v>
      </c>
      <c r="C458" s="32">
        <v>1172205</v>
      </c>
      <c r="D458" s="39">
        <v>46169</v>
      </c>
      <c r="E458" s="32" t="s">
        <v>15</v>
      </c>
      <c r="F458" s="32" t="str">
        <f t="shared" ref="F458:I458" si="267">F457</f>
        <v>M21</v>
      </c>
      <c r="G458" s="62" t="str">
        <f t="shared" si="267"/>
        <v>002</v>
      </c>
      <c r="H458" s="63" t="str">
        <f t="shared" si="267"/>
        <v>C4</v>
      </c>
      <c r="I458" s="64">
        <f t="shared" si="267"/>
        <v>1</v>
      </c>
      <c r="J458" s="40" t="s">
        <v>38</v>
      </c>
      <c r="K458" s="115">
        <v>36</v>
      </c>
      <c r="L458" s="17">
        <v>0.11</v>
      </c>
      <c r="M458" s="19">
        <v>4.8</v>
      </c>
      <c r="N458" s="22">
        <f>TREN01[[#This Row],[T]]-TREN01[[#This Row],[H]]</f>
        <v>4.6899999999999995</v>
      </c>
      <c r="O458" s="20" t="str">
        <f t="shared" si="261"/>
        <v>OK</v>
      </c>
    </row>
    <row r="459" spans="1:15" x14ac:dyDescent="0.25">
      <c r="A459" s="93" t="s">
        <v>16</v>
      </c>
      <c r="B459" s="32">
        <v>1</v>
      </c>
      <c r="C459" s="32">
        <v>1172205</v>
      </c>
      <c r="D459" s="39">
        <v>46169</v>
      </c>
      <c r="E459" s="32" t="s">
        <v>15</v>
      </c>
      <c r="F459" s="32" t="str">
        <f t="shared" ref="F459:G459" si="268">F458</f>
        <v>M21</v>
      </c>
      <c r="G459" s="62" t="str">
        <f t="shared" si="268"/>
        <v>002</v>
      </c>
      <c r="H459" s="63" t="s">
        <v>42</v>
      </c>
      <c r="I459" s="64">
        <v>2</v>
      </c>
      <c r="J459" s="40" t="s">
        <v>31</v>
      </c>
      <c r="K459" s="115">
        <v>37</v>
      </c>
      <c r="L459" s="17">
        <v>1.0900000000000001</v>
      </c>
      <c r="M459" s="19">
        <v>4.17</v>
      </c>
      <c r="N459" s="22">
        <f>TREN01[[#This Row],[T]]-TREN01[[#This Row],[H]]</f>
        <v>3.08</v>
      </c>
      <c r="O459" s="20" t="str">
        <f t="shared" si="261"/>
        <v>OK</v>
      </c>
    </row>
    <row r="460" spans="1:15" x14ac:dyDescent="0.25">
      <c r="A460" s="93" t="s">
        <v>16</v>
      </c>
      <c r="B460" s="32">
        <v>1</v>
      </c>
      <c r="C460" s="32">
        <v>1172205</v>
      </c>
      <c r="D460" s="39">
        <v>46169</v>
      </c>
      <c r="E460" s="32" t="s">
        <v>15</v>
      </c>
      <c r="F460" s="32" t="str">
        <f t="shared" ref="F460:G460" si="269">F459</f>
        <v>M21</v>
      </c>
      <c r="G460" s="62" t="str">
        <f t="shared" si="269"/>
        <v>002</v>
      </c>
      <c r="H460" s="63" t="s">
        <v>42</v>
      </c>
      <c r="I460" s="64">
        <f t="shared" ref="I460" si="270">I459</f>
        <v>2</v>
      </c>
      <c r="J460" s="40" t="s">
        <v>32</v>
      </c>
      <c r="K460" s="115">
        <v>37</v>
      </c>
      <c r="L460" s="17">
        <v>0.22</v>
      </c>
      <c r="M460" s="19">
        <v>2.0499999999999998</v>
      </c>
      <c r="N460" s="22">
        <f>TREN01[[#This Row],[T]]-TREN01[[#This Row],[H]]</f>
        <v>1.8299999999999998</v>
      </c>
      <c r="O460" s="20" t="str">
        <f t="shared" si="261"/>
        <v>OK</v>
      </c>
    </row>
    <row r="461" spans="1:15" x14ac:dyDescent="0.25">
      <c r="A461" s="93" t="s">
        <v>16</v>
      </c>
      <c r="B461" s="32">
        <v>1</v>
      </c>
      <c r="C461" s="32">
        <v>1172205</v>
      </c>
      <c r="D461" s="39">
        <v>46169</v>
      </c>
      <c r="E461" s="32" t="s">
        <v>15</v>
      </c>
      <c r="F461" s="32" t="str">
        <f t="shared" ref="F461:I461" si="271">F460</f>
        <v>M21</v>
      </c>
      <c r="G461" s="62" t="str">
        <f t="shared" si="271"/>
        <v>002</v>
      </c>
      <c r="H461" s="63" t="str">
        <f t="shared" si="271"/>
        <v>C3</v>
      </c>
      <c r="I461" s="64">
        <f t="shared" si="271"/>
        <v>2</v>
      </c>
      <c r="J461" s="40" t="s">
        <v>33</v>
      </c>
      <c r="K461" s="115">
        <v>38</v>
      </c>
      <c r="L461" s="17">
        <v>0.22</v>
      </c>
      <c r="M461" s="19">
        <v>2.7</v>
      </c>
      <c r="N461" s="22">
        <f>TREN01[[#This Row],[T]]-TREN01[[#This Row],[H]]</f>
        <v>2.48</v>
      </c>
      <c r="O461" s="20" t="str">
        <f t="shared" si="261"/>
        <v>OK</v>
      </c>
    </row>
    <row r="462" spans="1:15" x14ac:dyDescent="0.25">
      <c r="A462" s="93" t="s">
        <v>16</v>
      </c>
      <c r="B462" s="32">
        <v>1</v>
      </c>
      <c r="C462" s="32">
        <v>1172205</v>
      </c>
      <c r="D462" s="39">
        <v>46169</v>
      </c>
      <c r="E462" s="32" t="s">
        <v>15</v>
      </c>
      <c r="F462" s="32" t="str">
        <f t="shared" ref="F462:I462" si="272">F461</f>
        <v>M21</v>
      </c>
      <c r="G462" s="62" t="str">
        <f t="shared" si="272"/>
        <v>002</v>
      </c>
      <c r="H462" s="63" t="str">
        <f t="shared" si="272"/>
        <v>C3</v>
      </c>
      <c r="I462" s="64">
        <f t="shared" si="272"/>
        <v>2</v>
      </c>
      <c r="J462" s="40" t="s">
        <v>34</v>
      </c>
      <c r="K462" s="115">
        <v>38</v>
      </c>
      <c r="L462" s="17">
        <v>0.13</v>
      </c>
      <c r="M462" s="19">
        <v>1.03</v>
      </c>
      <c r="N462" s="22">
        <f>TREN01[[#This Row],[T]]-TREN01[[#This Row],[H]]</f>
        <v>0.9</v>
      </c>
      <c r="O462" s="20" t="str">
        <f t="shared" si="261"/>
        <v>Seguimiento</v>
      </c>
    </row>
    <row r="463" spans="1:15" x14ac:dyDescent="0.25">
      <c r="A463" s="93" t="s">
        <v>16</v>
      </c>
      <c r="B463" s="32">
        <v>1</v>
      </c>
      <c r="C463" s="32">
        <v>1172205</v>
      </c>
      <c r="D463" s="39">
        <v>46169</v>
      </c>
      <c r="E463" s="32" t="s">
        <v>15</v>
      </c>
      <c r="F463" s="32" t="str">
        <f t="shared" ref="F463:H463" si="273">F462</f>
        <v>M21</v>
      </c>
      <c r="G463" s="62" t="str">
        <f t="shared" si="273"/>
        <v>002</v>
      </c>
      <c r="H463" s="63" t="str">
        <f t="shared" si="273"/>
        <v>C3</v>
      </c>
      <c r="I463" s="64">
        <v>1</v>
      </c>
      <c r="J463" s="40" t="s">
        <v>35</v>
      </c>
      <c r="K463" s="115">
        <v>39</v>
      </c>
      <c r="L463" s="17">
        <v>0.71</v>
      </c>
      <c r="M463" s="19">
        <v>2.83</v>
      </c>
      <c r="N463" s="22">
        <f>TREN01[[#This Row],[T]]-TREN01[[#This Row],[H]]</f>
        <v>2.12</v>
      </c>
      <c r="O463" s="20" t="str">
        <f t="shared" si="261"/>
        <v>OK</v>
      </c>
    </row>
    <row r="464" spans="1:15" x14ac:dyDescent="0.25">
      <c r="A464" s="93" t="s">
        <v>16</v>
      </c>
      <c r="B464" s="32">
        <v>1</v>
      </c>
      <c r="C464" s="32">
        <v>1172205</v>
      </c>
      <c r="D464" s="39">
        <v>46169</v>
      </c>
      <c r="E464" s="32" t="s">
        <v>15</v>
      </c>
      <c r="F464" s="32" t="str">
        <f t="shared" ref="F464:I464" si="274">F463</f>
        <v>M21</v>
      </c>
      <c r="G464" s="62" t="str">
        <f t="shared" si="274"/>
        <v>002</v>
      </c>
      <c r="H464" s="63" t="str">
        <f t="shared" si="274"/>
        <v>C3</v>
      </c>
      <c r="I464" s="64">
        <f t="shared" si="274"/>
        <v>1</v>
      </c>
      <c r="J464" s="40" t="s">
        <v>36</v>
      </c>
      <c r="K464" s="115">
        <v>39</v>
      </c>
      <c r="L464" s="17">
        <v>0.96</v>
      </c>
      <c r="M464" s="19">
        <v>4.53</v>
      </c>
      <c r="N464" s="22">
        <f>TREN01[[#This Row],[T]]-TREN01[[#This Row],[H]]</f>
        <v>3.5700000000000003</v>
      </c>
      <c r="O464" s="20" t="str">
        <f t="shared" si="261"/>
        <v>OK</v>
      </c>
    </row>
    <row r="465" spans="1:15" x14ac:dyDescent="0.25">
      <c r="A465" s="93" t="s">
        <v>16</v>
      </c>
      <c r="B465" s="32">
        <v>1</v>
      </c>
      <c r="C465" s="32">
        <v>1172205</v>
      </c>
      <c r="D465" s="39">
        <v>46169</v>
      </c>
      <c r="E465" s="32" t="s">
        <v>15</v>
      </c>
      <c r="F465" s="32" t="str">
        <f t="shared" ref="F465:I465" si="275">F464</f>
        <v>M21</v>
      </c>
      <c r="G465" s="62" t="str">
        <f t="shared" si="275"/>
        <v>002</v>
      </c>
      <c r="H465" s="63" t="str">
        <f t="shared" si="275"/>
        <v>C3</v>
      </c>
      <c r="I465" s="64">
        <f t="shared" si="275"/>
        <v>1</v>
      </c>
      <c r="J465" s="40" t="s">
        <v>37</v>
      </c>
      <c r="K465" s="115">
        <v>40</v>
      </c>
      <c r="L465" s="17">
        <v>0.39</v>
      </c>
      <c r="M465" s="19">
        <v>3.79</v>
      </c>
      <c r="N465" s="22">
        <f>TREN01[[#This Row],[T]]-TREN01[[#This Row],[H]]</f>
        <v>3.4</v>
      </c>
      <c r="O465" s="20" t="str">
        <f t="shared" si="261"/>
        <v>OK</v>
      </c>
    </row>
    <row r="466" spans="1:15" x14ac:dyDescent="0.25">
      <c r="A466" s="93" t="s">
        <v>16</v>
      </c>
      <c r="B466" s="32">
        <v>1</v>
      </c>
      <c r="C466" s="32">
        <v>1172205</v>
      </c>
      <c r="D466" s="39">
        <v>46169</v>
      </c>
      <c r="E466" s="32" t="s">
        <v>15</v>
      </c>
      <c r="F466" s="32" t="str">
        <f t="shared" ref="F466:I466" si="276">F465</f>
        <v>M21</v>
      </c>
      <c r="G466" s="62" t="str">
        <f t="shared" si="276"/>
        <v>002</v>
      </c>
      <c r="H466" s="63" t="str">
        <f t="shared" si="276"/>
        <v>C3</v>
      </c>
      <c r="I466" s="64">
        <f t="shared" si="276"/>
        <v>1</v>
      </c>
      <c r="J466" s="40" t="s">
        <v>38</v>
      </c>
      <c r="K466" s="115">
        <v>40</v>
      </c>
      <c r="L466" s="17">
        <v>0.69</v>
      </c>
      <c r="M466" s="19">
        <v>4.32</v>
      </c>
      <c r="N466" s="22">
        <f>TREN01[[#This Row],[T]]-TREN01[[#This Row],[H]]</f>
        <v>3.6300000000000003</v>
      </c>
      <c r="O466" s="20" t="str">
        <f t="shared" si="261"/>
        <v>OK</v>
      </c>
    </row>
    <row r="467" spans="1:15" x14ac:dyDescent="0.25">
      <c r="A467" s="93" t="s">
        <v>16</v>
      </c>
      <c r="B467" s="32">
        <v>1</v>
      </c>
      <c r="C467" s="32">
        <v>1172205</v>
      </c>
      <c r="D467" s="39">
        <v>46169</v>
      </c>
      <c r="E467" s="32" t="s">
        <v>15</v>
      </c>
      <c r="F467" s="32" t="s">
        <v>28</v>
      </c>
      <c r="G467" s="62" t="s">
        <v>29</v>
      </c>
      <c r="H467" s="63" t="s">
        <v>39</v>
      </c>
      <c r="I467" s="64">
        <v>2</v>
      </c>
      <c r="J467" s="40" t="s">
        <v>31</v>
      </c>
      <c r="K467" s="115">
        <v>41</v>
      </c>
      <c r="L467" s="17">
        <v>0.26</v>
      </c>
      <c r="M467" s="19">
        <v>2.66</v>
      </c>
      <c r="N467" s="22">
        <f>TREN01[[#This Row],[T]]-TREN01[[#This Row],[H]]</f>
        <v>2.4000000000000004</v>
      </c>
      <c r="O467" s="20" t="str">
        <f t="shared" si="261"/>
        <v>OK</v>
      </c>
    </row>
    <row r="468" spans="1:15" x14ac:dyDescent="0.25">
      <c r="A468" s="93" t="s">
        <v>16</v>
      </c>
      <c r="B468" s="32">
        <v>1</v>
      </c>
      <c r="C468" s="32">
        <v>1172205</v>
      </c>
      <c r="D468" s="39">
        <v>46169</v>
      </c>
      <c r="E468" s="32" t="s">
        <v>15</v>
      </c>
      <c r="F468" s="32" t="str">
        <f t="shared" ref="F468:I468" si="277">F467</f>
        <v>M20</v>
      </c>
      <c r="G468" s="62" t="str">
        <f t="shared" si="277"/>
        <v>001</v>
      </c>
      <c r="H468" s="63" t="str">
        <f t="shared" si="277"/>
        <v>C2</v>
      </c>
      <c r="I468" s="64">
        <f t="shared" si="277"/>
        <v>2</v>
      </c>
      <c r="J468" s="40" t="s">
        <v>32</v>
      </c>
      <c r="K468" s="115">
        <v>41</v>
      </c>
      <c r="L468" s="17">
        <v>0.72</v>
      </c>
      <c r="M468" s="19">
        <v>4.1399999999999997</v>
      </c>
      <c r="N468" s="22">
        <f>TREN01[[#This Row],[T]]-TREN01[[#This Row],[H]]</f>
        <v>3.42</v>
      </c>
      <c r="O468" s="20" t="str">
        <f t="shared" si="261"/>
        <v>OK</v>
      </c>
    </row>
    <row r="469" spans="1:15" x14ac:dyDescent="0.25">
      <c r="A469" s="93" t="s">
        <v>16</v>
      </c>
      <c r="B469" s="32">
        <v>1</v>
      </c>
      <c r="C469" s="32">
        <v>1172205</v>
      </c>
      <c r="D469" s="39">
        <v>46169</v>
      </c>
      <c r="E469" s="32" t="s">
        <v>15</v>
      </c>
      <c r="F469" s="32" t="str">
        <f t="shared" ref="F469:I469" si="278">F468</f>
        <v>M20</v>
      </c>
      <c r="G469" s="62" t="str">
        <f t="shared" si="278"/>
        <v>001</v>
      </c>
      <c r="H469" s="63" t="str">
        <f t="shared" si="278"/>
        <v>C2</v>
      </c>
      <c r="I469" s="64">
        <f t="shared" si="278"/>
        <v>2</v>
      </c>
      <c r="J469" s="40" t="s">
        <v>33</v>
      </c>
      <c r="K469" s="115">
        <v>42</v>
      </c>
      <c r="L469" s="17">
        <v>0.56999999999999995</v>
      </c>
      <c r="M469" s="19">
        <v>3.32</v>
      </c>
      <c r="N469" s="22">
        <f>TREN01[[#This Row],[T]]-TREN01[[#This Row],[H]]</f>
        <v>2.75</v>
      </c>
      <c r="O469" s="20" t="str">
        <f t="shared" si="261"/>
        <v>OK</v>
      </c>
    </row>
    <row r="470" spans="1:15" x14ac:dyDescent="0.25">
      <c r="A470" s="93" t="s">
        <v>16</v>
      </c>
      <c r="B470" s="32">
        <v>1</v>
      </c>
      <c r="C470" s="32">
        <v>1172205</v>
      </c>
      <c r="D470" s="39">
        <v>46169</v>
      </c>
      <c r="E470" s="32" t="s">
        <v>15</v>
      </c>
      <c r="F470" s="32" t="str">
        <f t="shared" ref="F470:I470" si="279">F469</f>
        <v>M20</v>
      </c>
      <c r="G470" s="62" t="str">
        <f t="shared" si="279"/>
        <v>001</v>
      </c>
      <c r="H470" s="63" t="str">
        <f t="shared" si="279"/>
        <v>C2</v>
      </c>
      <c r="I470" s="64">
        <f t="shared" si="279"/>
        <v>2</v>
      </c>
      <c r="J470" s="40" t="s">
        <v>34</v>
      </c>
      <c r="K470" s="115">
        <v>42</v>
      </c>
      <c r="L470" s="17">
        <v>0.63</v>
      </c>
      <c r="M470" s="19">
        <v>2.19</v>
      </c>
      <c r="N470" s="22">
        <f>TREN01[[#This Row],[T]]-TREN01[[#This Row],[H]]</f>
        <v>1.56</v>
      </c>
      <c r="O470" s="20" t="str">
        <f t="shared" si="261"/>
        <v>OK</v>
      </c>
    </row>
    <row r="471" spans="1:15" x14ac:dyDescent="0.25">
      <c r="A471" s="93" t="s">
        <v>16</v>
      </c>
      <c r="B471" s="32">
        <v>1</v>
      </c>
      <c r="C471" s="32">
        <v>1172205</v>
      </c>
      <c r="D471" s="39">
        <v>46169</v>
      </c>
      <c r="E471" s="32" t="s">
        <v>15</v>
      </c>
      <c r="F471" s="32" t="str">
        <f t="shared" ref="F471:H471" si="280">F470</f>
        <v>M20</v>
      </c>
      <c r="G471" s="62" t="str">
        <f t="shared" si="280"/>
        <v>001</v>
      </c>
      <c r="H471" s="63" t="str">
        <f t="shared" si="280"/>
        <v>C2</v>
      </c>
      <c r="I471" s="64">
        <v>1</v>
      </c>
      <c r="J471" s="40" t="s">
        <v>35</v>
      </c>
      <c r="K471" s="115">
        <v>43</v>
      </c>
      <c r="L471" s="17">
        <v>0.95</v>
      </c>
      <c r="M471" s="19">
        <v>3.36</v>
      </c>
      <c r="N471" s="22">
        <f>TREN01[[#This Row],[T]]-TREN01[[#This Row],[H]]</f>
        <v>2.41</v>
      </c>
      <c r="O471" s="20" t="str">
        <f t="shared" si="261"/>
        <v>OK</v>
      </c>
    </row>
    <row r="472" spans="1:15" x14ac:dyDescent="0.25">
      <c r="A472" s="93" t="s">
        <v>16</v>
      </c>
      <c r="B472" s="32">
        <v>1</v>
      </c>
      <c r="C472" s="32">
        <v>1172205</v>
      </c>
      <c r="D472" s="39">
        <v>46169</v>
      </c>
      <c r="E472" s="32" t="s">
        <v>15</v>
      </c>
      <c r="F472" s="32" t="str">
        <f t="shared" ref="F472:I472" si="281">F471</f>
        <v>M20</v>
      </c>
      <c r="G472" s="62" t="str">
        <f t="shared" si="281"/>
        <v>001</v>
      </c>
      <c r="H472" s="63" t="str">
        <f t="shared" si="281"/>
        <v>C2</v>
      </c>
      <c r="I472" s="64">
        <f t="shared" si="281"/>
        <v>1</v>
      </c>
      <c r="J472" s="40" t="s">
        <v>36</v>
      </c>
      <c r="K472" s="115">
        <v>43</v>
      </c>
      <c r="L472" s="17">
        <v>0.5</v>
      </c>
      <c r="M472" s="19">
        <v>3.42</v>
      </c>
      <c r="N472" s="22">
        <f>TREN01[[#This Row],[T]]-TREN01[[#This Row],[H]]</f>
        <v>2.92</v>
      </c>
      <c r="O472" s="20" t="str">
        <f t="shared" si="261"/>
        <v>OK</v>
      </c>
    </row>
    <row r="473" spans="1:15" x14ac:dyDescent="0.25">
      <c r="A473" s="93" t="s">
        <v>16</v>
      </c>
      <c r="B473" s="32">
        <v>1</v>
      </c>
      <c r="C473" s="32">
        <v>1172205</v>
      </c>
      <c r="D473" s="39">
        <v>46169</v>
      </c>
      <c r="E473" s="32" t="s">
        <v>15</v>
      </c>
      <c r="F473" s="32" t="str">
        <f t="shared" ref="F473:I473" si="282">F472</f>
        <v>M20</v>
      </c>
      <c r="G473" s="62" t="str">
        <f t="shared" si="282"/>
        <v>001</v>
      </c>
      <c r="H473" s="63" t="str">
        <f t="shared" si="282"/>
        <v>C2</v>
      </c>
      <c r="I473" s="64">
        <f t="shared" si="282"/>
        <v>1</v>
      </c>
      <c r="J473" s="40" t="s">
        <v>37</v>
      </c>
      <c r="K473" s="115">
        <v>44</v>
      </c>
      <c r="L473" s="17">
        <v>0.59</v>
      </c>
      <c r="M473" s="19">
        <v>2.91</v>
      </c>
      <c r="N473" s="22">
        <f>TREN01[[#This Row],[T]]-TREN01[[#This Row],[H]]</f>
        <v>2.3200000000000003</v>
      </c>
      <c r="O473" s="20" t="str">
        <f t="shared" si="261"/>
        <v>OK</v>
      </c>
    </row>
    <row r="474" spans="1:15" x14ac:dyDescent="0.25">
      <c r="A474" s="93" t="s">
        <v>16</v>
      </c>
      <c r="B474" s="32">
        <v>1</v>
      </c>
      <c r="C474" s="32">
        <v>1172205</v>
      </c>
      <c r="D474" s="39">
        <v>46169</v>
      </c>
      <c r="E474" s="32" t="s">
        <v>15</v>
      </c>
      <c r="F474" s="32" t="str">
        <f t="shared" ref="F474:I474" si="283">F473</f>
        <v>M20</v>
      </c>
      <c r="G474" s="62" t="str">
        <f t="shared" si="283"/>
        <v>001</v>
      </c>
      <c r="H474" s="63" t="str">
        <f t="shared" si="283"/>
        <v>C2</v>
      </c>
      <c r="I474" s="64">
        <f t="shared" si="283"/>
        <v>1</v>
      </c>
      <c r="J474" s="40" t="s">
        <v>38</v>
      </c>
      <c r="K474" s="115">
        <v>44</v>
      </c>
      <c r="L474" s="17">
        <v>0.28999999999999998</v>
      </c>
      <c r="M474" s="19">
        <v>1.1399999999999999</v>
      </c>
      <c r="N474" s="22">
        <f>TREN01[[#This Row],[T]]-TREN01[[#This Row],[H]]</f>
        <v>0.84999999999999987</v>
      </c>
      <c r="O474" s="20" t="str">
        <f t="shared" si="261"/>
        <v>Seguimiento</v>
      </c>
    </row>
    <row r="475" spans="1:15" x14ac:dyDescent="0.25">
      <c r="A475" s="93" t="s">
        <v>16</v>
      </c>
      <c r="B475" s="32">
        <v>1</v>
      </c>
      <c r="C475" s="32">
        <v>1172205</v>
      </c>
      <c r="D475" s="39">
        <v>46169</v>
      </c>
      <c r="E475" s="32" t="s">
        <v>15</v>
      </c>
      <c r="F475" s="32" t="str">
        <f t="shared" ref="F475:G475" si="284">F474</f>
        <v>M20</v>
      </c>
      <c r="G475" s="62" t="str">
        <f t="shared" si="284"/>
        <v>001</v>
      </c>
      <c r="H475" s="63" t="s">
        <v>30</v>
      </c>
      <c r="I475" s="64">
        <v>2</v>
      </c>
      <c r="J475" s="40" t="s">
        <v>31</v>
      </c>
      <c r="K475" s="115">
        <v>45</v>
      </c>
      <c r="L475" s="17">
        <v>0.17</v>
      </c>
      <c r="M475" s="19">
        <v>4.66</v>
      </c>
      <c r="N475" s="22">
        <f>TREN01[[#This Row],[T]]-TREN01[[#This Row],[H]]</f>
        <v>4.49</v>
      </c>
      <c r="O475" s="20" t="str">
        <f t="shared" si="261"/>
        <v>OK</v>
      </c>
    </row>
    <row r="476" spans="1:15" x14ac:dyDescent="0.25">
      <c r="A476" s="93" t="s">
        <v>16</v>
      </c>
      <c r="B476" s="32">
        <v>1</v>
      </c>
      <c r="C476" s="32">
        <v>1172205</v>
      </c>
      <c r="D476" s="39">
        <v>46169</v>
      </c>
      <c r="E476" s="32" t="s">
        <v>15</v>
      </c>
      <c r="F476" s="32" t="str">
        <f t="shared" ref="F476:I476" si="285">F475</f>
        <v>M20</v>
      </c>
      <c r="G476" s="62" t="str">
        <f t="shared" si="285"/>
        <v>001</v>
      </c>
      <c r="H476" s="63" t="str">
        <f t="shared" si="285"/>
        <v>C1</v>
      </c>
      <c r="I476" s="64">
        <f t="shared" si="285"/>
        <v>2</v>
      </c>
      <c r="J476" s="40" t="s">
        <v>32</v>
      </c>
      <c r="K476" s="115">
        <v>45</v>
      </c>
      <c r="L476" s="17">
        <v>0.05</v>
      </c>
      <c r="M476" s="19">
        <v>4.46</v>
      </c>
      <c r="N476" s="22">
        <f>TREN01[[#This Row],[T]]-TREN01[[#This Row],[H]]</f>
        <v>4.41</v>
      </c>
      <c r="O476" s="20" t="str">
        <f t="shared" si="261"/>
        <v>OK</v>
      </c>
    </row>
    <row r="477" spans="1:15" x14ac:dyDescent="0.25">
      <c r="A477" s="93" t="s">
        <v>16</v>
      </c>
      <c r="B477" s="32">
        <v>1</v>
      </c>
      <c r="C477" s="32">
        <v>1172205</v>
      </c>
      <c r="D477" s="39">
        <v>46169</v>
      </c>
      <c r="E477" s="32" t="s">
        <v>15</v>
      </c>
      <c r="F477" s="32" t="str">
        <f t="shared" ref="F477:I477" si="286">F476</f>
        <v>M20</v>
      </c>
      <c r="G477" s="62" t="str">
        <f t="shared" si="286"/>
        <v>001</v>
      </c>
      <c r="H477" s="63" t="str">
        <f t="shared" si="286"/>
        <v>C1</v>
      </c>
      <c r="I477" s="64">
        <f t="shared" si="286"/>
        <v>2</v>
      </c>
      <c r="J477" s="40" t="s">
        <v>33</v>
      </c>
      <c r="K477" s="115">
        <v>46</v>
      </c>
      <c r="L477" s="17">
        <v>0.89</v>
      </c>
      <c r="M477" s="19">
        <v>3.12</v>
      </c>
      <c r="N477" s="22">
        <f>TREN01[[#This Row],[T]]-TREN01[[#This Row],[H]]</f>
        <v>2.23</v>
      </c>
      <c r="O477" s="20" t="str">
        <f t="shared" si="261"/>
        <v>OK</v>
      </c>
    </row>
    <row r="478" spans="1:15" x14ac:dyDescent="0.25">
      <c r="A478" s="93" t="s">
        <v>16</v>
      </c>
      <c r="B478" s="32">
        <v>1</v>
      </c>
      <c r="C478" s="32">
        <v>1172205</v>
      </c>
      <c r="D478" s="39">
        <v>46169</v>
      </c>
      <c r="E478" s="32" t="s">
        <v>15</v>
      </c>
      <c r="F478" s="32" t="str">
        <f t="shared" ref="F478:I478" si="287">F477</f>
        <v>M20</v>
      </c>
      <c r="G478" s="62" t="str">
        <f t="shared" si="287"/>
        <v>001</v>
      </c>
      <c r="H478" s="63" t="str">
        <f t="shared" si="287"/>
        <v>C1</v>
      </c>
      <c r="I478" s="64">
        <f t="shared" si="287"/>
        <v>2</v>
      </c>
      <c r="J478" s="40" t="s">
        <v>34</v>
      </c>
      <c r="K478" s="115">
        <v>46</v>
      </c>
      <c r="L478" s="17">
        <v>0.03</v>
      </c>
      <c r="M478" s="19">
        <v>4.63</v>
      </c>
      <c r="N478" s="22">
        <f>TREN01[[#This Row],[T]]-TREN01[[#This Row],[H]]</f>
        <v>4.5999999999999996</v>
      </c>
      <c r="O478" s="20" t="str">
        <f t="shared" si="261"/>
        <v>OK</v>
      </c>
    </row>
    <row r="479" spans="1:15" x14ac:dyDescent="0.25">
      <c r="A479" s="93" t="s">
        <v>16</v>
      </c>
      <c r="B479" s="32">
        <v>1</v>
      </c>
      <c r="C479" s="32">
        <v>1172205</v>
      </c>
      <c r="D479" s="39">
        <v>46169</v>
      </c>
      <c r="E479" s="32" t="s">
        <v>15</v>
      </c>
      <c r="F479" s="32" t="str">
        <f t="shared" ref="F479:H479" si="288">F478</f>
        <v>M20</v>
      </c>
      <c r="G479" s="62" t="str">
        <f t="shared" si="288"/>
        <v>001</v>
      </c>
      <c r="H479" s="63" t="str">
        <f t="shared" si="288"/>
        <v>C1</v>
      </c>
      <c r="I479" s="64">
        <v>1</v>
      </c>
      <c r="J479" s="40" t="s">
        <v>35</v>
      </c>
      <c r="K479" s="115">
        <v>47</v>
      </c>
      <c r="L479" s="17">
        <v>0.3</v>
      </c>
      <c r="M479" s="19">
        <v>1.56</v>
      </c>
      <c r="N479" s="22">
        <f>TREN01[[#This Row],[T]]-TREN01[[#This Row],[H]]</f>
        <v>1.26</v>
      </c>
      <c r="O479" s="20" t="str">
        <f t="shared" si="261"/>
        <v>OK</v>
      </c>
    </row>
    <row r="480" spans="1:15" x14ac:dyDescent="0.25">
      <c r="A480" s="93" t="s">
        <v>16</v>
      </c>
      <c r="B480" s="32">
        <v>1</v>
      </c>
      <c r="C480" s="32">
        <v>1172205</v>
      </c>
      <c r="D480" s="39">
        <v>46169</v>
      </c>
      <c r="E480" s="32" t="s">
        <v>15</v>
      </c>
      <c r="F480" s="32" t="str">
        <f t="shared" ref="F480:I480" si="289">F479</f>
        <v>M20</v>
      </c>
      <c r="G480" s="62" t="str">
        <f t="shared" si="289"/>
        <v>001</v>
      </c>
      <c r="H480" s="63" t="str">
        <f t="shared" si="289"/>
        <v>C1</v>
      </c>
      <c r="I480" s="64">
        <f t="shared" si="289"/>
        <v>1</v>
      </c>
      <c r="J480" s="40" t="s">
        <v>36</v>
      </c>
      <c r="K480" s="115">
        <v>47</v>
      </c>
      <c r="L480" s="17">
        <v>0.3</v>
      </c>
      <c r="M480" s="19">
        <v>2.82</v>
      </c>
      <c r="N480" s="22">
        <f>TREN01[[#This Row],[T]]-TREN01[[#This Row],[H]]</f>
        <v>2.52</v>
      </c>
      <c r="O480" s="20" t="str">
        <f t="shared" si="261"/>
        <v>OK</v>
      </c>
    </row>
    <row r="481" spans="1:15" x14ac:dyDescent="0.25">
      <c r="A481" s="96" t="s">
        <v>16</v>
      </c>
      <c r="B481" s="43">
        <v>1</v>
      </c>
      <c r="C481" s="32">
        <v>1172205</v>
      </c>
      <c r="D481" s="39">
        <v>46169</v>
      </c>
      <c r="E481" s="43" t="s">
        <v>15</v>
      </c>
      <c r="F481" s="43" t="str">
        <f t="shared" ref="F481:I481" si="290">F480</f>
        <v>M20</v>
      </c>
      <c r="G481" s="97" t="str">
        <f t="shared" si="290"/>
        <v>001</v>
      </c>
      <c r="H481" s="98" t="str">
        <f t="shared" si="290"/>
        <v>C1</v>
      </c>
      <c r="I481" s="99">
        <f t="shared" si="290"/>
        <v>1</v>
      </c>
      <c r="J481" s="100" t="s">
        <v>37</v>
      </c>
      <c r="K481" s="116">
        <v>48</v>
      </c>
      <c r="L481" s="23">
        <v>0.97</v>
      </c>
      <c r="M481" s="24">
        <v>2.96</v>
      </c>
      <c r="N481" s="109">
        <f>TREN01[[#This Row],[T]]-TREN01[[#This Row],[H]]</f>
        <v>1.99</v>
      </c>
      <c r="O481" s="20" t="str">
        <f t="shared" si="261"/>
        <v>OK</v>
      </c>
    </row>
    <row r="482" spans="1:15" x14ac:dyDescent="0.25">
      <c r="A482" s="111" t="s">
        <v>16</v>
      </c>
      <c r="B482" s="43">
        <v>1</v>
      </c>
      <c r="C482" s="32">
        <v>1172205</v>
      </c>
      <c r="D482" s="39">
        <v>46169</v>
      </c>
      <c r="E482" s="43" t="s">
        <v>15</v>
      </c>
      <c r="F482" s="43" t="str">
        <f t="shared" ref="F482:I482" si="291">F481</f>
        <v>M20</v>
      </c>
      <c r="G482" s="97" t="str">
        <f t="shared" si="291"/>
        <v>001</v>
      </c>
      <c r="H482" s="122" t="str">
        <f t="shared" si="291"/>
        <v>C1</v>
      </c>
      <c r="I482" s="123">
        <f t="shared" si="291"/>
        <v>1</v>
      </c>
      <c r="J482" s="46" t="s">
        <v>38</v>
      </c>
      <c r="K482" s="116">
        <v>48</v>
      </c>
      <c r="L482" s="124">
        <v>0.09</v>
      </c>
      <c r="M482" s="121">
        <v>4.9000000000000004</v>
      </c>
      <c r="N482" s="110">
        <f>TREN01[[#This Row],[T]]-TREN01[[#This Row],[H]]</f>
        <v>4.8100000000000005</v>
      </c>
      <c r="O482" s="20" t="str">
        <f t="shared" si="261"/>
        <v>OK</v>
      </c>
    </row>
  </sheetData>
  <conditionalFormatting sqref="L3:L482">
    <cfRule type="cellIs" dxfId="148" priority="9" operator="greaterThan">
      <formula>1.7</formula>
    </cfRule>
  </conditionalFormatting>
  <conditionalFormatting sqref="N3:N482">
    <cfRule type="cellIs" dxfId="147" priority="8" operator="lessThan">
      <formula>1</formula>
    </cfRule>
  </conditionalFormatting>
  <conditionalFormatting sqref="O3:O482">
    <cfRule type="cellIs" dxfId="146" priority="10" operator="equal">
      <formula>"OK"</formula>
    </cfRule>
    <cfRule type="cellIs" dxfId="145" priority="11" operator="equal">
      <formula>"Cambio"</formula>
    </cfRule>
    <cfRule type="cellIs" dxfId="144" priority="12" operator="equal">
      <formula>"Reperfilado"</formula>
    </cfRule>
    <cfRule type="cellIs" dxfId="143" priority="13" operator="equal">
      <formula>"Seguimiento"</formula>
    </cfRule>
    <cfRule type="cellIs" dxfId="142" priority="14" operator="equal">
      <formula>"Critico"</formula>
    </cfRule>
  </conditionalFormatting>
  <pageMargins left="0.7" right="0.7" top="0.75" bottom="0.75" header="0.3" footer="0.3"/>
  <ignoredErrors>
    <ignoredError sqref="G3:G194" numberStoredAsText="1"/>
  </ignoredErrors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2A95C-EB88-4BAD-9B8D-2075EE6D0DCA}">
  <sheetPr codeName="Hoja6">
    <tabColor rgb="FFFF0000"/>
  </sheetPr>
  <dimension ref="A1:O580"/>
  <sheetViews>
    <sheetView topLeftCell="A548" workbookViewId="0">
      <selection activeCell="R368" sqref="R368"/>
    </sheetView>
  </sheetViews>
  <sheetFormatPr baseColWidth="10" defaultColWidth="9.140625" defaultRowHeight="12" customHeight="1" x14ac:dyDescent="0.25"/>
  <cols>
    <col min="1" max="1" width="18.7109375" style="2" bestFit="1" customWidth="1"/>
    <col min="2" max="2" width="9" style="2" bestFit="1" customWidth="1"/>
    <col min="3" max="3" width="14.42578125" style="2" bestFit="1" customWidth="1"/>
    <col min="4" max="4" width="10.140625" style="2" bestFit="1" customWidth="1"/>
    <col min="5" max="5" width="10.7109375" style="2" bestFit="1" customWidth="1"/>
    <col min="6" max="6" width="10.42578125" style="2" bestFit="1" customWidth="1"/>
    <col min="7" max="7" width="12.7109375" style="2" bestFit="1" customWidth="1"/>
    <col min="8" max="8" width="9.85546875" style="2" bestFit="1" customWidth="1"/>
    <col min="9" max="9" width="7.7109375" style="2" bestFit="1" customWidth="1"/>
    <col min="10" max="10" width="17.85546875" style="2" bestFit="1" customWidth="1"/>
    <col min="11" max="11" width="10.42578125" style="2" bestFit="1" customWidth="1"/>
    <col min="12" max="12" width="6.5703125" style="2" bestFit="1" customWidth="1"/>
    <col min="13" max="13" width="6.28515625" style="2" bestFit="1" customWidth="1"/>
    <col min="14" max="14" width="8.140625" style="2" bestFit="1" customWidth="1"/>
    <col min="15" max="15" width="11.5703125" style="2" bestFit="1" customWidth="1"/>
    <col min="16" max="16384" width="9.140625" style="2"/>
  </cols>
  <sheetData>
    <row r="1" spans="1:15" ht="24.95" customHeight="1" x14ac:dyDescent="0.25"/>
    <row r="2" spans="1:15" x14ac:dyDescent="0.25">
      <c r="A2" s="89" t="s">
        <v>0</v>
      </c>
      <c r="B2" s="90" t="s">
        <v>1</v>
      </c>
      <c r="C2" s="90" t="s">
        <v>2</v>
      </c>
      <c r="D2" s="90" t="s">
        <v>3</v>
      </c>
      <c r="E2" s="90" t="s">
        <v>4</v>
      </c>
      <c r="F2" s="90" t="s">
        <v>5</v>
      </c>
      <c r="G2" s="90" t="s">
        <v>6</v>
      </c>
      <c r="H2" s="90" t="s">
        <v>7</v>
      </c>
      <c r="I2" s="90" t="s">
        <v>8</v>
      </c>
      <c r="J2" s="90" t="s">
        <v>9</v>
      </c>
      <c r="K2" s="90" t="s">
        <v>10</v>
      </c>
      <c r="L2" s="90" t="s">
        <v>11</v>
      </c>
      <c r="M2" s="90" t="s">
        <v>12</v>
      </c>
      <c r="N2" s="90" t="s">
        <v>13</v>
      </c>
      <c r="O2" s="60" t="s">
        <v>14</v>
      </c>
    </row>
    <row r="3" spans="1:15" ht="15" x14ac:dyDescent="0.25">
      <c r="A3" s="54"/>
      <c r="B3" s="32">
        <v>2</v>
      </c>
      <c r="C3" s="32">
        <v>1129980</v>
      </c>
      <c r="D3" s="39">
        <v>45738</v>
      </c>
      <c r="E3" s="32" t="s">
        <v>15</v>
      </c>
      <c r="F3" s="32" t="s">
        <v>28</v>
      </c>
      <c r="G3" s="62" t="s">
        <v>51</v>
      </c>
      <c r="H3" s="38" t="s">
        <v>30</v>
      </c>
      <c r="I3" s="38">
        <v>1</v>
      </c>
      <c r="J3" s="37" t="s">
        <v>31</v>
      </c>
      <c r="K3" s="37">
        <v>1</v>
      </c>
      <c r="L3" s="26">
        <v>1.19</v>
      </c>
      <c r="M3" s="26">
        <v>2.73</v>
      </c>
      <c r="N3" s="29">
        <f>+M3-L3</f>
        <v>1.54</v>
      </c>
      <c r="O3" s="58" t="str">
        <f>IF(N3&lt;=0,"Critico",IF(N3&lt;=0.2,"Cambio",IF(N3&lt;=1,"Seguimiento",IF(L3&gt;=1.6,"Reperfilado","OK"))))</f>
        <v>OK</v>
      </c>
    </row>
    <row r="4" spans="1:15" ht="15" x14ac:dyDescent="0.25">
      <c r="A4" s="54"/>
      <c r="B4" s="32">
        <v>2</v>
      </c>
      <c r="C4" s="32">
        <v>1129980</v>
      </c>
      <c r="D4" s="39">
        <v>45738</v>
      </c>
      <c r="E4" s="32" t="s">
        <v>15</v>
      </c>
      <c r="F4" s="32" t="str">
        <f t="shared" ref="F4:I18" si="0">F3</f>
        <v>M20</v>
      </c>
      <c r="G4" s="62" t="str">
        <f t="shared" si="0"/>
        <v>005</v>
      </c>
      <c r="H4" s="38" t="str">
        <f t="shared" si="0"/>
        <v>C1</v>
      </c>
      <c r="I4" s="38">
        <f t="shared" si="0"/>
        <v>1</v>
      </c>
      <c r="J4" s="37" t="s">
        <v>32</v>
      </c>
      <c r="K4" s="37">
        <v>1</v>
      </c>
      <c r="L4" s="26">
        <v>7.0000000000000007E-2</v>
      </c>
      <c r="M4" s="26">
        <v>1.08</v>
      </c>
      <c r="N4" s="29">
        <f>+M4-L4</f>
        <v>1.01</v>
      </c>
      <c r="O4" s="58" t="str">
        <f t="shared" ref="O4:O67" si="1">IF(N4&lt;=0,"Critico",IF(N4&lt;=0.2,"Cambio",IF(N4&lt;=1,"Seguimiento",IF(L4&gt;=1.6,"Reperfilado","OK"))))</f>
        <v>OK</v>
      </c>
    </row>
    <row r="5" spans="1:15" ht="15" x14ac:dyDescent="0.25">
      <c r="A5" s="54"/>
      <c r="B5" s="32">
        <v>2</v>
      </c>
      <c r="C5" s="32">
        <v>1129980</v>
      </c>
      <c r="D5" s="39">
        <v>45738</v>
      </c>
      <c r="E5" s="32" t="s">
        <v>15</v>
      </c>
      <c r="F5" s="32" t="str">
        <f t="shared" si="0"/>
        <v>M20</v>
      </c>
      <c r="G5" s="62" t="str">
        <f t="shared" si="0"/>
        <v>005</v>
      </c>
      <c r="H5" s="38" t="str">
        <f t="shared" si="0"/>
        <v>C1</v>
      </c>
      <c r="I5" s="38">
        <f t="shared" si="0"/>
        <v>1</v>
      </c>
      <c r="J5" s="37" t="s">
        <v>33</v>
      </c>
      <c r="K5" s="37">
        <v>2</v>
      </c>
      <c r="L5" s="26">
        <v>0.18</v>
      </c>
      <c r="M5" s="26">
        <v>1.64</v>
      </c>
      <c r="N5" s="29">
        <f>+M5-L5</f>
        <v>1.46</v>
      </c>
      <c r="O5" s="58" t="str">
        <f t="shared" si="1"/>
        <v>OK</v>
      </c>
    </row>
    <row r="6" spans="1:15" ht="15" x14ac:dyDescent="0.25">
      <c r="A6" s="54"/>
      <c r="B6" s="32">
        <v>2</v>
      </c>
      <c r="C6" s="32">
        <v>1129980</v>
      </c>
      <c r="D6" s="39">
        <v>45738</v>
      </c>
      <c r="E6" s="32" t="s">
        <v>15</v>
      </c>
      <c r="F6" s="32" t="str">
        <f t="shared" si="0"/>
        <v>M20</v>
      </c>
      <c r="G6" s="62" t="str">
        <f t="shared" si="0"/>
        <v>005</v>
      </c>
      <c r="H6" s="38" t="str">
        <f t="shared" si="0"/>
        <v>C1</v>
      </c>
      <c r="I6" s="38">
        <f t="shared" si="0"/>
        <v>1</v>
      </c>
      <c r="J6" s="37" t="s">
        <v>34</v>
      </c>
      <c r="K6" s="37">
        <v>2</v>
      </c>
      <c r="L6" s="26">
        <v>0.23</v>
      </c>
      <c r="M6" s="26">
        <v>4.8600000000000003</v>
      </c>
      <c r="N6" s="29">
        <f t="shared" ref="N6:N67" si="2">+M6-L6</f>
        <v>4.63</v>
      </c>
      <c r="O6" s="58" t="str">
        <f t="shared" si="1"/>
        <v>OK</v>
      </c>
    </row>
    <row r="7" spans="1:15" ht="15" x14ac:dyDescent="0.25">
      <c r="A7" s="54"/>
      <c r="B7" s="32">
        <v>2</v>
      </c>
      <c r="C7" s="32">
        <v>1129980</v>
      </c>
      <c r="D7" s="39">
        <v>45738</v>
      </c>
      <c r="E7" s="32" t="s">
        <v>15</v>
      </c>
      <c r="F7" s="32" t="str">
        <f t="shared" si="0"/>
        <v>M20</v>
      </c>
      <c r="G7" s="62" t="str">
        <f t="shared" si="0"/>
        <v>005</v>
      </c>
      <c r="H7" s="38" t="str">
        <f t="shared" si="0"/>
        <v>C1</v>
      </c>
      <c r="I7" s="38">
        <v>2</v>
      </c>
      <c r="J7" s="37" t="s">
        <v>35</v>
      </c>
      <c r="K7" s="37">
        <v>3</v>
      </c>
      <c r="L7" s="26">
        <v>0.33</v>
      </c>
      <c r="M7" s="26">
        <v>4.21</v>
      </c>
      <c r="N7" s="29">
        <f t="shared" si="2"/>
        <v>3.88</v>
      </c>
      <c r="O7" s="58" t="str">
        <f t="shared" si="1"/>
        <v>OK</v>
      </c>
    </row>
    <row r="8" spans="1:15" ht="15" x14ac:dyDescent="0.25">
      <c r="A8" s="54"/>
      <c r="B8" s="32">
        <v>2</v>
      </c>
      <c r="C8" s="32">
        <v>1129980</v>
      </c>
      <c r="D8" s="39">
        <v>45738</v>
      </c>
      <c r="E8" s="32" t="s">
        <v>15</v>
      </c>
      <c r="F8" s="32" t="str">
        <f t="shared" si="0"/>
        <v>M20</v>
      </c>
      <c r="G8" s="62" t="str">
        <f t="shared" si="0"/>
        <v>005</v>
      </c>
      <c r="H8" s="38" t="str">
        <f t="shared" si="0"/>
        <v>C1</v>
      </c>
      <c r="I8" s="38">
        <f t="shared" si="0"/>
        <v>2</v>
      </c>
      <c r="J8" s="37" t="s">
        <v>36</v>
      </c>
      <c r="K8" s="37">
        <v>3</v>
      </c>
      <c r="L8" s="26">
        <v>0.47</v>
      </c>
      <c r="M8" s="26">
        <v>2.59</v>
      </c>
      <c r="N8" s="29">
        <f t="shared" si="2"/>
        <v>2.12</v>
      </c>
      <c r="O8" s="58" t="str">
        <f t="shared" si="1"/>
        <v>OK</v>
      </c>
    </row>
    <row r="9" spans="1:15" ht="15" x14ac:dyDescent="0.25">
      <c r="A9" s="54"/>
      <c r="B9" s="32">
        <v>2</v>
      </c>
      <c r="C9" s="32">
        <v>1129980</v>
      </c>
      <c r="D9" s="39">
        <v>45738</v>
      </c>
      <c r="E9" s="32" t="s">
        <v>15</v>
      </c>
      <c r="F9" s="32" t="str">
        <f t="shared" si="0"/>
        <v>M20</v>
      </c>
      <c r="G9" s="62" t="str">
        <f t="shared" si="0"/>
        <v>005</v>
      </c>
      <c r="H9" s="38" t="str">
        <f t="shared" si="0"/>
        <v>C1</v>
      </c>
      <c r="I9" s="38">
        <f t="shared" si="0"/>
        <v>2</v>
      </c>
      <c r="J9" s="37" t="s">
        <v>37</v>
      </c>
      <c r="K9" s="37">
        <v>4</v>
      </c>
      <c r="L9" s="26">
        <v>0.32</v>
      </c>
      <c r="M9" s="26">
        <v>2.39</v>
      </c>
      <c r="N9" s="29">
        <f t="shared" si="2"/>
        <v>2.0700000000000003</v>
      </c>
      <c r="O9" s="58" t="str">
        <f t="shared" si="1"/>
        <v>OK</v>
      </c>
    </row>
    <row r="10" spans="1:15" ht="15" x14ac:dyDescent="0.25">
      <c r="A10" s="54"/>
      <c r="B10" s="32">
        <v>2</v>
      </c>
      <c r="C10" s="32">
        <v>1129980</v>
      </c>
      <c r="D10" s="39">
        <v>45738</v>
      </c>
      <c r="E10" s="32" t="s">
        <v>15</v>
      </c>
      <c r="F10" s="32" t="str">
        <f t="shared" si="0"/>
        <v>M20</v>
      </c>
      <c r="G10" s="62" t="str">
        <f t="shared" si="0"/>
        <v>005</v>
      </c>
      <c r="H10" s="38" t="str">
        <f t="shared" si="0"/>
        <v>C1</v>
      </c>
      <c r="I10" s="38">
        <f t="shared" si="0"/>
        <v>2</v>
      </c>
      <c r="J10" s="37" t="s">
        <v>38</v>
      </c>
      <c r="K10" s="37">
        <v>4</v>
      </c>
      <c r="L10" s="26">
        <v>0.23</v>
      </c>
      <c r="M10" s="26">
        <v>2.95</v>
      </c>
      <c r="N10" s="29">
        <f t="shared" si="2"/>
        <v>2.72</v>
      </c>
      <c r="O10" s="58" t="str">
        <f t="shared" si="1"/>
        <v>OK</v>
      </c>
    </row>
    <row r="11" spans="1:15" ht="15" x14ac:dyDescent="0.25">
      <c r="A11" s="54"/>
      <c r="B11" s="32">
        <v>2</v>
      </c>
      <c r="C11" s="32">
        <v>1129980</v>
      </c>
      <c r="D11" s="39">
        <v>45738</v>
      </c>
      <c r="E11" s="32" t="s">
        <v>15</v>
      </c>
      <c r="F11" s="32" t="str">
        <f t="shared" si="0"/>
        <v>M20</v>
      </c>
      <c r="G11" s="62" t="str">
        <f t="shared" si="0"/>
        <v>005</v>
      </c>
      <c r="H11" s="38" t="s">
        <v>39</v>
      </c>
      <c r="I11" s="38">
        <v>1</v>
      </c>
      <c r="J11" s="37" t="s">
        <v>31</v>
      </c>
      <c r="K11" s="37">
        <v>5</v>
      </c>
      <c r="L11" s="26">
        <v>0.65</v>
      </c>
      <c r="M11" s="26">
        <v>2.95</v>
      </c>
      <c r="N11" s="29">
        <f t="shared" si="2"/>
        <v>2.3000000000000003</v>
      </c>
      <c r="O11" s="58" t="str">
        <f t="shared" si="1"/>
        <v>OK</v>
      </c>
    </row>
    <row r="12" spans="1:15" ht="15" x14ac:dyDescent="0.25">
      <c r="A12" s="54"/>
      <c r="B12" s="32">
        <v>2</v>
      </c>
      <c r="C12" s="32">
        <v>1129980</v>
      </c>
      <c r="D12" s="39">
        <v>45738</v>
      </c>
      <c r="E12" s="32" t="s">
        <v>15</v>
      </c>
      <c r="F12" s="32" t="str">
        <f t="shared" si="0"/>
        <v>M20</v>
      </c>
      <c r="G12" s="62" t="str">
        <f t="shared" si="0"/>
        <v>005</v>
      </c>
      <c r="H12" s="38" t="str">
        <f t="shared" si="0"/>
        <v>C2</v>
      </c>
      <c r="I12" s="38">
        <f t="shared" si="0"/>
        <v>1</v>
      </c>
      <c r="J12" s="37" t="s">
        <v>32</v>
      </c>
      <c r="K12" s="37">
        <v>5</v>
      </c>
      <c r="L12" s="26">
        <v>0.18</v>
      </c>
      <c r="M12" s="26">
        <v>3.68</v>
      </c>
      <c r="N12" s="29">
        <f t="shared" si="2"/>
        <v>3.5</v>
      </c>
      <c r="O12" s="58" t="str">
        <f t="shared" si="1"/>
        <v>OK</v>
      </c>
    </row>
    <row r="13" spans="1:15" ht="15" x14ac:dyDescent="0.25">
      <c r="A13" s="54"/>
      <c r="B13" s="32">
        <v>2</v>
      </c>
      <c r="C13" s="32">
        <v>1129980</v>
      </c>
      <c r="D13" s="39">
        <v>45738</v>
      </c>
      <c r="E13" s="32" t="s">
        <v>15</v>
      </c>
      <c r="F13" s="32" t="str">
        <f t="shared" si="0"/>
        <v>M20</v>
      </c>
      <c r="G13" s="62" t="str">
        <f t="shared" si="0"/>
        <v>005</v>
      </c>
      <c r="H13" s="38" t="str">
        <f t="shared" si="0"/>
        <v>C2</v>
      </c>
      <c r="I13" s="38">
        <f t="shared" si="0"/>
        <v>1</v>
      </c>
      <c r="J13" s="37" t="s">
        <v>33</v>
      </c>
      <c r="K13" s="37">
        <v>6</v>
      </c>
      <c r="L13" s="26">
        <v>0.06</v>
      </c>
      <c r="M13" s="26">
        <v>3.12</v>
      </c>
      <c r="N13" s="29">
        <f t="shared" si="2"/>
        <v>3.06</v>
      </c>
      <c r="O13" s="58" t="str">
        <f t="shared" si="1"/>
        <v>OK</v>
      </c>
    </row>
    <row r="14" spans="1:15" ht="15" x14ac:dyDescent="0.25">
      <c r="A14" s="54"/>
      <c r="B14" s="32">
        <v>2</v>
      </c>
      <c r="C14" s="32">
        <v>1129980</v>
      </c>
      <c r="D14" s="39">
        <v>45738</v>
      </c>
      <c r="E14" s="32" t="s">
        <v>15</v>
      </c>
      <c r="F14" s="32" t="str">
        <f t="shared" si="0"/>
        <v>M20</v>
      </c>
      <c r="G14" s="62" t="str">
        <f t="shared" si="0"/>
        <v>005</v>
      </c>
      <c r="H14" s="38" t="str">
        <f t="shared" si="0"/>
        <v>C2</v>
      </c>
      <c r="I14" s="38">
        <f t="shared" si="0"/>
        <v>1</v>
      </c>
      <c r="J14" s="37" t="s">
        <v>34</v>
      </c>
      <c r="K14" s="37">
        <v>6</v>
      </c>
      <c r="L14" s="26">
        <v>0.13</v>
      </c>
      <c r="M14" s="26">
        <v>4.8899999999999997</v>
      </c>
      <c r="N14" s="29">
        <f t="shared" si="2"/>
        <v>4.76</v>
      </c>
      <c r="O14" s="58" t="str">
        <f t="shared" si="1"/>
        <v>OK</v>
      </c>
    </row>
    <row r="15" spans="1:15" ht="15" x14ac:dyDescent="0.25">
      <c r="A15" s="54"/>
      <c r="B15" s="32">
        <v>2</v>
      </c>
      <c r="C15" s="32">
        <v>1129980</v>
      </c>
      <c r="D15" s="39">
        <v>45738</v>
      </c>
      <c r="E15" s="32" t="s">
        <v>15</v>
      </c>
      <c r="F15" s="32" t="str">
        <f t="shared" si="0"/>
        <v>M20</v>
      </c>
      <c r="G15" s="62" t="str">
        <f t="shared" si="0"/>
        <v>005</v>
      </c>
      <c r="H15" s="38" t="str">
        <f t="shared" si="0"/>
        <v>C2</v>
      </c>
      <c r="I15" s="38">
        <v>2</v>
      </c>
      <c r="J15" s="37" t="s">
        <v>35</v>
      </c>
      <c r="K15" s="37">
        <v>7</v>
      </c>
      <c r="L15" s="26">
        <v>1.17</v>
      </c>
      <c r="M15" s="26">
        <v>3.01</v>
      </c>
      <c r="N15" s="29">
        <f t="shared" si="2"/>
        <v>1.8399999999999999</v>
      </c>
      <c r="O15" s="58" t="str">
        <f t="shared" si="1"/>
        <v>OK</v>
      </c>
    </row>
    <row r="16" spans="1:15" ht="15" x14ac:dyDescent="0.25">
      <c r="A16" s="54"/>
      <c r="B16" s="32">
        <v>2</v>
      </c>
      <c r="C16" s="32">
        <v>1129980</v>
      </c>
      <c r="D16" s="39">
        <v>45738</v>
      </c>
      <c r="E16" s="32" t="s">
        <v>15</v>
      </c>
      <c r="F16" s="32" t="str">
        <f t="shared" si="0"/>
        <v>M20</v>
      </c>
      <c r="G16" s="62" t="str">
        <f t="shared" si="0"/>
        <v>005</v>
      </c>
      <c r="H16" s="38" t="str">
        <f t="shared" si="0"/>
        <v>C2</v>
      </c>
      <c r="I16" s="38">
        <f t="shared" si="0"/>
        <v>2</v>
      </c>
      <c r="J16" s="37" t="s">
        <v>36</v>
      </c>
      <c r="K16" s="37">
        <v>7</v>
      </c>
      <c r="L16" s="26">
        <v>0.71</v>
      </c>
      <c r="M16" s="26">
        <v>2.7</v>
      </c>
      <c r="N16" s="29">
        <f t="shared" si="2"/>
        <v>1.9900000000000002</v>
      </c>
      <c r="O16" s="58" t="str">
        <f t="shared" si="1"/>
        <v>OK</v>
      </c>
    </row>
    <row r="17" spans="1:15" ht="15" x14ac:dyDescent="0.25">
      <c r="A17" s="54"/>
      <c r="B17" s="32">
        <v>2</v>
      </c>
      <c r="C17" s="32">
        <v>1129980</v>
      </c>
      <c r="D17" s="39">
        <v>45738</v>
      </c>
      <c r="E17" s="32" t="s">
        <v>15</v>
      </c>
      <c r="F17" s="32" t="str">
        <f t="shared" si="0"/>
        <v>M20</v>
      </c>
      <c r="G17" s="62" t="str">
        <f t="shared" si="0"/>
        <v>005</v>
      </c>
      <c r="H17" s="38" t="str">
        <f t="shared" si="0"/>
        <v>C2</v>
      </c>
      <c r="I17" s="38">
        <f t="shared" si="0"/>
        <v>2</v>
      </c>
      <c r="J17" s="37" t="s">
        <v>37</v>
      </c>
      <c r="K17" s="37">
        <v>8</v>
      </c>
      <c r="L17" s="26">
        <v>0.05</v>
      </c>
      <c r="M17" s="26">
        <v>5.1100000000000003</v>
      </c>
      <c r="N17" s="29">
        <f t="shared" si="2"/>
        <v>5.0600000000000005</v>
      </c>
      <c r="O17" s="58" t="str">
        <f t="shared" si="1"/>
        <v>OK</v>
      </c>
    </row>
    <row r="18" spans="1:15" ht="15" x14ac:dyDescent="0.25">
      <c r="A18" s="54"/>
      <c r="B18" s="32">
        <v>2</v>
      </c>
      <c r="C18" s="32">
        <v>1129980</v>
      </c>
      <c r="D18" s="39">
        <v>45738</v>
      </c>
      <c r="E18" s="32" t="s">
        <v>15</v>
      </c>
      <c r="F18" s="32" t="str">
        <f t="shared" si="0"/>
        <v>M20</v>
      </c>
      <c r="G18" s="62" t="str">
        <f t="shared" si="0"/>
        <v>005</v>
      </c>
      <c r="H18" s="38" t="str">
        <f t="shared" si="0"/>
        <v>C2</v>
      </c>
      <c r="I18" s="38">
        <f t="shared" si="0"/>
        <v>2</v>
      </c>
      <c r="J18" s="37" t="s">
        <v>38</v>
      </c>
      <c r="K18" s="37">
        <v>8</v>
      </c>
      <c r="L18" s="26">
        <v>0.41</v>
      </c>
      <c r="M18" s="26">
        <v>4.5199999999999996</v>
      </c>
      <c r="N18" s="29">
        <f t="shared" si="2"/>
        <v>4.1099999999999994</v>
      </c>
      <c r="O18" s="58" t="str">
        <f t="shared" si="1"/>
        <v>OK</v>
      </c>
    </row>
    <row r="19" spans="1:15" ht="15" x14ac:dyDescent="0.25">
      <c r="A19" s="54"/>
      <c r="B19" s="32">
        <v>2</v>
      </c>
      <c r="C19" s="32">
        <v>1129980</v>
      </c>
      <c r="D19" s="39">
        <v>45738</v>
      </c>
      <c r="E19" s="32" t="s">
        <v>15</v>
      </c>
      <c r="F19" s="32" t="s">
        <v>40</v>
      </c>
      <c r="G19" s="62" t="s">
        <v>52</v>
      </c>
      <c r="H19" s="38" t="s">
        <v>42</v>
      </c>
      <c r="I19" s="38">
        <v>1</v>
      </c>
      <c r="J19" s="37" t="s">
        <v>31</v>
      </c>
      <c r="K19" s="37">
        <v>9</v>
      </c>
      <c r="L19" s="26">
        <v>1.1200000000000001</v>
      </c>
      <c r="M19" s="26">
        <v>3.96</v>
      </c>
      <c r="N19" s="29">
        <f t="shared" si="2"/>
        <v>2.84</v>
      </c>
      <c r="O19" s="58" t="str">
        <f t="shared" si="1"/>
        <v>OK</v>
      </c>
    </row>
    <row r="20" spans="1:15" ht="15" x14ac:dyDescent="0.25">
      <c r="A20" s="54"/>
      <c r="B20" s="32">
        <v>2</v>
      </c>
      <c r="C20" s="32">
        <v>1129980</v>
      </c>
      <c r="D20" s="39">
        <v>45738</v>
      </c>
      <c r="E20" s="32" t="s">
        <v>15</v>
      </c>
      <c r="F20" s="32" t="str">
        <f t="shared" ref="F20:I34" si="3">F19</f>
        <v>M21</v>
      </c>
      <c r="G20" s="62" t="str">
        <f t="shared" si="3"/>
        <v>006</v>
      </c>
      <c r="H20" s="38" t="str">
        <f t="shared" si="3"/>
        <v>C3</v>
      </c>
      <c r="I20" s="38">
        <f t="shared" si="3"/>
        <v>1</v>
      </c>
      <c r="J20" s="37" t="s">
        <v>32</v>
      </c>
      <c r="K20" s="37">
        <v>9</v>
      </c>
      <c r="L20" s="26">
        <v>1.02</v>
      </c>
      <c r="M20" s="26">
        <v>3.63</v>
      </c>
      <c r="N20" s="29">
        <f t="shared" si="2"/>
        <v>2.61</v>
      </c>
      <c r="O20" s="58" t="str">
        <f t="shared" si="1"/>
        <v>OK</v>
      </c>
    </row>
    <row r="21" spans="1:15" ht="15" x14ac:dyDescent="0.25">
      <c r="A21" s="54"/>
      <c r="B21" s="32">
        <v>2</v>
      </c>
      <c r="C21" s="32">
        <v>1129980</v>
      </c>
      <c r="D21" s="39">
        <v>45738</v>
      </c>
      <c r="E21" s="32" t="s">
        <v>15</v>
      </c>
      <c r="F21" s="32" t="str">
        <f t="shared" si="3"/>
        <v>M21</v>
      </c>
      <c r="G21" s="62" t="str">
        <f t="shared" si="3"/>
        <v>006</v>
      </c>
      <c r="H21" s="38" t="str">
        <f t="shared" si="3"/>
        <v>C3</v>
      </c>
      <c r="I21" s="38">
        <f t="shared" si="3"/>
        <v>1</v>
      </c>
      <c r="J21" s="37" t="s">
        <v>33</v>
      </c>
      <c r="K21" s="37">
        <v>10</v>
      </c>
      <c r="L21" s="26">
        <v>0.7</v>
      </c>
      <c r="M21" s="26">
        <v>3.88</v>
      </c>
      <c r="N21" s="29">
        <f t="shared" si="2"/>
        <v>3.1799999999999997</v>
      </c>
      <c r="O21" s="58" t="str">
        <f t="shared" si="1"/>
        <v>OK</v>
      </c>
    </row>
    <row r="22" spans="1:15" ht="15" x14ac:dyDescent="0.25">
      <c r="A22" s="54"/>
      <c r="B22" s="32">
        <v>2</v>
      </c>
      <c r="C22" s="32">
        <v>1129980</v>
      </c>
      <c r="D22" s="39">
        <v>45738</v>
      </c>
      <c r="E22" s="32" t="s">
        <v>15</v>
      </c>
      <c r="F22" s="32" t="str">
        <f t="shared" si="3"/>
        <v>M21</v>
      </c>
      <c r="G22" s="62" t="str">
        <f t="shared" si="3"/>
        <v>006</v>
      </c>
      <c r="H22" s="38" t="str">
        <f t="shared" si="3"/>
        <v>C3</v>
      </c>
      <c r="I22" s="38">
        <f t="shared" si="3"/>
        <v>1</v>
      </c>
      <c r="J22" s="37" t="s">
        <v>34</v>
      </c>
      <c r="K22" s="37">
        <v>10</v>
      </c>
      <c r="L22" s="26">
        <v>0.57999999999999996</v>
      </c>
      <c r="M22" s="26">
        <v>1.79</v>
      </c>
      <c r="N22" s="29">
        <f t="shared" si="2"/>
        <v>1.21</v>
      </c>
      <c r="O22" s="58" t="str">
        <f t="shared" si="1"/>
        <v>OK</v>
      </c>
    </row>
    <row r="23" spans="1:15" ht="15" x14ac:dyDescent="0.25">
      <c r="A23" s="54"/>
      <c r="B23" s="32">
        <v>2</v>
      </c>
      <c r="C23" s="32">
        <v>1129980</v>
      </c>
      <c r="D23" s="39">
        <v>45738</v>
      </c>
      <c r="E23" s="32" t="s">
        <v>15</v>
      </c>
      <c r="F23" s="32" t="str">
        <f t="shared" si="3"/>
        <v>M21</v>
      </c>
      <c r="G23" s="62" t="str">
        <f t="shared" si="3"/>
        <v>006</v>
      </c>
      <c r="H23" s="38" t="str">
        <f t="shared" si="3"/>
        <v>C3</v>
      </c>
      <c r="I23" s="38">
        <v>2</v>
      </c>
      <c r="J23" s="37" t="s">
        <v>35</v>
      </c>
      <c r="K23" s="37">
        <v>11</v>
      </c>
      <c r="L23" s="26">
        <v>0.18</v>
      </c>
      <c r="M23" s="26">
        <v>3.27</v>
      </c>
      <c r="N23" s="29">
        <f t="shared" si="2"/>
        <v>3.09</v>
      </c>
      <c r="O23" s="58" t="str">
        <f t="shared" si="1"/>
        <v>OK</v>
      </c>
    </row>
    <row r="24" spans="1:15" ht="15" x14ac:dyDescent="0.25">
      <c r="A24" s="54"/>
      <c r="B24" s="32">
        <v>2</v>
      </c>
      <c r="C24" s="32">
        <v>1129980</v>
      </c>
      <c r="D24" s="39">
        <v>45738</v>
      </c>
      <c r="E24" s="32" t="s">
        <v>15</v>
      </c>
      <c r="F24" s="32" t="str">
        <f t="shared" si="3"/>
        <v>M21</v>
      </c>
      <c r="G24" s="62" t="str">
        <f t="shared" si="3"/>
        <v>006</v>
      </c>
      <c r="H24" s="38" t="str">
        <f t="shared" si="3"/>
        <v>C3</v>
      </c>
      <c r="I24" s="38">
        <f t="shared" si="3"/>
        <v>2</v>
      </c>
      <c r="J24" s="37" t="s">
        <v>36</v>
      </c>
      <c r="K24" s="37">
        <v>11</v>
      </c>
      <c r="L24" s="26">
        <v>0.11</v>
      </c>
      <c r="M24" s="26">
        <v>3.43</v>
      </c>
      <c r="N24" s="29">
        <f t="shared" si="2"/>
        <v>3.3200000000000003</v>
      </c>
      <c r="O24" s="58" t="str">
        <f t="shared" si="1"/>
        <v>OK</v>
      </c>
    </row>
    <row r="25" spans="1:15" ht="15" x14ac:dyDescent="0.25">
      <c r="A25" s="54"/>
      <c r="B25" s="32">
        <v>2</v>
      </c>
      <c r="C25" s="32">
        <v>1129980</v>
      </c>
      <c r="D25" s="39">
        <v>45738</v>
      </c>
      <c r="E25" s="32" t="s">
        <v>15</v>
      </c>
      <c r="F25" s="32" t="str">
        <f t="shared" si="3"/>
        <v>M21</v>
      </c>
      <c r="G25" s="62" t="str">
        <f t="shared" si="3"/>
        <v>006</v>
      </c>
      <c r="H25" s="38" t="str">
        <f t="shared" si="3"/>
        <v>C3</v>
      </c>
      <c r="I25" s="38">
        <f t="shared" si="3"/>
        <v>2</v>
      </c>
      <c r="J25" s="37" t="s">
        <v>37</v>
      </c>
      <c r="K25" s="37">
        <v>12</v>
      </c>
      <c r="L25" s="26">
        <v>1.1499999999999999</v>
      </c>
      <c r="M25" s="26">
        <v>4.1100000000000003</v>
      </c>
      <c r="N25" s="29">
        <f t="shared" si="2"/>
        <v>2.9600000000000004</v>
      </c>
      <c r="O25" s="58" t="str">
        <f t="shared" si="1"/>
        <v>OK</v>
      </c>
    </row>
    <row r="26" spans="1:15" ht="15" x14ac:dyDescent="0.25">
      <c r="A26" s="54"/>
      <c r="B26" s="32">
        <v>2</v>
      </c>
      <c r="C26" s="32">
        <v>1129980</v>
      </c>
      <c r="D26" s="39">
        <v>45738</v>
      </c>
      <c r="E26" s="32" t="s">
        <v>15</v>
      </c>
      <c r="F26" s="32" t="str">
        <f t="shared" si="3"/>
        <v>M21</v>
      </c>
      <c r="G26" s="62" t="str">
        <f t="shared" si="3"/>
        <v>006</v>
      </c>
      <c r="H26" s="38" t="str">
        <f t="shared" si="3"/>
        <v>C3</v>
      </c>
      <c r="I26" s="38">
        <f t="shared" si="3"/>
        <v>2</v>
      </c>
      <c r="J26" s="37" t="s">
        <v>38</v>
      </c>
      <c r="K26" s="37">
        <v>12</v>
      </c>
      <c r="L26" s="26">
        <v>1.1200000000000001</v>
      </c>
      <c r="M26" s="26">
        <v>3.92</v>
      </c>
      <c r="N26" s="29">
        <f t="shared" si="2"/>
        <v>2.8</v>
      </c>
      <c r="O26" s="58" t="str">
        <f t="shared" si="1"/>
        <v>OK</v>
      </c>
    </row>
    <row r="27" spans="1:15" ht="15" x14ac:dyDescent="0.25">
      <c r="A27" s="54"/>
      <c r="B27" s="32">
        <v>2</v>
      </c>
      <c r="C27" s="32">
        <v>1129980</v>
      </c>
      <c r="D27" s="39">
        <v>45738</v>
      </c>
      <c r="E27" s="32" t="s">
        <v>15</v>
      </c>
      <c r="F27" s="32" t="str">
        <f t="shared" si="3"/>
        <v>M21</v>
      </c>
      <c r="G27" s="62" t="str">
        <f t="shared" si="3"/>
        <v>006</v>
      </c>
      <c r="H27" s="38" t="s">
        <v>43</v>
      </c>
      <c r="I27" s="38">
        <v>1</v>
      </c>
      <c r="J27" s="37" t="s">
        <v>31</v>
      </c>
      <c r="K27" s="37">
        <v>13</v>
      </c>
      <c r="L27" s="26">
        <v>0.09</v>
      </c>
      <c r="M27" s="26">
        <v>4.9000000000000004</v>
      </c>
      <c r="N27" s="29">
        <f t="shared" si="2"/>
        <v>4.8100000000000005</v>
      </c>
      <c r="O27" s="58" t="str">
        <f t="shared" si="1"/>
        <v>OK</v>
      </c>
    </row>
    <row r="28" spans="1:15" ht="15" x14ac:dyDescent="0.25">
      <c r="A28" s="54"/>
      <c r="B28" s="32">
        <v>2</v>
      </c>
      <c r="C28" s="32">
        <v>1129980</v>
      </c>
      <c r="D28" s="39">
        <v>45738</v>
      </c>
      <c r="E28" s="32" t="s">
        <v>15</v>
      </c>
      <c r="F28" s="32" t="str">
        <f t="shared" si="3"/>
        <v>M21</v>
      </c>
      <c r="G28" s="62" t="str">
        <f t="shared" si="3"/>
        <v>006</v>
      </c>
      <c r="H28" s="38" t="str">
        <f t="shared" si="3"/>
        <v>C4</v>
      </c>
      <c r="I28" s="38">
        <f t="shared" si="3"/>
        <v>1</v>
      </c>
      <c r="J28" s="37" t="s">
        <v>32</v>
      </c>
      <c r="K28" s="37">
        <v>13</v>
      </c>
      <c r="L28" s="26">
        <v>0.76</v>
      </c>
      <c r="M28" s="26">
        <v>3.14</v>
      </c>
      <c r="N28" s="29">
        <f t="shared" si="2"/>
        <v>2.38</v>
      </c>
      <c r="O28" s="58" t="str">
        <f t="shared" si="1"/>
        <v>OK</v>
      </c>
    </row>
    <row r="29" spans="1:15" ht="15" x14ac:dyDescent="0.25">
      <c r="A29" s="54"/>
      <c r="B29" s="32">
        <v>2</v>
      </c>
      <c r="C29" s="32">
        <v>1129980</v>
      </c>
      <c r="D29" s="39">
        <v>45738</v>
      </c>
      <c r="E29" s="32" t="s">
        <v>15</v>
      </c>
      <c r="F29" s="32" t="str">
        <f t="shared" si="3"/>
        <v>M21</v>
      </c>
      <c r="G29" s="62" t="str">
        <f t="shared" si="3"/>
        <v>006</v>
      </c>
      <c r="H29" s="38" t="str">
        <f t="shared" si="3"/>
        <v>C4</v>
      </c>
      <c r="I29" s="38">
        <f t="shared" si="3"/>
        <v>1</v>
      </c>
      <c r="J29" s="37" t="s">
        <v>33</v>
      </c>
      <c r="K29" s="37">
        <v>14</v>
      </c>
      <c r="L29" s="26">
        <v>1.1499999999999999</v>
      </c>
      <c r="M29" s="26">
        <v>4.34</v>
      </c>
      <c r="N29" s="29">
        <f t="shared" si="2"/>
        <v>3.19</v>
      </c>
      <c r="O29" s="58" t="str">
        <f t="shared" si="1"/>
        <v>OK</v>
      </c>
    </row>
    <row r="30" spans="1:15" ht="15" x14ac:dyDescent="0.25">
      <c r="A30" s="54"/>
      <c r="B30" s="32">
        <v>2</v>
      </c>
      <c r="C30" s="32">
        <v>1129980</v>
      </c>
      <c r="D30" s="39">
        <v>45738</v>
      </c>
      <c r="E30" s="32" t="s">
        <v>15</v>
      </c>
      <c r="F30" s="32" t="str">
        <f t="shared" si="3"/>
        <v>M21</v>
      </c>
      <c r="G30" s="62" t="str">
        <f t="shared" si="3"/>
        <v>006</v>
      </c>
      <c r="H30" s="38" t="str">
        <f t="shared" si="3"/>
        <v>C4</v>
      </c>
      <c r="I30" s="38">
        <f t="shared" si="3"/>
        <v>1</v>
      </c>
      <c r="J30" s="37" t="s">
        <v>34</v>
      </c>
      <c r="K30" s="37">
        <v>14</v>
      </c>
      <c r="L30" s="26">
        <v>0.1</v>
      </c>
      <c r="M30" s="26">
        <v>4.6100000000000003</v>
      </c>
      <c r="N30" s="29">
        <f t="shared" si="2"/>
        <v>4.5100000000000007</v>
      </c>
      <c r="O30" s="58" t="str">
        <f t="shared" si="1"/>
        <v>OK</v>
      </c>
    </row>
    <row r="31" spans="1:15" ht="15" x14ac:dyDescent="0.25">
      <c r="A31" s="54"/>
      <c r="B31" s="32">
        <v>2</v>
      </c>
      <c r="C31" s="32">
        <v>1129980</v>
      </c>
      <c r="D31" s="39">
        <v>45738</v>
      </c>
      <c r="E31" s="32" t="s">
        <v>15</v>
      </c>
      <c r="F31" s="32" t="str">
        <f t="shared" si="3"/>
        <v>M21</v>
      </c>
      <c r="G31" s="62" t="str">
        <f t="shared" si="3"/>
        <v>006</v>
      </c>
      <c r="H31" s="38" t="str">
        <f t="shared" si="3"/>
        <v>C4</v>
      </c>
      <c r="I31" s="38">
        <v>2</v>
      </c>
      <c r="J31" s="37" t="s">
        <v>35</v>
      </c>
      <c r="K31" s="37">
        <v>15</v>
      </c>
      <c r="L31" s="26">
        <v>0.05</v>
      </c>
      <c r="M31" s="26">
        <v>4.95</v>
      </c>
      <c r="N31" s="29">
        <f t="shared" si="2"/>
        <v>4.9000000000000004</v>
      </c>
      <c r="O31" s="58" t="str">
        <f t="shared" si="1"/>
        <v>OK</v>
      </c>
    </row>
    <row r="32" spans="1:15" ht="15" x14ac:dyDescent="0.25">
      <c r="A32" s="54"/>
      <c r="B32" s="32">
        <v>2</v>
      </c>
      <c r="C32" s="32">
        <v>1129980</v>
      </c>
      <c r="D32" s="39">
        <v>45738</v>
      </c>
      <c r="E32" s="32" t="s">
        <v>15</v>
      </c>
      <c r="F32" s="32" t="str">
        <f t="shared" si="3"/>
        <v>M21</v>
      </c>
      <c r="G32" s="62" t="str">
        <f t="shared" si="3"/>
        <v>006</v>
      </c>
      <c r="H32" s="38" t="str">
        <f t="shared" si="3"/>
        <v>C4</v>
      </c>
      <c r="I32" s="38">
        <f t="shared" si="3"/>
        <v>2</v>
      </c>
      <c r="J32" s="37" t="s">
        <v>36</v>
      </c>
      <c r="K32" s="37">
        <v>15</v>
      </c>
      <c r="L32" s="26">
        <v>1.37</v>
      </c>
      <c r="M32" s="26">
        <v>4.41</v>
      </c>
      <c r="N32" s="29">
        <f t="shared" si="2"/>
        <v>3.04</v>
      </c>
      <c r="O32" s="58" t="str">
        <f t="shared" si="1"/>
        <v>OK</v>
      </c>
    </row>
    <row r="33" spans="1:15" ht="15" x14ac:dyDescent="0.25">
      <c r="A33" s="54"/>
      <c r="B33" s="32">
        <v>2</v>
      </c>
      <c r="C33" s="32">
        <v>1129980</v>
      </c>
      <c r="D33" s="39">
        <v>45738</v>
      </c>
      <c r="E33" s="32" t="s">
        <v>15</v>
      </c>
      <c r="F33" s="32" t="str">
        <f t="shared" si="3"/>
        <v>M21</v>
      </c>
      <c r="G33" s="62" t="str">
        <f t="shared" si="3"/>
        <v>006</v>
      </c>
      <c r="H33" s="38" t="str">
        <f t="shared" si="3"/>
        <v>C4</v>
      </c>
      <c r="I33" s="38">
        <f t="shared" si="3"/>
        <v>2</v>
      </c>
      <c r="J33" s="37" t="s">
        <v>37</v>
      </c>
      <c r="K33" s="37">
        <v>16</v>
      </c>
      <c r="L33" s="26">
        <v>0.81</v>
      </c>
      <c r="M33" s="26">
        <v>3.57</v>
      </c>
      <c r="N33" s="29">
        <f t="shared" si="2"/>
        <v>2.76</v>
      </c>
      <c r="O33" s="58" t="str">
        <f t="shared" si="1"/>
        <v>OK</v>
      </c>
    </row>
    <row r="34" spans="1:15" ht="15" x14ac:dyDescent="0.25">
      <c r="A34" s="54"/>
      <c r="B34" s="32">
        <v>2</v>
      </c>
      <c r="C34" s="32">
        <v>1129980</v>
      </c>
      <c r="D34" s="39">
        <v>45738</v>
      </c>
      <c r="E34" s="32" t="s">
        <v>15</v>
      </c>
      <c r="F34" s="32" t="str">
        <f t="shared" si="3"/>
        <v>M21</v>
      </c>
      <c r="G34" s="62" t="str">
        <f t="shared" si="3"/>
        <v>006</v>
      </c>
      <c r="H34" s="38" t="str">
        <f t="shared" si="3"/>
        <v>C4</v>
      </c>
      <c r="I34" s="38">
        <f t="shared" si="3"/>
        <v>2</v>
      </c>
      <c r="J34" s="37" t="s">
        <v>38</v>
      </c>
      <c r="K34" s="37">
        <v>16</v>
      </c>
      <c r="L34" s="26">
        <v>0.4</v>
      </c>
      <c r="M34" s="26">
        <v>2.21</v>
      </c>
      <c r="N34" s="29">
        <f t="shared" si="2"/>
        <v>1.81</v>
      </c>
      <c r="O34" s="58" t="str">
        <f t="shared" si="1"/>
        <v>OK</v>
      </c>
    </row>
    <row r="35" spans="1:15" ht="15" x14ac:dyDescent="0.25">
      <c r="A35" s="54"/>
      <c r="B35" s="32">
        <v>2</v>
      </c>
      <c r="C35" s="32">
        <v>1129980</v>
      </c>
      <c r="D35" s="39">
        <v>45738</v>
      </c>
      <c r="E35" s="32" t="s">
        <v>15</v>
      </c>
      <c r="F35" s="32" t="s">
        <v>44</v>
      </c>
      <c r="G35" s="62" t="s">
        <v>53</v>
      </c>
      <c r="H35" s="38" t="s">
        <v>46</v>
      </c>
      <c r="I35" s="38">
        <v>1</v>
      </c>
      <c r="J35" s="37" t="s">
        <v>31</v>
      </c>
      <c r="K35" s="37">
        <v>17</v>
      </c>
      <c r="L35" s="26">
        <v>0.3</v>
      </c>
      <c r="M35" s="26">
        <v>1.18</v>
      </c>
      <c r="N35" s="29">
        <f t="shared" si="2"/>
        <v>0.87999999999999989</v>
      </c>
      <c r="O35" s="58" t="str">
        <f t="shared" si="1"/>
        <v>Seguimiento</v>
      </c>
    </row>
    <row r="36" spans="1:15" ht="15" x14ac:dyDescent="0.25">
      <c r="A36" s="54"/>
      <c r="B36" s="32">
        <v>2</v>
      </c>
      <c r="C36" s="32">
        <v>1129980</v>
      </c>
      <c r="D36" s="39">
        <v>45738</v>
      </c>
      <c r="E36" s="32" t="s">
        <v>15</v>
      </c>
      <c r="F36" s="32" t="str">
        <f t="shared" ref="F36:I50" si="4">F35</f>
        <v>M22</v>
      </c>
      <c r="G36" s="62" t="str">
        <f t="shared" si="4"/>
        <v>303</v>
      </c>
      <c r="H36" s="38" t="str">
        <f t="shared" si="4"/>
        <v>C5</v>
      </c>
      <c r="I36" s="38">
        <f t="shared" si="4"/>
        <v>1</v>
      </c>
      <c r="J36" s="37" t="s">
        <v>32</v>
      </c>
      <c r="K36" s="37">
        <v>17</v>
      </c>
      <c r="L36" s="26">
        <v>0.72</v>
      </c>
      <c r="M36" s="26">
        <v>1.5</v>
      </c>
      <c r="N36" s="29">
        <f t="shared" si="2"/>
        <v>0.78</v>
      </c>
      <c r="O36" s="58" t="str">
        <f t="shared" si="1"/>
        <v>Seguimiento</v>
      </c>
    </row>
    <row r="37" spans="1:15" ht="15" x14ac:dyDescent="0.25">
      <c r="A37" s="54"/>
      <c r="B37" s="32">
        <v>2</v>
      </c>
      <c r="C37" s="32">
        <v>1129980</v>
      </c>
      <c r="D37" s="39">
        <v>45738</v>
      </c>
      <c r="E37" s="32" t="s">
        <v>15</v>
      </c>
      <c r="F37" s="32" t="str">
        <f t="shared" si="4"/>
        <v>M22</v>
      </c>
      <c r="G37" s="62" t="str">
        <f t="shared" si="4"/>
        <v>303</v>
      </c>
      <c r="H37" s="38" t="str">
        <f t="shared" si="4"/>
        <v>C5</v>
      </c>
      <c r="I37" s="38">
        <f t="shared" si="4"/>
        <v>1</v>
      </c>
      <c r="J37" s="37" t="s">
        <v>33</v>
      </c>
      <c r="K37" s="37">
        <v>18</v>
      </c>
      <c r="L37" s="26">
        <v>1.37</v>
      </c>
      <c r="M37" s="26">
        <v>4.47</v>
      </c>
      <c r="N37" s="29">
        <f t="shared" si="2"/>
        <v>3.0999999999999996</v>
      </c>
      <c r="O37" s="58" t="str">
        <f t="shared" si="1"/>
        <v>OK</v>
      </c>
    </row>
    <row r="38" spans="1:15" ht="15" x14ac:dyDescent="0.25">
      <c r="A38" s="54"/>
      <c r="B38" s="32">
        <v>2</v>
      </c>
      <c r="C38" s="32">
        <v>1129980</v>
      </c>
      <c r="D38" s="39">
        <v>45738</v>
      </c>
      <c r="E38" s="32" t="s">
        <v>15</v>
      </c>
      <c r="F38" s="32" t="str">
        <f t="shared" si="4"/>
        <v>M22</v>
      </c>
      <c r="G38" s="62" t="str">
        <f t="shared" si="4"/>
        <v>303</v>
      </c>
      <c r="H38" s="38" t="str">
        <f t="shared" si="4"/>
        <v>C5</v>
      </c>
      <c r="I38" s="38">
        <f t="shared" si="4"/>
        <v>1</v>
      </c>
      <c r="J38" s="37" t="s">
        <v>34</v>
      </c>
      <c r="K38" s="37">
        <v>18</v>
      </c>
      <c r="L38" s="26">
        <v>0.56999999999999995</v>
      </c>
      <c r="M38" s="26">
        <v>4.25</v>
      </c>
      <c r="N38" s="29">
        <f t="shared" si="2"/>
        <v>3.68</v>
      </c>
      <c r="O38" s="58" t="str">
        <f t="shared" si="1"/>
        <v>OK</v>
      </c>
    </row>
    <row r="39" spans="1:15" ht="15" x14ac:dyDescent="0.25">
      <c r="A39" s="54"/>
      <c r="B39" s="32">
        <v>2</v>
      </c>
      <c r="C39" s="32">
        <v>1129980</v>
      </c>
      <c r="D39" s="39">
        <v>45738</v>
      </c>
      <c r="E39" s="32" t="s">
        <v>15</v>
      </c>
      <c r="F39" s="32" t="str">
        <f t="shared" si="4"/>
        <v>M22</v>
      </c>
      <c r="G39" s="62" t="str">
        <f t="shared" si="4"/>
        <v>303</v>
      </c>
      <c r="H39" s="38" t="str">
        <f t="shared" si="4"/>
        <v>C5</v>
      </c>
      <c r="I39" s="38">
        <v>2</v>
      </c>
      <c r="J39" s="37" t="s">
        <v>35</v>
      </c>
      <c r="K39" s="37">
        <v>19</v>
      </c>
      <c r="L39" s="26">
        <v>0.64</v>
      </c>
      <c r="M39" s="26">
        <v>4.45</v>
      </c>
      <c r="N39" s="29">
        <f t="shared" si="2"/>
        <v>3.81</v>
      </c>
      <c r="O39" s="58" t="str">
        <f t="shared" si="1"/>
        <v>OK</v>
      </c>
    </row>
    <row r="40" spans="1:15" ht="15" x14ac:dyDescent="0.25">
      <c r="A40" s="54"/>
      <c r="B40" s="32">
        <v>2</v>
      </c>
      <c r="C40" s="32">
        <v>1129980</v>
      </c>
      <c r="D40" s="39">
        <v>45738</v>
      </c>
      <c r="E40" s="32" t="s">
        <v>15</v>
      </c>
      <c r="F40" s="32" t="str">
        <f t="shared" si="4"/>
        <v>M22</v>
      </c>
      <c r="G40" s="62" t="str">
        <f t="shared" si="4"/>
        <v>303</v>
      </c>
      <c r="H40" s="38" t="str">
        <f t="shared" si="4"/>
        <v>C5</v>
      </c>
      <c r="I40" s="38">
        <f t="shared" si="4"/>
        <v>2</v>
      </c>
      <c r="J40" s="37" t="s">
        <v>36</v>
      </c>
      <c r="K40" s="37">
        <v>19</v>
      </c>
      <c r="L40" s="26">
        <v>0.98</v>
      </c>
      <c r="M40" s="26">
        <v>4.54</v>
      </c>
      <c r="N40" s="29">
        <f t="shared" si="2"/>
        <v>3.56</v>
      </c>
      <c r="O40" s="58" t="str">
        <f t="shared" si="1"/>
        <v>OK</v>
      </c>
    </row>
    <row r="41" spans="1:15" ht="15" x14ac:dyDescent="0.25">
      <c r="A41" s="54"/>
      <c r="B41" s="32">
        <v>2</v>
      </c>
      <c r="C41" s="32">
        <v>1129980</v>
      </c>
      <c r="D41" s="39">
        <v>45738</v>
      </c>
      <c r="E41" s="32" t="s">
        <v>15</v>
      </c>
      <c r="F41" s="32" t="str">
        <f t="shared" si="4"/>
        <v>M22</v>
      </c>
      <c r="G41" s="62" t="str">
        <f t="shared" si="4"/>
        <v>303</v>
      </c>
      <c r="H41" s="38" t="str">
        <f t="shared" si="4"/>
        <v>C5</v>
      </c>
      <c r="I41" s="38">
        <f t="shared" si="4"/>
        <v>2</v>
      </c>
      <c r="J41" s="37" t="s">
        <v>37</v>
      </c>
      <c r="K41" s="37">
        <v>20</v>
      </c>
      <c r="L41" s="26">
        <v>1.6</v>
      </c>
      <c r="M41" s="26">
        <v>4.66</v>
      </c>
      <c r="N41" s="29">
        <f t="shared" si="2"/>
        <v>3.06</v>
      </c>
      <c r="O41" s="58" t="str">
        <f t="shared" si="1"/>
        <v>Reperfilado</v>
      </c>
    </row>
    <row r="42" spans="1:15" ht="15" x14ac:dyDescent="0.25">
      <c r="A42" s="54"/>
      <c r="B42" s="32">
        <v>2</v>
      </c>
      <c r="C42" s="32">
        <v>1129980</v>
      </c>
      <c r="D42" s="39">
        <v>45738</v>
      </c>
      <c r="E42" s="32" t="s">
        <v>15</v>
      </c>
      <c r="F42" s="32" t="str">
        <f t="shared" si="4"/>
        <v>M22</v>
      </c>
      <c r="G42" s="62" t="str">
        <f t="shared" si="4"/>
        <v>303</v>
      </c>
      <c r="H42" s="38" t="str">
        <f t="shared" si="4"/>
        <v>C5</v>
      </c>
      <c r="I42" s="38">
        <f t="shared" si="4"/>
        <v>2</v>
      </c>
      <c r="J42" s="37" t="s">
        <v>38</v>
      </c>
      <c r="K42" s="37">
        <v>20</v>
      </c>
      <c r="L42" s="26">
        <v>0.83</v>
      </c>
      <c r="M42" s="26">
        <v>4.76</v>
      </c>
      <c r="N42" s="29">
        <f t="shared" si="2"/>
        <v>3.9299999999999997</v>
      </c>
      <c r="O42" s="58" t="str">
        <f t="shared" si="1"/>
        <v>OK</v>
      </c>
    </row>
    <row r="43" spans="1:15" ht="15" x14ac:dyDescent="0.25">
      <c r="A43" s="54"/>
      <c r="B43" s="32">
        <v>2</v>
      </c>
      <c r="C43" s="32">
        <v>1129980</v>
      </c>
      <c r="D43" s="39">
        <v>45738</v>
      </c>
      <c r="E43" s="32" t="s">
        <v>15</v>
      </c>
      <c r="F43" s="32" t="str">
        <f t="shared" si="4"/>
        <v>M22</v>
      </c>
      <c r="G43" s="62" t="str">
        <f t="shared" si="4"/>
        <v>303</v>
      </c>
      <c r="H43" s="38" t="s">
        <v>47</v>
      </c>
      <c r="I43" s="38">
        <v>1</v>
      </c>
      <c r="J43" s="37" t="s">
        <v>31</v>
      </c>
      <c r="K43" s="37">
        <v>21</v>
      </c>
      <c r="L43" s="26">
        <v>1.07</v>
      </c>
      <c r="M43" s="26">
        <v>4.6900000000000004</v>
      </c>
      <c r="N43" s="29">
        <f t="shared" si="2"/>
        <v>3.62</v>
      </c>
      <c r="O43" s="58" t="str">
        <f t="shared" si="1"/>
        <v>OK</v>
      </c>
    </row>
    <row r="44" spans="1:15" ht="15" x14ac:dyDescent="0.25">
      <c r="A44" s="54"/>
      <c r="B44" s="32">
        <v>2</v>
      </c>
      <c r="C44" s="32">
        <v>1129980</v>
      </c>
      <c r="D44" s="39">
        <v>45738</v>
      </c>
      <c r="E44" s="32" t="s">
        <v>15</v>
      </c>
      <c r="F44" s="32" t="str">
        <f t="shared" si="4"/>
        <v>M22</v>
      </c>
      <c r="G44" s="62" t="str">
        <f t="shared" si="4"/>
        <v>303</v>
      </c>
      <c r="H44" s="38" t="str">
        <f t="shared" si="4"/>
        <v>C6</v>
      </c>
      <c r="I44" s="38">
        <f t="shared" si="4"/>
        <v>1</v>
      </c>
      <c r="J44" s="37" t="s">
        <v>32</v>
      </c>
      <c r="K44" s="37">
        <v>21</v>
      </c>
      <c r="L44" s="26">
        <v>0.75</v>
      </c>
      <c r="M44" s="26">
        <v>4.7</v>
      </c>
      <c r="N44" s="29">
        <f t="shared" si="2"/>
        <v>3.95</v>
      </c>
      <c r="O44" s="58" t="str">
        <f t="shared" si="1"/>
        <v>OK</v>
      </c>
    </row>
    <row r="45" spans="1:15" ht="15" x14ac:dyDescent="0.25">
      <c r="A45" s="54"/>
      <c r="B45" s="32">
        <v>2</v>
      </c>
      <c r="C45" s="32">
        <v>1129980</v>
      </c>
      <c r="D45" s="39">
        <v>45738</v>
      </c>
      <c r="E45" s="32" t="s">
        <v>15</v>
      </c>
      <c r="F45" s="32" t="str">
        <f t="shared" si="4"/>
        <v>M22</v>
      </c>
      <c r="G45" s="62" t="str">
        <f t="shared" si="4"/>
        <v>303</v>
      </c>
      <c r="H45" s="38" t="str">
        <f t="shared" si="4"/>
        <v>C6</v>
      </c>
      <c r="I45" s="38">
        <f t="shared" si="4"/>
        <v>1</v>
      </c>
      <c r="J45" s="37" t="s">
        <v>33</v>
      </c>
      <c r="K45" s="37">
        <v>22</v>
      </c>
      <c r="L45" s="26">
        <v>1.19</v>
      </c>
      <c r="M45" s="26">
        <v>4.4400000000000004</v>
      </c>
      <c r="N45" s="29">
        <f t="shared" si="2"/>
        <v>3.2500000000000004</v>
      </c>
      <c r="O45" s="58" t="str">
        <f t="shared" si="1"/>
        <v>OK</v>
      </c>
    </row>
    <row r="46" spans="1:15" ht="15" x14ac:dyDescent="0.25">
      <c r="A46" s="54"/>
      <c r="B46" s="32">
        <v>2</v>
      </c>
      <c r="C46" s="32">
        <v>1129980</v>
      </c>
      <c r="D46" s="39">
        <v>45738</v>
      </c>
      <c r="E46" s="32" t="s">
        <v>15</v>
      </c>
      <c r="F46" s="32" t="str">
        <f t="shared" si="4"/>
        <v>M22</v>
      </c>
      <c r="G46" s="62" t="str">
        <f t="shared" si="4"/>
        <v>303</v>
      </c>
      <c r="H46" s="38" t="str">
        <f t="shared" si="4"/>
        <v>C6</v>
      </c>
      <c r="I46" s="38">
        <f t="shared" si="4"/>
        <v>1</v>
      </c>
      <c r="J46" s="37" t="s">
        <v>34</v>
      </c>
      <c r="K46" s="37">
        <v>22</v>
      </c>
      <c r="L46" s="26">
        <v>1</v>
      </c>
      <c r="M46" s="26">
        <v>4.55</v>
      </c>
      <c r="N46" s="29">
        <f t="shared" si="2"/>
        <v>3.55</v>
      </c>
      <c r="O46" s="58" t="str">
        <f t="shared" si="1"/>
        <v>OK</v>
      </c>
    </row>
    <row r="47" spans="1:15" ht="15" x14ac:dyDescent="0.25">
      <c r="A47" s="54"/>
      <c r="B47" s="32">
        <v>2</v>
      </c>
      <c r="C47" s="32">
        <v>1129980</v>
      </c>
      <c r="D47" s="39">
        <v>45738</v>
      </c>
      <c r="E47" s="32" t="s">
        <v>15</v>
      </c>
      <c r="F47" s="32" t="str">
        <f t="shared" si="4"/>
        <v>M22</v>
      </c>
      <c r="G47" s="62" t="str">
        <f t="shared" si="4"/>
        <v>303</v>
      </c>
      <c r="H47" s="38" t="str">
        <f t="shared" si="4"/>
        <v>C6</v>
      </c>
      <c r="I47" s="38">
        <v>2</v>
      </c>
      <c r="J47" s="37" t="s">
        <v>35</v>
      </c>
      <c r="K47" s="37">
        <v>23</v>
      </c>
      <c r="L47" s="26">
        <v>0.28999999999999998</v>
      </c>
      <c r="M47" s="26">
        <v>4.82</v>
      </c>
      <c r="N47" s="29">
        <f t="shared" si="2"/>
        <v>4.53</v>
      </c>
      <c r="O47" s="58" t="str">
        <f t="shared" si="1"/>
        <v>OK</v>
      </c>
    </row>
    <row r="48" spans="1:15" ht="15" x14ac:dyDescent="0.25">
      <c r="A48" s="54"/>
      <c r="B48" s="32">
        <v>2</v>
      </c>
      <c r="C48" s="32">
        <v>1129980</v>
      </c>
      <c r="D48" s="39">
        <v>45738</v>
      </c>
      <c r="E48" s="32" t="s">
        <v>15</v>
      </c>
      <c r="F48" s="32" t="str">
        <f t="shared" si="4"/>
        <v>M22</v>
      </c>
      <c r="G48" s="62" t="str">
        <f t="shared" si="4"/>
        <v>303</v>
      </c>
      <c r="H48" s="38" t="str">
        <f t="shared" si="4"/>
        <v>C6</v>
      </c>
      <c r="I48" s="38">
        <f t="shared" si="4"/>
        <v>2</v>
      </c>
      <c r="J48" s="37" t="s">
        <v>36</v>
      </c>
      <c r="K48" s="37">
        <v>23</v>
      </c>
      <c r="L48" s="26">
        <v>0.84</v>
      </c>
      <c r="M48" s="26">
        <v>4.7699999999999996</v>
      </c>
      <c r="N48" s="29">
        <f t="shared" si="2"/>
        <v>3.9299999999999997</v>
      </c>
      <c r="O48" s="58" t="str">
        <f t="shared" si="1"/>
        <v>OK</v>
      </c>
    </row>
    <row r="49" spans="1:15" ht="15" x14ac:dyDescent="0.25">
      <c r="A49" s="54"/>
      <c r="B49" s="32">
        <v>2</v>
      </c>
      <c r="C49" s="32">
        <v>1129980</v>
      </c>
      <c r="D49" s="39">
        <v>45738</v>
      </c>
      <c r="E49" s="32" t="s">
        <v>15</v>
      </c>
      <c r="F49" s="32" t="str">
        <f t="shared" si="4"/>
        <v>M22</v>
      </c>
      <c r="G49" s="62" t="str">
        <f t="shared" si="4"/>
        <v>303</v>
      </c>
      <c r="H49" s="38" t="str">
        <f t="shared" si="4"/>
        <v>C6</v>
      </c>
      <c r="I49" s="38">
        <f t="shared" si="4"/>
        <v>2</v>
      </c>
      <c r="J49" s="37" t="s">
        <v>37</v>
      </c>
      <c r="K49" s="37">
        <v>24</v>
      </c>
      <c r="L49" s="26">
        <v>1.57</v>
      </c>
      <c r="M49" s="26">
        <v>4.57</v>
      </c>
      <c r="N49" s="29">
        <f t="shared" si="2"/>
        <v>3</v>
      </c>
      <c r="O49" s="58" t="str">
        <f t="shared" si="1"/>
        <v>OK</v>
      </c>
    </row>
    <row r="50" spans="1:15" ht="15" x14ac:dyDescent="0.25">
      <c r="A50" s="54"/>
      <c r="B50" s="32">
        <v>2</v>
      </c>
      <c r="C50" s="32">
        <v>1129980</v>
      </c>
      <c r="D50" s="39">
        <v>45738</v>
      </c>
      <c r="E50" s="32" t="s">
        <v>15</v>
      </c>
      <c r="F50" s="32" t="str">
        <f t="shared" si="4"/>
        <v>M22</v>
      </c>
      <c r="G50" s="62" t="str">
        <f t="shared" si="4"/>
        <v>303</v>
      </c>
      <c r="H50" s="38" t="str">
        <f t="shared" si="4"/>
        <v>C6</v>
      </c>
      <c r="I50" s="38">
        <f t="shared" si="4"/>
        <v>2</v>
      </c>
      <c r="J50" s="37" t="s">
        <v>38</v>
      </c>
      <c r="K50" s="37">
        <v>24</v>
      </c>
      <c r="L50" s="26">
        <v>1.26</v>
      </c>
      <c r="M50" s="26">
        <v>3.79</v>
      </c>
      <c r="N50" s="29">
        <f t="shared" si="2"/>
        <v>2.5300000000000002</v>
      </c>
      <c r="O50" s="58" t="str">
        <f t="shared" si="1"/>
        <v>OK</v>
      </c>
    </row>
    <row r="51" spans="1:15" ht="15" x14ac:dyDescent="0.25">
      <c r="A51" s="54"/>
      <c r="B51" s="32">
        <v>2</v>
      </c>
      <c r="C51" s="32">
        <v>1129980</v>
      </c>
      <c r="D51" s="39">
        <v>45738</v>
      </c>
      <c r="E51" s="32" t="s">
        <v>15</v>
      </c>
      <c r="F51" s="32" t="s">
        <v>44</v>
      </c>
      <c r="G51" s="62" t="s">
        <v>54</v>
      </c>
      <c r="H51" s="38" t="s">
        <v>47</v>
      </c>
      <c r="I51" s="38">
        <v>2</v>
      </c>
      <c r="J51" s="37" t="s">
        <v>31</v>
      </c>
      <c r="K51" s="37">
        <v>25</v>
      </c>
      <c r="L51" s="26">
        <v>1.17</v>
      </c>
      <c r="M51" s="26">
        <v>4.42</v>
      </c>
      <c r="N51" s="29">
        <f t="shared" si="2"/>
        <v>3.25</v>
      </c>
      <c r="O51" s="58" t="str">
        <f t="shared" si="1"/>
        <v>OK</v>
      </c>
    </row>
    <row r="52" spans="1:15" ht="15" x14ac:dyDescent="0.25">
      <c r="A52" s="54"/>
      <c r="B52" s="32">
        <v>2</v>
      </c>
      <c r="C52" s="32">
        <v>1129980</v>
      </c>
      <c r="D52" s="39">
        <v>45738</v>
      </c>
      <c r="E52" s="32" t="s">
        <v>15</v>
      </c>
      <c r="F52" s="32" t="str">
        <f t="shared" ref="F52:I66" si="5">F51</f>
        <v>M22</v>
      </c>
      <c r="G52" s="62" t="str">
        <f t="shared" si="5"/>
        <v>305</v>
      </c>
      <c r="H52" s="38" t="str">
        <f t="shared" si="5"/>
        <v>C6</v>
      </c>
      <c r="I52" s="38">
        <f t="shared" si="5"/>
        <v>2</v>
      </c>
      <c r="J52" s="37" t="s">
        <v>32</v>
      </c>
      <c r="K52" s="37">
        <v>25</v>
      </c>
      <c r="L52" s="26">
        <v>1.19</v>
      </c>
      <c r="M52" s="26">
        <v>4.3899999999999997</v>
      </c>
      <c r="N52" s="29">
        <f t="shared" si="2"/>
        <v>3.1999999999999997</v>
      </c>
      <c r="O52" s="58" t="str">
        <f t="shared" si="1"/>
        <v>OK</v>
      </c>
    </row>
    <row r="53" spans="1:15" ht="15" x14ac:dyDescent="0.25">
      <c r="A53" s="54"/>
      <c r="B53" s="32">
        <v>2</v>
      </c>
      <c r="C53" s="32">
        <v>1129980</v>
      </c>
      <c r="D53" s="39">
        <v>45738</v>
      </c>
      <c r="E53" s="32" t="s">
        <v>15</v>
      </c>
      <c r="F53" s="32" t="str">
        <f t="shared" si="5"/>
        <v>M22</v>
      </c>
      <c r="G53" s="62" t="str">
        <f t="shared" si="5"/>
        <v>305</v>
      </c>
      <c r="H53" s="38" t="str">
        <f t="shared" si="5"/>
        <v>C6</v>
      </c>
      <c r="I53" s="38">
        <f t="shared" si="5"/>
        <v>2</v>
      </c>
      <c r="J53" s="37" t="s">
        <v>33</v>
      </c>
      <c r="K53" s="37">
        <v>26</v>
      </c>
      <c r="L53" s="26">
        <v>1.53</v>
      </c>
      <c r="M53" s="26">
        <v>2.59</v>
      </c>
      <c r="N53" s="29">
        <f t="shared" si="2"/>
        <v>1.0599999999999998</v>
      </c>
      <c r="O53" s="58" t="str">
        <f t="shared" si="1"/>
        <v>OK</v>
      </c>
    </row>
    <row r="54" spans="1:15" ht="15" x14ac:dyDescent="0.25">
      <c r="A54" s="54"/>
      <c r="B54" s="32">
        <v>2</v>
      </c>
      <c r="C54" s="32">
        <v>1129980</v>
      </c>
      <c r="D54" s="39">
        <v>45738</v>
      </c>
      <c r="E54" s="32" t="s">
        <v>15</v>
      </c>
      <c r="F54" s="32" t="str">
        <f t="shared" si="5"/>
        <v>M22</v>
      </c>
      <c r="G54" s="62" t="str">
        <f t="shared" si="5"/>
        <v>305</v>
      </c>
      <c r="H54" s="38" t="str">
        <f t="shared" si="5"/>
        <v>C6</v>
      </c>
      <c r="I54" s="38">
        <f t="shared" si="5"/>
        <v>2</v>
      </c>
      <c r="J54" s="37" t="s">
        <v>34</v>
      </c>
      <c r="K54" s="37">
        <v>26</v>
      </c>
      <c r="L54" s="26">
        <v>0.47</v>
      </c>
      <c r="M54" s="26">
        <v>1.76</v>
      </c>
      <c r="N54" s="29">
        <f t="shared" si="2"/>
        <v>1.29</v>
      </c>
      <c r="O54" s="58" t="str">
        <f t="shared" si="1"/>
        <v>OK</v>
      </c>
    </row>
    <row r="55" spans="1:15" ht="15" x14ac:dyDescent="0.25">
      <c r="A55" s="54"/>
      <c r="B55" s="32">
        <v>2</v>
      </c>
      <c r="C55" s="32">
        <v>1129980</v>
      </c>
      <c r="D55" s="39">
        <v>45738</v>
      </c>
      <c r="E55" s="32" t="s">
        <v>15</v>
      </c>
      <c r="F55" s="32" t="str">
        <f t="shared" si="5"/>
        <v>M22</v>
      </c>
      <c r="G55" s="62" t="str">
        <f t="shared" si="5"/>
        <v>305</v>
      </c>
      <c r="H55" s="38" t="str">
        <f t="shared" si="5"/>
        <v>C6</v>
      </c>
      <c r="I55" s="38">
        <v>1</v>
      </c>
      <c r="J55" s="37" t="s">
        <v>35</v>
      </c>
      <c r="K55" s="37">
        <v>27</v>
      </c>
      <c r="L55" s="26">
        <v>0.53</v>
      </c>
      <c r="M55" s="26">
        <v>4.46</v>
      </c>
      <c r="N55" s="29">
        <f t="shared" si="2"/>
        <v>3.9299999999999997</v>
      </c>
      <c r="O55" s="58" t="str">
        <f t="shared" si="1"/>
        <v>OK</v>
      </c>
    </row>
    <row r="56" spans="1:15" ht="15" x14ac:dyDescent="0.25">
      <c r="A56" s="54"/>
      <c r="B56" s="32">
        <v>2</v>
      </c>
      <c r="C56" s="32">
        <v>1129980</v>
      </c>
      <c r="D56" s="39">
        <v>45738</v>
      </c>
      <c r="E56" s="32" t="s">
        <v>15</v>
      </c>
      <c r="F56" s="32" t="str">
        <f t="shared" si="5"/>
        <v>M22</v>
      </c>
      <c r="G56" s="62" t="str">
        <f t="shared" si="5"/>
        <v>305</v>
      </c>
      <c r="H56" s="38" t="str">
        <f t="shared" si="5"/>
        <v>C6</v>
      </c>
      <c r="I56" s="38">
        <f t="shared" si="5"/>
        <v>1</v>
      </c>
      <c r="J56" s="37" t="s">
        <v>36</v>
      </c>
      <c r="K56" s="37">
        <v>27</v>
      </c>
      <c r="L56" s="26">
        <v>0.4</v>
      </c>
      <c r="M56" s="26">
        <v>2.39</v>
      </c>
      <c r="N56" s="29">
        <f t="shared" si="2"/>
        <v>1.9900000000000002</v>
      </c>
      <c r="O56" s="58" t="str">
        <f t="shared" si="1"/>
        <v>OK</v>
      </c>
    </row>
    <row r="57" spans="1:15" ht="15" x14ac:dyDescent="0.25">
      <c r="A57" s="54"/>
      <c r="B57" s="32">
        <v>2</v>
      </c>
      <c r="C57" s="32">
        <v>1129980</v>
      </c>
      <c r="D57" s="39">
        <v>45738</v>
      </c>
      <c r="E57" s="32" t="s">
        <v>15</v>
      </c>
      <c r="F57" s="32" t="str">
        <f t="shared" si="5"/>
        <v>M22</v>
      </c>
      <c r="G57" s="62" t="str">
        <f t="shared" si="5"/>
        <v>305</v>
      </c>
      <c r="H57" s="38" t="str">
        <f t="shared" si="5"/>
        <v>C6</v>
      </c>
      <c r="I57" s="38">
        <f t="shared" si="5"/>
        <v>1</v>
      </c>
      <c r="J57" s="37" t="s">
        <v>37</v>
      </c>
      <c r="K57" s="37">
        <v>28</v>
      </c>
      <c r="L57" s="26">
        <v>1.18</v>
      </c>
      <c r="M57" s="26">
        <v>2.58</v>
      </c>
      <c r="N57" s="29">
        <f t="shared" si="2"/>
        <v>1.4000000000000001</v>
      </c>
      <c r="O57" s="58" t="str">
        <f t="shared" si="1"/>
        <v>OK</v>
      </c>
    </row>
    <row r="58" spans="1:15" ht="15" x14ac:dyDescent="0.25">
      <c r="A58" s="54"/>
      <c r="B58" s="32">
        <v>2</v>
      </c>
      <c r="C58" s="32">
        <v>1129980</v>
      </c>
      <c r="D58" s="39">
        <v>45738</v>
      </c>
      <c r="E58" s="32" t="s">
        <v>15</v>
      </c>
      <c r="F58" s="32" t="str">
        <f t="shared" si="5"/>
        <v>M22</v>
      </c>
      <c r="G58" s="62" t="str">
        <f t="shared" si="5"/>
        <v>305</v>
      </c>
      <c r="H58" s="38" t="str">
        <f t="shared" si="5"/>
        <v>C6</v>
      </c>
      <c r="I58" s="38">
        <f t="shared" si="5"/>
        <v>1</v>
      </c>
      <c r="J58" s="37" t="s">
        <v>38</v>
      </c>
      <c r="K58" s="37">
        <v>28</v>
      </c>
      <c r="L58" s="26">
        <v>0.64</v>
      </c>
      <c r="M58" s="26">
        <v>1.66</v>
      </c>
      <c r="N58" s="29">
        <f t="shared" si="2"/>
        <v>1.02</v>
      </c>
      <c r="O58" s="58" t="str">
        <f t="shared" si="1"/>
        <v>OK</v>
      </c>
    </row>
    <row r="59" spans="1:15" ht="15" x14ac:dyDescent="0.25">
      <c r="A59" s="54"/>
      <c r="B59" s="32">
        <v>2</v>
      </c>
      <c r="C59" s="32">
        <v>1129980</v>
      </c>
      <c r="D59" s="39">
        <v>45738</v>
      </c>
      <c r="E59" s="32" t="s">
        <v>15</v>
      </c>
      <c r="F59" s="32" t="str">
        <f t="shared" si="5"/>
        <v>M22</v>
      </c>
      <c r="G59" s="62" t="str">
        <f t="shared" si="5"/>
        <v>305</v>
      </c>
      <c r="H59" s="38" t="s">
        <v>46</v>
      </c>
      <c r="I59" s="38">
        <v>2</v>
      </c>
      <c r="J59" s="37" t="s">
        <v>31</v>
      </c>
      <c r="K59" s="37">
        <v>29</v>
      </c>
      <c r="L59" s="26">
        <v>0.48</v>
      </c>
      <c r="M59" s="26">
        <v>4.59</v>
      </c>
      <c r="N59" s="29">
        <f t="shared" si="2"/>
        <v>4.1099999999999994</v>
      </c>
      <c r="O59" s="58" t="str">
        <f t="shared" si="1"/>
        <v>OK</v>
      </c>
    </row>
    <row r="60" spans="1:15" ht="15" x14ac:dyDescent="0.25">
      <c r="A60" s="54"/>
      <c r="B60" s="32">
        <v>2</v>
      </c>
      <c r="C60" s="32">
        <v>1129980</v>
      </c>
      <c r="D60" s="39">
        <v>45738</v>
      </c>
      <c r="E60" s="32" t="s">
        <v>15</v>
      </c>
      <c r="F60" s="32" t="str">
        <f t="shared" si="5"/>
        <v>M22</v>
      </c>
      <c r="G60" s="62" t="str">
        <f t="shared" si="5"/>
        <v>305</v>
      </c>
      <c r="H60" s="38" t="str">
        <f t="shared" si="5"/>
        <v>C5</v>
      </c>
      <c r="I60" s="38">
        <f t="shared" si="5"/>
        <v>2</v>
      </c>
      <c r="J60" s="37" t="s">
        <v>32</v>
      </c>
      <c r="K60" s="37">
        <v>29</v>
      </c>
      <c r="L60" s="26">
        <v>1.18</v>
      </c>
      <c r="M60" s="26">
        <v>4.08</v>
      </c>
      <c r="N60" s="29">
        <f t="shared" si="2"/>
        <v>2.9000000000000004</v>
      </c>
      <c r="O60" s="58" t="str">
        <f t="shared" si="1"/>
        <v>OK</v>
      </c>
    </row>
    <row r="61" spans="1:15" ht="15" x14ac:dyDescent="0.25">
      <c r="A61" s="54"/>
      <c r="B61" s="32">
        <v>2</v>
      </c>
      <c r="C61" s="32">
        <v>1129980</v>
      </c>
      <c r="D61" s="39">
        <v>45738</v>
      </c>
      <c r="E61" s="32" t="s">
        <v>15</v>
      </c>
      <c r="F61" s="32" t="str">
        <f t="shared" si="5"/>
        <v>M22</v>
      </c>
      <c r="G61" s="62" t="str">
        <f t="shared" si="5"/>
        <v>305</v>
      </c>
      <c r="H61" s="38" t="str">
        <f t="shared" si="5"/>
        <v>C5</v>
      </c>
      <c r="I61" s="38">
        <f t="shared" si="5"/>
        <v>2</v>
      </c>
      <c r="J61" s="37" t="s">
        <v>33</v>
      </c>
      <c r="K61" s="37">
        <v>30</v>
      </c>
      <c r="L61" s="26">
        <v>0.82</v>
      </c>
      <c r="M61" s="26">
        <v>4.62</v>
      </c>
      <c r="N61" s="29">
        <f t="shared" si="2"/>
        <v>3.8000000000000003</v>
      </c>
      <c r="O61" s="58" t="str">
        <f t="shared" si="1"/>
        <v>OK</v>
      </c>
    </row>
    <row r="62" spans="1:15" ht="15" x14ac:dyDescent="0.25">
      <c r="A62" s="54"/>
      <c r="B62" s="32">
        <v>2</v>
      </c>
      <c r="C62" s="32">
        <v>1129980</v>
      </c>
      <c r="D62" s="39">
        <v>45738</v>
      </c>
      <c r="E62" s="32" t="s">
        <v>15</v>
      </c>
      <c r="F62" s="32" t="str">
        <f t="shared" si="5"/>
        <v>M22</v>
      </c>
      <c r="G62" s="62" t="str">
        <f t="shared" si="5"/>
        <v>305</v>
      </c>
      <c r="H62" s="38" t="str">
        <f t="shared" si="5"/>
        <v>C5</v>
      </c>
      <c r="I62" s="38">
        <f t="shared" si="5"/>
        <v>2</v>
      </c>
      <c r="J62" s="37" t="s">
        <v>34</v>
      </c>
      <c r="K62" s="37">
        <v>30</v>
      </c>
      <c r="L62" s="26">
        <v>0.3</v>
      </c>
      <c r="M62" s="26">
        <v>2.57</v>
      </c>
      <c r="N62" s="29">
        <f t="shared" si="2"/>
        <v>2.27</v>
      </c>
      <c r="O62" s="58" t="str">
        <f t="shared" si="1"/>
        <v>OK</v>
      </c>
    </row>
    <row r="63" spans="1:15" ht="15" x14ac:dyDescent="0.25">
      <c r="A63" s="54"/>
      <c r="B63" s="32">
        <v>2</v>
      </c>
      <c r="C63" s="32">
        <v>1129980</v>
      </c>
      <c r="D63" s="39">
        <v>45738</v>
      </c>
      <c r="E63" s="32" t="s">
        <v>15</v>
      </c>
      <c r="F63" s="32" t="str">
        <f t="shared" si="5"/>
        <v>M22</v>
      </c>
      <c r="G63" s="62" t="str">
        <f t="shared" si="5"/>
        <v>305</v>
      </c>
      <c r="H63" s="38" t="str">
        <f t="shared" si="5"/>
        <v>C5</v>
      </c>
      <c r="I63" s="38">
        <v>1</v>
      </c>
      <c r="J63" s="37" t="s">
        <v>35</v>
      </c>
      <c r="K63" s="37">
        <v>31</v>
      </c>
      <c r="L63" s="26">
        <v>0.9</v>
      </c>
      <c r="M63" s="26">
        <v>4.63</v>
      </c>
      <c r="N63" s="29">
        <f t="shared" si="2"/>
        <v>3.73</v>
      </c>
      <c r="O63" s="58" t="str">
        <f t="shared" si="1"/>
        <v>OK</v>
      </c>
    </row>
    <row r="64" spans="1:15" ht="15" x14ac:dyDescent="0.25">
      <c r="A64" s="54"/>
      <c r="B64" s="32">
        <v>2</v>
      </c>
      <c r="C64" s="32">
        <v>1129980</v>
      </c>
      <c r="D64" s="39">
        <v>45738</v>
      </c>
      <c r="E64" s="32" t="s">
        <v>15</v>
      </c>
      <c r="F64" s="32" t="str">
        <f t="shared" si="5"/>
        <v>M22</v>
      </c>
      <c r="G64" s="62" t="str">
        <f t="shared" si="5"/>
        <v>305</v>
      </c>
      <c r="H64" s="38" t="str">
        <f t="shared" si="5"/>
        <v>C5</v>
      </c>
      <c r="I64" s="38">
        <f t="shared" si="5"/>
        <v>1</v>
      </c>
      <c r="J64" s="37" t="s">
        <v>36</v>
      </c>
      <c r="K64" s="37">
        <v>31</v>
      </c>
      <c r="L64" s="26">
        <v>0.61</v>
      </c>
      <c r="M64" s="26">
        <v>2.09</v>
      </c>
      <c r="N64" s="29">
        <f t="shared" si="2"/>
        <v>1.48</v>
      </c>
      <c r="O64" s="58" t="str">
        <f t="shared" si="1"/>
        <v>OK</v>
      </c>
    </row>
    <row r="65" spans="1:15" ht="15" x14ac:dyDescent="0.25">
      <c r="A65" s="54"/>
      <c r="B65" s="32">
        <v>2</v>
      </c>
      <c r="C65" s="32">
        <v>1129980</v>
      </c>
      <c r="D65" s="39">
        <v>45738</v>
      </c>
      <c r="E65" s="32" t="s">
        <v>15</v>
      </c>
      <c r="F65" s="32" t="str">
        <f t="shared" si="5"/>
        <v>M22</v>
      </c>
      <c r="G65" s="62" t="str">
        <f t="shared" si="5"/>
        <v>305</v>
      </c>
      <c r="H65" s="38" t="str">
        <f t="shared" si="5"/>
        <v>C5</v>
      </c>
      <c r="I65" s="38">
        <f t="shared" si="5"/>
        <v>1</v>
      </c>
      <c r="J65" s="37" t="s">
        <v>37</v>
      </c>
      <c r="K65" s="37">
        <v>32</v>
      </c>
      <c r="L65" s="26">
        <v>0.42</v>
      </c>
      <c r="M65" s="26">
        <v>4.6100000000000003</v>
      </c>
      <c r="N65" s="29">
        <f t="shared" si="2"/>
        <v>4.1900000000000004</v>
      </c>
      <c r="O65" s="58" t="str">
        <f t="shared" si="1"/>
        <v>OK</v>
      </c>
    </row>
    <row r="66" spans="1:15" ht="15" x14ac:dyDescent="0.25">
      <c r="A66" s="54"/>
      <c r="B66" s="32">
        <v>2</v>
      </c>
      <c r="C66" s="32">
        <v>1129980</v>
      </c>
      <c r="D66" s="39">
        <v>45738</v>
      </c>
      <c r="E66" s="32" t="s">
        <v>15</v>
      </c>
      <c r="F66" s="32" t="str">
        <f t="shared" si="5"/>
        <v>M22</v>
      </c>
      <c r="G66" s="62" t="str">
        <f t="shared" si="5"/>
        <v>305</v>
      </c>
      <c r="H66" s="38" t="str">
        <f t="shared" si="5"/>
        <v>C5</v>
      </c>
      <c r="I66" s="38">
        <f t="shared" si="5"/>
        <v>1</v>
      </c>
      <c r="J66" s="37" t="s">
        <v>38</v>
      </c>
      <c r="K66" s="37">
        <v>32</v>
      </c>
      <c r="L66" s="26">
        <v>1.23</v>
      </c>
      <c r="M66" s="26">
        <v>4.25</v>
      </c>
      <c r="N66" s="29">
        <f t="shared" si="2"/>
        <v>3.02</v>
      </c>
      <c r="O66" s="58" t="str">
        <f t="shared" si="1"/>
        <v>OK</v>
      </c>
    </row>
    <row r="67" spans="1:15" ht="15" x14ac:dyDescent="0.25">
      <c r="A67" s="54"/>
      <c r="B67" s="32">
        <v>2</v>
      </c>
      <c r="C67" s="32">
        <v>1129980</v>
      </c>
      <c r="D67" s="39">
        <v>45738</v>
      </c>
      <c r="E67" s="32" t="s">
        <v>15</v>
      </c>
      <c r="F67" s="32" t="s">
        <v>40</v>
      </c>
      <c r="G67" s="62" t="s">
        <v>55</v>
      </c>
      <c r="H67" s="38" t="s">
        <v>43</v>
      </c>
      <c r="I67" s="38">
        <v>2</v>
      </c>
      <c r="J67" s="37" t="s">
        <v>31</v>
      </c>
      <c r="K67" s="37">
        <v>33</v>
      </c>
      <c r="L67" s="26">
        <v>0.66</v>
      </c>
      <c r="M67" s="26">
        <v>4.68</v>
      </c>
      <c r="N67" s="29">
        <f t="shared" si="2"/>
        <v>4.0199999999999996</v>
      </c>
      <c r="O67" s="58" t="str">
        <f t="shared" si="1"/>
        <v>OK</v>
      </c>
    </row>
    <row r="68" spans="1:15" ht="15" x14ac:dyDescent="0.25">
      <c r="A68" s="54"/>
      <c r="B68" s="32">
        <v>2</v>
      </c>
      <c r="C68" s="32">
        <v>1129980</v>
      </c>
      <c r="D68" s="39">
        <v>45738</v>
      </c>
      <c r="E68" s="32" t="s">
        <v>15</v>
      </c>
      <c r="F68" s="32" t="str">
        <f t="shared" ref="F68:I82" si="6">F67</f>
        <v>M21</v>
      </c>
      <c r="G68" s="62" t="str">
        <f t="shared" si="6"/>
        <v>018</v>
      </c>
      <c r="H68" s="38" t="str">
        <f t="shared" si="6"/>
        <v>C4</v>
      </c>
      <c r="I68" s="38">
        <f t="shared" si="6"/>
        <v>2</v>
      </c>
      <c r="J68" s="37" t="s">
        <v>32</v>
      </c>
      <c r="K68" s="37">
        <v>33</v>
      </c>
      <c r="L68" s="26">
        <v>1.5</v>
      </c>
      <c r="M68" s="26">
        <v>4.4000000000000004</v>
      </c>
      <c r="N68" s="29">
        <f t="shared" ref="N68:N98" si="7">+M68-L68</f>
        <v>2.9000000000000004</v>
      </c>
      <c r="O68" s="58" t="str">
        <f t="shared" ref="O68:O131" si="8">IF(N68&lt;=0,"Critico",IF(N68&lt;=0.2,"Cambio",IF(N68&lt;=1,"Seguimiento",IF(L68&gt;=1.6,"Reperfilado","OK"))))</f>
        <v>OK</v>
      </c>
    </row>
    <row r="69" spans="1:15" ht="15" x14ac:dyDescent="0.25">
      <c r="A69" s="54"/>
      <c r="B69" s="32">
        <v>2</v>
      </c>
      <c r="C69" s="32">
        <v>1129980</v>
      </c>
      <c r="D69" s="39">
        <v>45738</v>
      </c>
      <c r="E69" s="32" t="s">
        <v>15</v>
      </c>
      <c r="F69" s="32" t="str">
        <f t="shared" si="6"/>
        <v>M21</v>
      </c>
      <c r="G69" s="62" t="str">
        <f t="shared" si="6"/>
        <v>018</v>
      </c>
      <c r="H69" s="38" t="str">
        <f t="shared" si="6"/>
        <v>C4</v>
      </c>
      <c r="I69" s="38">
        <f t="shared" si="6"/>
        <v>2</v>
      </c>
      <c r="J69" s="37" t="s">
        <v>33</v>
      </c>
      <c r="K69" s="37">
        <v>34</v>
      </c>
      <c r="L69" s="26">
        <v>0.09</v>
      </c>
      <c r="M69" s="26">
        <v>5.13</v>
      </c>
      <c r="N69" s="29">
        <f t="shared" si="7"/>
        <v>5.04</v>
      </c>
      <c r="O69" s="58" t="str">
        <f t="shared" si="8"/>
        <v>OK</v>
      </c>
    </row>
    <row r="70" spans="1:15" ht="15" x14ac:dyDescent="0.25">
      <c r="A70" s="54"/>
      <c r="B70" s="32">
        <v>2</v>
      </c>
      <c r="C70" s="32">
        <v>1129980</v>
      </c>
      <c r="D70" s="39">
        <v>45738</v>
      </c>
      <c r="E70" s="32" t="s">
        <v>15</v>
      </c>
      <c r="F70" s="32" t="str">
        <f t="shared" si="6"/>
        <v>M21</v>
      </c>
      <c r="G70" s="62" t="str">
        <f t="shared" si="6"/>
        <v>018</v>
      </c>
      <c r="H70" s="38" t="str">
        <f t="shared" si="6"/>
        <v>C4</v>
      </c>
      <c r="I70" s="38">
        <f t="shared" si="6"/>
        <v>2</v>
      </c>
      <c r="J70" s="37" t="s">
        <v>34</v>
      </c>
      <c r="K70" s="37">
        <v>34</v>
      </c>
      <c r="L70" s="26">
        <v>1.1299999999999999</v>
      </c>
      <c r="M70" s="26">
        <v>4.7</v>
      </c>
      <c r="N70" s="29">
        <f t="shared" si="7"/>
        <v>3.5700000000000003</v>
      </c>
      <c r="O70" s="58" t="str">
        <f t="shared" si="8"/>
        <v>OK</v>
      </c>
    </row>
    <row r="71" spans="1:15" ht="15" x14ac:dyDescent="0.25">
      <c r="A71" s="54"/>
      <c r="B71" s="32">
        <v>2</v>
      </c>
      <c r="C71" s="32">
        <v>1129980</v>
      </c>
      <c r="D71" s="39">
        <v>45738</v>
      </c>
      <c r="E71" s="32" t="s">
        <v>15</v>
      </c>
      <c r="F71" s="32" t="str">
        <f t="shared" si="6"/>
        <v>M21</v>
      </c>
      <c r="G71" s="62" t="str">
        <f t="shared" si="6"/>
        <v>018</v>
      </c>
      <c r="H71" s="38" t="str">
        <f t="shared" si="6"/>
        <v>C4</v>
      </c>
      <c r="I71" s="38">
        <v>1</v>
      </c>
      <c r="J71" s="37" t="s">
        <v>35</v>
      </c>
      <c r="K71" s="37">
        <v>35</v>
      </c>
      <c r="L71" s="26">
        <v>0.05</v>
      </c>
      <c r="M71" s="26">
        <v>2.92</v>
      </c>
      <c r="N71" s="29">
        <f t="shared" si="7"/>
        <v>2.87</v>
      </c>
      <c r="O71" s="58" t="str">
        <f t="shared" si="8"/>
        <v>OK</v>
      </c>
    </row>
    <row r="72" spans="1:15" ht="15" x14ac:dyDescent="0.25">
      <c r="A72" s="54"/>
      <c r="B72" s="32">
        <v>2</v>
      </c>
      <c r="C72" s="32">
        <v>1129980</v>
      </c>
      <c r="D72" s="39">
        <v>45738</v>
      </c>
      <c r="E72" s="32" t="s">
        <v>15</v>
      </c>
      <c r="F72" s="32" t="str">
        <f t="shared" si="6"/>
        <v>M21</v>
      </c>
      <c r="G72" s="62" t="str">
        <f t="shared" si="6"/>
        <v>018</v>
      </c>
      <c r="H72" s="38" t="str">
        <f t="shared" si="6"/>
        <v>C4</v>
      </c>
      <c r="I72" s="38">
        <f t="shared" si="6"/>
        <v>1</v>
      </c>
      <c r="J72" s="37" t="s">
        <v>36</v>
      </c>
      <c r="K72" s="37">
        <v>35</v>
      </c>
      <c r="L72" s="26">
        <v>0.73</v>
      </c>
      <c r="M72" s="26">
        <v>3.73</v>
      </c>
      <c r="N72" s="29">
        <f t="shared" si="7"/>
        <v>3</v>
      </c>
      <c r="O72" s="58" t="str">
        <f t="shared" si="8"/>
        <v>OK</v>
      </c>
    </row>
    <row r="73" spans="1:15" ht="15" x14ac:dyDescent="0.25">
      <c r="A73" s="54"/>
      <c r="B73" s="32">
        <v>2</v>
      </c>
      <c r="C73" s="32">
        <v>1129980</v>
      </c>
      <c r="D73" s="39">
        <v>45738</v>
      </c>
      <c r="E73" s="32" t="s">
        <v>15</v>
      </c>
      <c r="F73" s="32" t="str">
        <f t="shared" si="6"/>
        <v>M21</v>
      </c>
      <c r="G73" s="62" t="str">
        <f t="shared" si="6"/>
        <v>018</v>
      </c>
      <c r="H73" s="38" t="str">
        <f t="shared" si="6"/>
        <v>C4</v>
      </c>
      <c r="I73" s="38">
        <f t="shared" si="6"/>
        <v>1</v>
      </c>
      <c r="J73" s="37" t="s">
        <v>37</v>
      </c>
      <c r="K73" s="37">
        <v>36</v>
      </c>
      <c r="L73" s="26">
        <v>0.88</v>
      </c>
      <c r="M73" s="26">
        <v>3.97</v>
      </c>
      <c r="N73" s="29">
        <f t="shared" si="7"/>
        <v>3.0900000000000003</v>
      </c>
      <c r="O73" s="58" t="str">
        <f t="shared" si="8"/>
        <v>OK</v>
      </c>
    </row>
    <row r="74" spans="1:15" ht="15" x14ac:dyDescent="0.25">
      <c r="A74" s="54"/>
      <c r="B74" s="32">
        <v>2</v>
      </c>
      <c r="C74" s="32">
        <v>1129980</v>
      </c>
      <c r="D74" s="39">
        <v>45738</v>
      </c>
      <c r="E74" s="32" t="s">
        <v>15</v>
      </c>
      <c r="F74" s="32" t="str">
        <f t="shared" si="6"/>
        <v>M21</v>
      </c>
      <c r="G74" s="62" t="str">
        <f t="shared" si="6"/>
        <v>018</v>
      </c>
      <c r="H74" s="38" t="str">
        <f t="shared" si="6"/>
        <v>C4</v>
      </c>
      <c r="I74" s="38">
        <f t="shared" si="6"/>
        <v>1</v>
      </c>
      <c r="J74" s="37" t="s">
        <v>38</v>
      </c>
      <c r="K74" s="37">
        <v>36</v>
      </c>
      <c r="L74" s="26">
        <v>0.59</v>
      </c>
      <c r="M74" s="26">
        <v>4.3499999999999996</v>
      </c>
      <c r="N74" s="29">
        <f t="shared" si="7"/>
        <v>3.76</v>
      </c>
      <c r="O74" s="58" t="str">
        <f t="shared" si="8"/>
        <v>OK</v>
      </c>
    </row>
    <row r="75" spans="1:15" ht="15" x14ac:dyDescent="0.25">
      <c r="A75" s="54"/>
      <c r="B75" s="32">
        <v>2</v>
      </c>
      <c r="C75" s="32">
        <v>1129980</v>
      </c>
      <c r="D75" s="39">
        <v>45738</v>
      </c>
      <c r="E75" s="32" t="s">
        <v>15</v>
      </c>
      <c r="F75" s="32" t="str">
        <f t="shared" si="6"/>
        <v>M21</v>
      </c>
      <c r="G75" s="62" t="str">
        <f t="shared" si="6"/>
        <v>018</v>
      </c>
      <c r="H75" s="38" t="s">
        <v>42</v>
      </c>
      <c r="I75" s="38">
        <v>2</v>
      </c>
      <c r="J75" s="37" t="s">
        <v>31</v>
      </c>
      <c r="K75" s="37">
        <v>37</v>
      </c>
      <c r="L75" s="26">
        <v>1.03</v>
      </c>
      <c r="M75" s="26">
        <v>1.1599999999999999</v>
      </c>
      <c r="N75" s="29">
        <f t="shared" si="7"/>
        <v>0.12999999999999989</v>
      </c>
      <c r="O75" s="58" t="str">
        <f t="shared" si="8"/>
        <v>Cambio</v>
      </c>
    </row>
    <row r="76" spans="1:15" ht="15" x14ac:dyDescent="0.25">
      <c r="A76" s="54"/>
      <c r="B76" s="32">
        <v>2</v>
      </c>
      <c r="C76" s="32">
        <v>1129980</v>
      </c>
      <c r="D76" s="39">
        <v>45738</v>
      </c>
      <c r="E76" s="32" t="s">
        <v>15</v>
      </c>
      <c r="F76" s="32" t="str">
        <f t="shared" si="6"/>
        <v>M21</v>
      </c>
      <c r="G76" s="62" t="str">
        <f t="shared" si="6"/>
        <v>018</v>
      </c>
      <c r="H76" s="38" t="str">
        <f t="shared" si="6"/>
        <v>C3</v>
      </c>
      <c r="I76" s="38">
        <f t="shared" si="6"/>
        <v>2</v>
      </c>
      <c r="J76" s="37" t="s">
        <v>32</v>
      </c>
      <c r="K76" s="37">
        <v>37</v>
      </c>
      <c r="L76" s="26">
        <v>1.1599999999999999</v>
      </c>
      <c r="M76" s="26">
        <v>4.01</v>
      </c>
      <c r="N76" s="29">
        <f t="shared" si="7"/>
        <v>2.8499999999999996</v>
      </c>
      <c r="O76" s="58" t="str">
        <f t="shared" si="8"/>
        <v>OK</v>
      </c>
    </row>
    <row r="77" spans="1:15" ht="15" x14ac:dyDescent="0.25">
      <c r="A77" s="54"/>
      <c r="B77" s="32">
        <v>2</v>
      </c>
      <c r="C77" s="32">
        <v>1129980</v>
      </c>
      <c r="D77" s="39">
        <v>45738</v>
      </c>
      <c r="E77" s="32" t="s">
        <v>15</v>
      </c>
      <c r="F77" s="32" t="str">
        <f t="shared" si="6"/>
        <v>M21</v>
      </c>
      <c r="G77" s="62" t="str">
        <f t="shared" si="6"/>
        <v>018</v>
      </c>
      <c r="H77" s="38" t="str">
        <f t="shared" si="6"/>
        <v>C3</v>
      </c>
      <c r="I77" s="38">
        <f t="shared" si="6"/>
        <v>2</v>
      </c>
      <c r="J77" s="37" t="s">
        <v>33</v>
      </c>
      <c r="K77" s="37">
        <v>38</v>
      </c>
      <c r="L77" s="26">
        <v>0.71</v>
      </c>
      <c r="M77" s="26">
        <v>3.5</v>
      </c>
      <c r="N77" s="29">
        <f t="shared" si="7"/>
        <v>2.79</v>
      </c>
      <c r="O77" s="58" t="str">
        <f t="shared" si="8"/>
        <v>OK</v>
      </c>
    </row>
    <row r="78" spans="1:15" ht="15" x14ac:dyDescent="0.25">
      <c r="A78" s="54"/>
      <c r="B78" s="32">
        <v>2</v>
      </c>
      <c r="C78" s="32">
        <v>1129980</v>
      </c>
      <c r="D78" s="39">
        <v>45738</v>
      </c>
      <c r="E78" s="32" t="s">
        <v>15</v>
      </c>
      <c r="F78" s="32" t="str">
        <f t="shared" si="6"/>
        <v>M21</v>
      </c>
      <c r="G78" s="62" t="str">
        <f t="shared" si="6"/>
        <v>018</v>
      </c>
      <c r="H78" s="38" t="str">
        <f t="shared" si="6"/>
        <v>C3</v>
      </c>
      <c r="I78" s="38">
        <f t="shared" si="6"/>
        <v>2</v>
      </c>
      <c r="J78" s="37" t="s">
        <v>34</v>
      </c>
      <c r="K78" s="37">
        <v>38</v>
      </c>
      <c r="L78" s="26">
        <v>0.57999999999999996</v>
      </c>
      <c r="M78" s="26">
        <v>2.39</v>
      </c>
      <c r="N78" s="29">
        <f t="shared" si="7"/>
        <v>1.81</v>
      </c>
      <c r="O78" s="58" t="str">
        <f t="shared" si="8"/>
        <v>OK</v>
      </c>
    </row>
    <row r="79" spans="1:15" ht="15" x14ac:dyDescent="0.25">
      <c r="A79" s="54"/>
      <c r="B79" s="32">
        <v>2</v>
      </c>
      <c r="C79" s="32">
        <v>1129980</v>
      </c>
      <c r="D79" s="39">
        <v>45738</v>
      </c>
      <c r="E79" s="32" t="s">
        <v>15</v>
      </c>
      <c r="F79" s="32" t="str">
        <f t="shared" si="6"/>
        <v>M21</v>
      </c>
      <c r="G79" s="62" t="str">
        <f t="shared" si="6"/>
        <v>018</v>
      </c>
      <c r="H79" s="38" t="str">
        <f t="shared" si="6"/>
        <v>C3</v>
      </c>
      <c r="I79" s="38">
        <v>1</v>
      </c>
      <c r="J79" s="37" t="s">
        <v>35</v>
      </c>
      <c r="K79" s="37">
        <v>39</v>
      </c>
      <c r="L79" s="26">
        <v>0.25</v>
      </c>
      <c r="M79" s="26">
        <v>4.4000000000000004</v>
      </c>
      <c r="N79" s="29">
        <f t="shared" si="7"/>
        <v>4.1500000000000004</v>
      </c>
      <c r="O79" s="58" t="str">
        <f t="shared" si="8"/>
        <v>OK</v>
      </c>
    </row>
    <row r="80" spans="1:15" ht="15" x14ac:dyDescent="0.25">
      <c r="A80" s="54"/>
      <c r="B80" s="32">
        <v>2</v>
      </c>
      <c r="C80" s="32">
        <v>1129980</v>
      </c>
      <c r="D80" s="39">
        <v>45738</v>
      </c>
      <c r="E80" s="32" t="s">
        <v>15</v>
      </c>
      <c r="F80" s="32" t="str">
        <f t="shared" si="6"/>
        <v>M21</v>
      </c>
      <c r="G80" s="62" t="str">
        <f t="shared" si="6"/>
        <v>018</v>
      </c>
      <c r="H80" s="38" t="str">
        <f t="shared" si="6"/>
        <v>C3</v>
      </c>
      <c r="I80" s="38">
        <f t="shared" si="6"/>
        <v>1</v>
      </c>
      <c r="J80" s="37" t="s">
        <v>36</v>
      </c>
      <c r="K80" s="37">
        <v>39</v>
      </c>
      <c r="L80" s="26">
        <v>0.08</v>
      </c>
      <c r="M80" s="26">
        <v>4.71</v>
      </c>
      <c r="N80" s="29">
        <f t="shared" si="7"/>
        <v>4.63</v>
      </c>
      <c r="O80" s="58" t="str">
        <f t="shared" si="8"/>
        <v>OK</v>
      </c>
    </row>
    <row r="81" spans="1:15" ht="15" x14ac:dyDescent="0.25">
      <c r="A81" s="54"/>
      <c r="B81" s="32">
        <v>2</v>
      </c>
      <c r="C81" s="32">
        <v>1129980</v>
      </c>
      <c r="D81" s="39">
        <v>45738</v>
      </c>
      <c r="E81" s="32" t="s">
        <v>15</v>
      </c>
      <c r="F81" s="32" t="str">
        <f t="shared" si="6"/>
        <v>M21</v>
      </c>
      <c r="G81" s="62" t="str">
        <f t="shared" si="6"/>
        <v>018</v>
      </c>
      <c r="H81" s="38" t="str">
        <f t="shared" si="6"/>
        <v>C3</v>
      </c>
      <c r="I81" s="38">
        <f t="shared" si="6"/>
        <v>1</v>
      </c>
      <c r="J81" s="37" t="s">
        <v>37</v>
      </c>
      <c r="K81" s="37">
        <v>40</v>
      </c>
      <c r="L81" s="26">
        <v>0.11</v>
      </c>
      <c r="M81" s="26">
        <v>4.79</v>
      </c>
      <c r="N81" s="29">
        <f t="shared" si="7"/>
        <v>4.68</v>
      </c>
      <c r="O81" s="58" t="str">
        <f t="shared" si="8"/>
        <v>OK</v>
      </c>
    </row>
    <row r="82" spans="1:15" ht="15" x14ac:dyDescent="0.25">
      <c r="A82" s="54"/>
      <c r="B82" s="32">
        <v>2</v>
      </c>
      <c r="C82" s="32">
        <v>1129980</v>
      </c>
      <c r="D82" s="39">
        <v>45738</v>
      </c>
      <c r="E82" s="32" t="s">
        <v>15</v>
      </c>
      <c r="F82" s="32" t="str">
        <f t="shared" si="6"/>
        <v>M21</v>
      </c>
      <c r="G82" s="62" t="str">
        <f t="shared" si="6"/>
        <v>018</v>
      </c>
      <c r="H82" s="38" t="str">
        <f t="shared" si="6"/>
        <v>C3</v>
      </c>
      <c r="I82" s="38">
        <f t="shared" si="6"/>
        <v>1</v>
      </c>
      <c r="J82" s="37" t="s">
        <v>38</v>
      </c>
      <c r="K82" s="37">
        <v>40</v>
      </c>
      <c r="L82" s="26">
        <v>0.32</v>
      </c>
      <c r="M82" s="26">
        <v>4.57</v>
      </c>
      <c r="N82" s="29">
        <f t="shared" si="7"/>
        <v>4.25</v>
      </c>
      <c r="O82" s="58" t="str">
        <f t="shared" si="8"/>
        <v>OK</v>
      </c>
    </row>
    <row r="83" spans="1:15" ht="15" x14ac:dyDescent="0.25">
      <c r="A83" s="54"/>
      <c r="B83" s="32">
        <v>2</v>
      </c>
      <c r="C83" s="32">
        <v>1129980</v>
      </c>
      <c r="D83" s="39">
        <v>45738</v>
      </c>
      <c r="E83" s="32" t="s">
        <v>15</v>
      </c>
      <c r="F83" s="32" t="s">
        <v>28</v>
      </c>
      <c r="G83" s="62" t="s">
        <v>56</v>
      </c>
      <c r="H83" s="38" t="s">
        <v>39</v>
      </c>
      <c r="I83" s="38">
        <v>2</v>
      </c>
      <c r="J83" s="37" t="s">
        <v>31</v>
      </c>
      <c r="K83" s="37">
        <v>41</v>
      </c>
      <c r="L83" s="26">
        <v>0.1</v>
      </c>
      <c r="M83" s="26">
        <v>4.55</v>
      </c>
      <c r="N83" s="29">
        <f t="shared" si="7"/>
        <v>4.45</v>
      </c>
      <c r="O83" s="58" t="str">
        <f t="shared" si="8"/>
        <v>OK</v>
      </c>
    </row>
    <row r="84" spans="1:15" ht="15" x14ac:dyDescent="0.25">
      <c r="A84" s="54"/>
      <c r="B84" s="32">
        <v>2</v>
      </c>
      <c r="C84" s="32">
        <v>1129980</v>
      </c>
      <c r="D84" s="39">
        <v>45738</v>
      </c>
      <c r="E84" s="32" t="s">
        <v>15</v>
      </c>
      <c r="F84" s="32" t="str">
        <f t="shared" ref="F84:I98" si="9">F83</f>
        <v>M20</v>
      </c>
      <c r="G84" s="62" t="str">
        <f t="shared" si="9"/>
        <v>017</v>
      </c>
      <c r="H84" s="38" t="str">
        <f t="shared" si="9"/>
        <v>C2</v>
      </c>
      <c r="I84" s="38">
        <f t="shared" si="9"/>
        <v>2</v>
      </c>
      <c r="J84" s="37" t="s">
        <v>32</v>
      </c>
      <c r="K84" s="37">
        <v>41</v>
      </c>
      <c r="L84" s="26">
        <v>0.48</v>
      </c>
      <c r="M84" s="26">
        <v>4.5599999999999996</v>
      </c>
      <c r="N84" s="29">
        <f t="shared" si="7"/>
        <v>4.08</v>
      </c>
      <c r="O84" s="58" t="str">
        <f t="shared" si="8"/>
        <v>OK</v>
      </c>
    </row>
    <row r="85" spans="1:15" ht="15" x14ac:dyDescent="0.25">
      <c r="A85" s="54"/>
      <c r="B85" s="32">
        <v>2</v>
      </c>
      <c r="C85" s="32">
        <v>1129980</v>
      </c>
      <c r="D85" s="39">
        <v>45738</v>
      </c>
      <c r="E85" s="32" t="s">
        <v>15</v>
      </c>
      <c r="F85" s="32" t="str">
        <f t="shared" si="9"/>
        <v>M20</v>
      </c>
      <c r="G85" s="62" t="str">
        <f t="shared" si="9"/>
        <v>017</v>
      </c>
      <c r="H85" s="38" t="str">
        <f t="shared" si="9"/>
        <v>C2</v>
      </c>
      <c r="I85" s="38">
        <f t="shared" si="9"/>
        <v>2</v>
      </c>
      <c r="J85" s="37" t="s">
        <v>33</v>
      </c>
      <c r="K85" s="37">
        <v>42</v>
      </c>
      <c r="L85" s="26">
        <v>0.16</v>
      </c>
      <c r="M85" s="26">
        <v>4.22</v>
      </c>
      <c r="N85" s="29">
        <f t="shared" si="7"/>
        <v>4.0599999999999996</v>
      </c>
      <c r="O85" s="58" t="str">
        <f t="shared" si="8"/>
        <v>OK</v>
      </c>
    </row>
    <row r="86" spans="1:15" ht="15" x14ac:dyDescent="0.25">
      <c r="A86" s="54"/>
      <c r="B86" s="32">
        <v>2</v>
      </c>
      <c r="C86" s="32">
        <v>1129980</v>
      </c>
      <c r="D86" s="39">
        <v>45738</v>
      </c>
      <c r="E86" s="32" t="s">
        <v>15</v>
      </c>
      <c r="F86" s="32" t="str">
        <f t="shared" si="9"/>
        <v>M20</v>
      </c>
      <c r="G86" s="62" t="str">
        <f t="shared" si="9"/>
        <v>017</v>
      </c>
      <c r="H86" s="38" t="str">
        <f t="shared" si="9"/>
        <v>C2</v>
      </c>
      <c r="I86" s="38">
        <f t="shared" si="9"/>
        <v>2</v>
      </c>
      <c r="J86" s="37" t="s">
        <v>34</v>
      </c>
      <c r="K86" s="37">
        <v>42</v>
      </c>
      <c r="L86" s="26">
        <v>0.44</v>
      </c>
      <c r="M86" s="26">
        <v>4.3499999999999996</v>
      </c>
      <c r="N86" s="29">
        <f t="shared" si="7"/>
        <v>3.9099999999999997</v>
      </c>
      <c r="O86" s="58" t="str">
        <f t="shared" si="8"/>
        <v>OK</v>
      </c>
    </row>
    <row r="87" spans="1:15" ht="15" x14ac:dyDescent="0.25">
      <c r="A87" s="54"/>
      <c r="B87" s="32">
        <v>2</v>
      </c>
      <c r="C87" s="32">
        <v>1129980</v>
      </c>
      <c r="D87" s="39">
        <v>45738</v>
      </c>
      <c r="E87" s="32" t="s">
        <v>15</v>
      </c>
      <c r="F87" s="32" t="str">
        <f t="shared" si="9"/>
        <v>M20</v>
      </c>
      <c r="G87" s="62" t="str">
        <f t="shared" si="9"/>
        <v>017</v>
      </c>
      <c r="H87" s="38" t="str">
        <f t="shared" si="9"/>
        <v>C2</v>
      </c>
      <c r="I87" s="38">
        <v>1</v>
      </c>
      <c r="J87" s="37" t="s">
        <v>35</v>
      </c>
      <c r="K87" s="37">
        <v>43</v>
      </c>
      <c r="L87" s="26">
        <v>0.13</v>
      </c>
      <c r="M87" s="26">
        <v>4.54</v>
      </c>
      <c r="N87" s="29">
        <f t="shared" si="7"/>
        <v>4.41</v>
      </c>
      <c r="O87" s="58" t="str">
        <f t="shared" si="8"/>
        <v>OK</v>
      </c>
    </row>
    <row r="88" spans="1:15" ht="15" x14ac:dyDescent="0.25">
      <c r="A88" s="54"/>
      <c r="B88" s="32">
        <v>2</v>
      </c>
      <c r="C88" s="32">
        <v>1129980</v>
      </c>
      <c r="D88" s="39">
        <v>45738</v>
      </c>
      <c r="E88" s="32" t="s">
        <v>15</v>
      </c>
      <c r="F88" s="32" t="str">
        <f t="shared" si="9"/>
        <v>M20</v>
      </c>
      <c r="G88" s="62" t="str">
        <f t="shared" si="9"/>
        <v>017</v>
      </c>
      <c r="H88" s="38" t="str">
        <f t="shared" si="9"/>
        <v>C2</v>
      </c>
      <c r="I88" s="38">
        <f t="shared" si="9"/>
        <v>1</v>
      </c>
      <c r="J88" s="37" t="s">
        <v>36</v>
      </c>
      <c r="K88" s="37">
        <v>43</v>
      </c>
      <c r="L88" s="26">
        <v>0.31</v>
      </c>
      <c r="M88" s="26">
        <v>4.55</v>
      </c>
      <c r="N88" s="29">
        <f t="shared" si="7"/>
        <v>4.24</v>
      </c>
      <c r="O88" s="58" t="str">
        <f t="shared" si="8"/>
        <v>OK</v>
      </c>
    </row>
    <row r="89" spans="1:15" ht="15" x14ac:dyDescent="0.25">
      <c r="A89" s="54"/>
      <c r="B89" s="32">
        <v>2</v>
      </c>
      <c r="C89" s="32">
        <v>1129980</v>
      </c>
      <c r="D89" s="39">
        <v>45738</v>
      </c>
      <c r="E89" s="32" t="s">
        <v>15</v>
      </c>
      <c r="F89" s="32" t="str">
        <f t="shared" si="9"/>
        <v>M20</v>
      </c>
      <c r="G89" s="62" t="str">
        <f t="shared" si="9"/>
        <v>017</v>
      </c>
      <c r="H89" s="38" t="str">
        <f t="shared" si="9"/>
        <v>C2</v>
      </c>
      <c r="I89" s="38">
        <f t="shared" si="9"/>
        <v>1</v>
      </c>
      <c r="J89" s="37" t="s">
        <v>37</v>
      </c>
      <c r="K89" s="37">
        <v>44</v>
      </c>
      <c r="L89" s="26">
        <v>0.2</v>
      </c>
      <c r="M89" s="26">
        <v>4.24</v>
      </c>
      <c r="N89" s="29">
        <f t="shared" si="7"/>
        <v>4.04</v>
      </c>
      <c r="O89" s="58" t="str">
        <f t="shared" si="8"/>
        <v>OK</v>
      </c>
    </row>
    <row r="90" spans="1:15" ht="15" x14ac:dyDescent="0.25">
      <c r="A90" s="54"/>
      <c r="B90" s="32">
        <v>2</v>
      </c>
      <c r="C90" s="32">
        <v>1129980</v>
      </c>
      <c r="D90" s="39">
        <v>45738</v>
      </c>
      <c r="E90" s="32" t="s">
        <v>15</v>
      </c>
      <c r="F90" s="32" t="str">
        <f t="shared" si="9"/>
        <v>M20</v>
      </c>
      <c r="G90" s="62" t="str">
        <f t="shared" si="9"/>
        <v>017</v>
      </c>
      <c r="H90" s="38" t="str">
        <f t="shared" si="9"/>
        <v>C2</v>
      </c>
      <c r="I90" s="38">
        <f t="shared" si="9"/>
        <v>1</v>
      </c>
      <c r="J90" s="37" t="s">
        <v>38</v>
      </c>
      <c r="K90" s="37">
        <v>44</v>
      </c>
      <c r="L90" s="26">
        <v>0.3</v>
      </c>
      <c r="M90" s="26">
        <v>4.57</v>
      </c>
      <c r="N90" s="29">
        <f t="shared" si="7"/>
        <v>4.2700000000000005</v>
      </c>
      <c r="O90" s="58" t="str">
        <f t="shared" si="8"/>
        <v>OK</v>
      </c>
    </row>
    <row r="91" spans="1:15" ht="15" x14ac:dyDescent="0.25">
      <c r="A91" s="54"/>
      <c r="B91" s="32">
        <v>2</v>
      </c>
      <c r="C91" s="32">
        <v>1129980</v>
      </c>
      <c r="D91" s="39">
        <v>45738</v>
      </c>
      <c r="E91" s="32" t="s">
        <v>15</v>
      </c>
      <c r="F91" s="32" t="str">
        <f t="shared" si="9"/>
        <v>M20</v>
      </c>
      <c r="G91" s="62" t="str">
        <f t="shared" si="9"/>
        <v>017</v>
      </c>
      <c r="H91" s="38" t="s">
        <v>30</v>
      </c>
      <c r="I91" s="38">
        <v>2</v>
      </c>
      <c r="J91" s="37" t="s">
        <v>31</v>
      </c>
      <c r="K91" s="37">
        <v>45</v>
      </c>
      <c r="L91" s="26">
        <v>0.35</v>
      </c>
      <c r="M91" s="26">
        <v>4.43</v>
      </c>
      <c r="N91" s="29">
        <f t="shared" si="7"/>
        <v>4.08</v>
      </c>
      <c r="O91" s="58" t="str">
        <f t="shared" si="8"/>
        <v>OK</v>
      </c>
    </row>
    <row r="92" spans="1:15" ht="15" x14ac:dyDescent="0.25">
      <c r="A92" s="54"/>
      <c r="B92" s="32">
        <v>2</v>
      </c>
      <c r="C92" s="32">
        <v>1129980</v>
      </c>
      <c r="D92" s="39">
        <v>45738</v>
      </c>
      <c r="E92" s="32" t="s">
        <v>15</v>
      </c>
      <c r="F92" s="32" t="str">
        <f t="shared" si="9"/>
        <v>M20</v>
      </c>
      <c r="G92" s="62" t="str">
        <f t="shared" si="9"/>
        <v>017</v>
      </c>
      <c r="H92" s="38" t="str">
        <f t="shared" si="9"/>
        <v>C1</v>
      </c>
      <c r="I92" s="38">
        <f t="shared" si="9"/>
        <v>2</v>
      </c>
      <c r="J92" s="37" t="s">
        <v>32</v>
      </c>
      <c r="K92" s="37">
        <v>45</v>
      </c>
      <c r="L92" s="26">
        <v>0.39</v>
      </c>
      <c r="M92" s="26">
        <v>2.19</v>
      </c>
      <c r="N92" s="29">
        <f t="shared" si="7"/>
        <v>1.7999999999999998</v>
      </c>
      <c r="O92" s="58" t="str">
        <f t="shared" si="8"/>
        <v>OK</v>
      </c>
    </row>
    <row r="93" spans="1:15" ht="15" x14ac:dyDescent="0.25">
      <c r="A93" s="54"/>
      <c r="B93" s="32">
        <v>2</v>
      </c>
      <c r="C93" s="32">
        <v>1129980</v>
      </c>
      <c r="D93" s="39">
        <v>45738</v>
      </c>
      <c r="E93" s="32" t="s">
        <v>15</v>
      </c>
      <c r="F93" s="32" t="str">
        <f t="shared" si="9"/>
        <v>M20</v>
      </c>
      <c r="G93" s="62" t="str">
        <f t="shared" si="9"/>
        <v>017</v>
      </c>
      <c r="H93" s="38" t="str">
        <f t="shared" si="9"/>
        <v>C1</v>
      </c>
      <c r="I93" s="38">
        <f t="shared" si="9"/>
        <v>2</v>
      </c>
      <c r="J93" s="37" t="s">
        <v>33</v>
      </c>
      <c r="K93" s="37">
        <v>46</v>
      </c>
      <c r="L93" s="26">
        <v>0.57999999999999996</v>
      </c>
      <c r="M93" s="26">
        <v>1.65</v>
      </c>
      <c r="N93" s="29">
        <f t="shared" si="7"/>
        <v>1.0699999999999998</v>
      </c>
      <c r="O93" s="58" t="str">
        <f t="shared" si="8"/>
        <v>OK</v>
      </c>
    </row>
    <row r="94" spans="1:15" ht="15" x14ac:dyDescent="0.25">
      <c r="A94" s="54"/>
      <c r="B94" s="32">
        <v>2</v>
      </c>
      <c r="C94" s="32">
        <v>1129980</v>
      </c>
      <c r="D94" s="39">
        <v>45738</v>
      </c>
      <c r="E94" s="32" t="s">
        <v>15</v>
      </c>
      <c r="F94" s="32" t="str">
        <f t="shared" si="9"/>
        <v>M20</v>
      </c>
      <c r="G94" s="62" t="str">
        <f t="shared" si="9"/>
        <v>017</v>
      </c>
      <c r="H94" s="38" t="str">
        <f t="shared" si="9"/>
        <v>C1</v>
      </c>
      <c r="I94" s="38">
        <f t="shared" si="9"/>
        <v>2</v>
      </c>
      <c r="J94" s="37" t="s">
        <v>34</v>
      </c>
      <c r="K94" s="37">
        <v>46</v>
      </c>
      <c r="L94" s="26">
        <v>0.17</v>
      </c>
      <c r="M94" s="26">
        <v>4.7699999999999996</v>
      </c>
      <c r="N94" s="29">
        <f t="shared" si="7"/>
        <v>4.5999999999999996</v>
      </c>
      <c r="O94" s="58" t="str">
        <f t="shared" si="8"/>
        <v>OK</v>
      </c>
    </row>
    <row r="95" spans="1:15" ht="15" x14ac:dyDescent="0.25">
      <c r="A95" s="54"/>
      <c r="B95" s="32">
        <v>2</v>
      </c>
      <c r="C95" s="32">
        <v>1129980</v>
      </c>
      <c r="D95" s="39">
        <v>45738</v>
      </c>
      <c r="E95" s="32" t="s">
        <v>15</v>
      </c>
      <c r="F95" s="32" t="str">
        <f t="shared" si="9"/>
        <v>M20</v>
      </c>
      <c r="G95" s="62" t="str">
        <f t="shared" si="9"/>
        <v>017</v>
      </c>
      <c r="H95" s="38" t="str">
        <f t="shared" si="9"/>
        <v>C1</v>
      </c>
      <c r="I95" s="38">
        <v>1</v>
      </c>
      <c r="J95" s="37" t="s">
        <v>35</v>
      </c>
      <c r="K95" s="37">
        <v>47</v>
      </c>
      <c r="L95" s="26">
        <v>0.36</v>
      </c>
      <c r="M95" s="26">
        <v>0.56000000000000005</v>
      </c>
      <c r="N95" s="29">
        <f t="shared" si="7"/>
        <v>0.20000000000000007</v>
      </c>
      <c r="O95" s="58" t="str">
        <f t="shared" si="8"/>
        <v>Cambio</v>
      </c>
    </row>
    <row r="96" spans="1:15" ht="15" x14ac:dyDescent="0.25">
      <c r="A96" s="54"/>
      <c r="B96" s="32">
        <v>2</v>
      </c>
      <c r="C96" s="32">
        <v>1129980</v>
      </c>
      <c r="D96" s="39">
        <v>45738</v>
      </c>
      <c r="E96" s="32" t="s">
        <v>15</v>
      </c>
      <c r="F96" s="32" t="str">
        <f t="shared" si="9"/>
        <v>M20</v>
      </c>
      <c r="G96" s="62" t="str">
        <f t="shared" si="9"/>
        <v>017</v>
      </c>
      <c r="H96" s="38" t="str">
        <f t="shared" si="9"/>
        <v>C1</v>
      </c>
      <c r="I96" s="38">
        <f t="shared" si="9"/>
        <v>1</v>
      </c>
      <c r="J96" s="37" t="s">
        <v>36</v>
      </c>
      <c r="K96" s="37">
        <v>47</v>
      </c>
      <c r="L96" s="26">
        <v>0.15</v>
      </c>
      <c r="M96" s="26">
        <v>4.87</v>
      </c>
      <c r="N96" s="29">
        <f t="shared" si="7"/>
        <v>4.72</v>
      </c>
      <c r="O96" s="58" t="str">
        <f t="shared" si="8"/>
        <v>OK</v>
      </c>
    </row>
    <row r="97" spans="1:15" ht="15" x14ac:dyDescent="0.25">
      <c r="A97" s="54"/>
      <c r="B97" s="32">
        <v>2</v>
      </c>
      <c r="C97" s="32">
        <v>1129980</v>
      </c>
      <c r="D97" s="39">
        <v>45738</v>
      </c>
      <c r="E97" s="32" t="s">
        <v>15</v>
      </c>
      <c r="F97" s="32" t="str">
        <f t="shared" si="9"/>
        <v>M20</v>
      </c>
      <c r="G97" s="62" t="str">
        <f t="shared" si="9"/>
        <v>017</v>
      </c>
      <c r="H97" s="38" t="str">
        <f t="shared" si="9"/>
        <v>C1</v>
      </c>
      <c r="I97" s="38">
        <f t="shared" si="9"/>
        <v>1</v>
      </c>
      <c r="J97" s="37" t="s">
        <v>37</v>
      </c>
      <c r="K97" s="37">
        <v>48</v>
      </c>
      <c r="L97" s="26">
        <v>1.06</v>
      </c>
      <c r="M97" s="26">
        <v>3.16</v>
      </c>
      <c r="N97" s="29">
        <f t="shared" si="7"/>
        <v>2.1</v>
      </c>
      <c r="O97" s="58" t="str">
        <f t="shared" si="8"/>
        <v>OK</v>
      </c>
    </row>
    <row r="98" spans="1:15" ht="15" x14ac:dyDescent="0.25">
      <c r="A98" s="54"/>
      <c r="B98" s="32">
        <v>2</v>
      </c>
      <c r="C98" s="32">
        <v>1129980</v>
      </c>
      <c r="D98" s="39">
        <v>45738</v>
      </c>
      <c r="E98" s="32" t="s">
        <v>15</v>
      </c>
      <c r="F98" s="32" t="str">
        <f t="shared" si="9"/>
        <v>M20</v>
      </c>
      <c r="G98" s="62" t="str">
        <f t="shared" si="9"/>
        <v>017</v>
      </c>
      <c r="H98" s="38" t="str">
        <f t="shared" si="9"/>
        <v>C1</v>
      </c>
      <c r="I98" s="38">
        <f t="shared" si="9"/>
        <v>1</v>
      </c>
      <c r="J98" s="37" t="s">
        <v>38</v>
      </c>
      <c r="K98" s="37">
        <v>48</v>
      </c>
      <c r="L98" s="26">
        <v>0.3</v>
      </c>
      <c r="M98" s="26">
        <v>4.16</v>
      </c>
      <c r="N98" s="29">
        <f t="shared" si="7"/>
        <v>3.8600000000000003</v>
      </c>
      <c r="O98" s="58" t="str">
        <f t="shared" si="8"/>
        <v>OK</v>
      </c>
    </row>
    <row r="99" spans="1:15" ht="12" customHeight="1" x14ac:dyDescent="0.25">
      <c r="A99" s="54"/>
      <c r="B99" s="32">
        <v>2</v>
      </c>
      <c r="C99" s="32">
        <v>1136746</v>
      </c>
      <c r="D99" s="39">
        <v>45804</v>
      </c>
      <c r="E99" s="32" t="s">
        <v>15</v>
      </c>
      <c r="F99" s="32" t="s">
        <v>28</v>
      </c>
      <c r="G99" s="62" t="s">
        <v>51</v>
      </c>
      <c r="H99" s="38" t="s">
        <v>30</v>
      </c>
      <c r="I99" s="38">
        <v>1</v>
      </c>
      <c r="J99" s="37" t="s">
        <v>31</v>
      </c>
      <c r="K99" s="37">
        <v>1</v>
      </c>
      <c r="L99" s="117">
        <v>0.86</v>
      </c>
      <c r="M99" s="117">
        <v>2.72</v>
      </c>
      <c r="N99" s="29">
        <f t="shared" ref="N99:N162" si="10">+M99-L99</f>
        <v>1.8600000000000003</v>
      </c>
      <c r="O99" s="58" t="str">
        <f t="shared" si="8"/>
        <v>OK</v>
      </c>
    </row>
    <row r="100" spans="1:15" ht="12" customHeight="1" x14ac:dyDescent="0.25">
      <c r="A100" s="54"/>
      <c r="B100" s="32">
        <v>2</v>
      </c>
      <c r="C100" s="32">
        <v>1136746</v>
      </c>
      <c r="D100" s="39">
        <v>45804</v>
      </c>
      <c r="E100" s="32" t="s">
        <v>15</v>
      </c>
      <c r="F100" s="32" t="str">
        <f t="shared" ref="F100:F114" si="11">F99</f>
        <v>M20</v>
      </c>
      <c r="G100" s="62" t="str">
        <f t="shared" ref="G100:G114" si="12">G99</f>
        <v>005</v>
      </c>
      <c r="H100" s="38" t="str">
        <f t="shared" ref="H100:H106" si="13">H99</f>
        <v>C1</v>
      </c>
      <c r="I100" s="38">
        <f t="shared" ref="I100:I102" si="14">I99</f>
        <v>1</v>
      </c>
      <c r="J100" s="37" t="s">
        <v>32</v>
      </c>
      <c r="K100" s="37">
        <v>1</v>
      </c>
      <c r="L100" s="117">
        <v>0.06</v>
      </c>
      <c r="M100" s="117">
        <v>0.72</v>
      </c>
      <c r="N100" s="29">
        <f t="shared" si="10"/>
        <v>0.65999999999999992</v>
      </c>
      <c r="O100" s="58" t="str">
        <f t="shared" si="8"/>
        <v>Seguimiento</v>
      </c>
    </row>
    <row r="101" spans="1:15" ht="12" customHeight="1" x14ac:dyDescent="0.25">
      <c r="A101" s="54"/>
      <c r="B101" s="32">
        <v>2</v>
      </c>
      <c r="C101" s="32">
        <v>1136746</v>
      </c>
      <c r="D101" s="39">
        <v>45804</v>
      </c>
      <c r="E101" s="32" t="s">
        <v>15</v>
      </c>
      <c r="F101" s="32" t="str">
        <f t="shared" si="11"/>
        <v>M20</v>
      </c>
      <c r="G101" s="62" t="str">
        <f t="shared" si="12"/>
        <v>005</v>
      </c>
      <c r="H101" s="38" t="str">
        <f t="shared" si="13"/>
        <v>C1</v>
      </c>
      <c r="I101" s="38">
        <f t="shared" si="14"/>
        <v>1</v>
      </c>
      <c r="J101" s="37" t="s">
        <v>33</v>
      </c>
      <c r="K101" s="37">
        <v>2</v>
      </c>
      <c r="L101" s="117">
        <v>0.21</v>
      </c>
      <c r="M101" s="117">
        <v>1.87</v>
      </c>
      <c r="N101" s="29">
        <f t="shared" si="10"/>
        <v>1.6600000000000001</v>
      </c>
      <c r="O101" s="58" t="str">
        <f t="shared" si="8"/>
        <v>OK</v>
      </c>
    </row>
    <row r="102" spans="1:15" ht="12" customHeight="1" x14ac:dyDescent="0.25">
      <c r="A102" s="54"/>
      <c r="B102" s="32">
        <v>2</v>
      </c>
      <c r="C102" s="32">
        <v>1136746</v>
      </c>
      <c r="D102" s="39">
        <v>45804</v>
      </c>
      <c r="E102" s="32" t="s">
        <v>15</v>
      </c>
      <c r="F102" s="32" t="str">
        <f t="shared" si="11"/>
        <v>M20</v>
      </c>
      <c r="G102" s="62" t="str">
        <f t="shared" si="12"/>
        <v>005</v>
      </c>
      <c r="H102" s="38" t="str">
        <f t="shared" si="13"/>
        <v>C1</v>
      </c>
      <c r="I102" s="38">
        <f t="shared" si="14"/>
        <v>1</v>
      </c>
      <c r="J102" s="37" t="s">
        <v>34</v>
      </c>
      <c r="K102" s="37">
        <v>2</v>
      </c>
      <c r="L102" s="117">
        <v>0.2</v>
      </c>
      <c r="M102" s="117">
        <v>4.8499999999999996</v>
      </c>
      <c r="N102" s="29">
        <f t="shared" si="10"/>
        <v>4.6499999999999995</v>
      </c>
      <c r="O102" s="58" t="str">
        <f t="shared" si="8"/>
        <v>OK</v>
      </c>
    </row>
    <row r="103" spans="1:15" ht="12" customHeight="1" x14ac:dyDescent="0.25">
      <c r="A103" s="54"/>
      <c r="B103" s="32">
        <v>2</v>
      </c>
      <c r="C103" s="32">
        <v>1136746</v>
      </c>
      <c r="D103" s="39">
        <v>45804</v>
      </c>
      <c r="E103" s="32" t="s">
        <v>15</v>
      </c>
      <c r="F103" s="32" t="str">
        <f t="shared" si="11"/>
        <v>M20</v>
      </c>
      <c r="G103" s="62" t="str">
        <f t="shared" si="12"/>
        <v>005</v>
      </c>
      <c r="H103" s="38" t="str">
        <f t="shared" si="13"/>
        <v>C1</v>
      </c>
      <c r="I103" s="38">
        <v>2</v>
      </c>
      <c r="J103" s="37" t="s">
        <v>35</v>
      </c>
      <c r="K103" s="37">
        <v>3</v>
      </c>
      <c r="L103" s="117">
        <v>0.3</v>
      </c>
      <c r="M103" s="117">
        <v>4.0199999999999996</v>
      </c>
      <c r="N103" s="29">
        <f t="shared" si="10"/>
        <v>3.7199999999999998</v>
      </c>
      <c r="O103" s="58" t="str">
        <f t="shared" si="8"/>
        <v>OK</v>
      </c>
    </row>
    <row r="104" spans="1:15" ht="12" customHeight="1" x14ac:dyDescent="0.25">
      <c r="A104" s="54"/>
      <c r="B104" s="32">
        <v>2</v>
      </c>
      <c r="C104" s="32">
        <v>1136746</v>
      </c>
      <c r="D104" s="39">
        <v>45804</v>
      </c>
      <c r="E104" s="32" t="s">
        <v>15</v>
      </c>
      <c r="F104" s="32" t="str">
        <f t="shared" si="11"/>
        <v>M20</v>
      </c>
      <c r="G104" s="62" t="str">
        <f t="shared" si="12"/>
        <v>005</v>
      </c>
      <c r="H104" s="38" t="str">
        <f t="shared" si="13"/>
        <v>C1</v>
      </c>
      <c r="I104" s="38">
        <f t="shared" ref="I104:I106" si="15">I103</f>
        <v>2</v>
      </c>
      <c r="J104" s="37" t="s">
        <v>36</v>
      </c>
      <c r="K104" s="37">
        <v>3</v>
      </c>
      <c r="L104" s="117">
        <v>0.46</v>
      </c>
      <c r="M104" s="117">
        <v>2.15</v>
      </c>
      <c r="N104" s="29">
        <f t="shared" si="10"/>
        <v>1.69</v>
      </c>
      <c r="O104" s="58" t="str">
        <f t="shared" si="8"/>
        <v>OK</v>
      </c>
    </row>
    <row r="105" spans="1:15" ht="12" customHeight="1" x14ac:dyDescent="0.25">
      <c r="A105" s="54"/>
      <c r="B105" s="32">
        <v>2</v>
      </c>
      <c r="C105" s="32">
        <v>1136746</v>
      </c>
      <c r="D105" s="39">
        <v>45804</v>
      </c>
      <c r="E105" s="32" t="s">
        <v>15</v>
      </c>
      <c r="F105" s="32" t="str">
        <f t="shared" si="11"/>
        <v>M20</v>
      </c>
      <c r="G105" s="62" t="str">
        <f t="shared" si="12"/>
        <v>005</v>
      </c>
      <c r="H105" s="38" t="str">
        <f>H104</f>
        <v>C1</v>
      </c>
      <c r="I105" s="38">
        <f t="shared" si="15"/>
        <v>2</v>
      </c>
      <c r="J105" s="37" t="s">
        <v>37</v>
      </c>
      <c r="K105" s="37">
        <v>4</v>
      </c>
      <c r="L105" s="117">
        <v>0.3</v>
      </c>
      <c r="M105" s="117">
        <v>2.36</v>
      </c>
      <c r="N105" s="29">
        <f t="shared" si="10"/>
        <v>2.06</v>
      </c>
      <c r="O105" s="58" t="str">
        <f t="shared" si="8"/>
        <v>OK</v>
      </c>
    </row>
    <row r="106" spans="1:15" ht="12" customHeight="1" x14ac:dyDescent="0.25">
      <c r="A106" s="54"/>
      <c r="B106" s="32">
        <v>2</v>
      </c>
      <c r="C106" s="32">
        <v>1136746</v>
      </c>
      <c r="D106" s="39">
        <v>45804</v>
      </c>
      <c r="E106" s="32" t="s">
        <v>15</v>
      </c>
      <c r="F106" s="32" t="str">
        <f t="shared" si="11"/>
        <v>M20</v>
      </c>
      <c r="G106" s="62" t="str">
        <f t="shared" si="12"/>
        <v>005</v>
      </c>
      <c r="H106" s="38" t="str">
        <f t="shared" si="13"/>
        <v>C1</v>
      </c>
      <c r="I106" s="38">
        <f t="shared" si="15"/>
        <v>2</v>
      </c>
      <c r="J106" s="37" t="s">
        <v>38</v>
      </c>
      <c r="K106" s="37">
        <v>4</v>
      </c>
      <c r="L106" s="117">
        <v>0.22</v>
      </c>
      <c r="M106" s="117">
        <v>2.85</v>
      </c>
      <c r="N106" s="29">
        <f t="shared" si="10"/>
        <v>2.63</v>
      </c>
      <c r="O106" s="58" t="str">
        <f t="shared" si="8"/>
        <v>OK</v>
      </c>
    </row>
    <row r="107" spans="1:15" ht="12" customHeight="1" x14ac:dyDescent="0.25">
      <c r="A107" s="54"/>
      <c r="B107" s="32">
        <v>2</v>
      </c>
      <c r="C107" s="32">
        <v>1136746</v>
      </c>
      <c r="D107" s="39">
        <v>45804</v>
      </c>
      <c r="E107" s="32" t="s">
        <v>15</v>
      </c>
      <c r="F107" s="32" t="str">
        <f t="shared" si="11"/>
        <v>M20</v>
      </c>
      <c r="G107" s="62" t="str">
        <f t="shared" si="12"/>
        <v>005</v>
      </c>
      <c r="H107" s="38" t="s">
        <v>39</v>
      </c>
      <c r="I107" s="38">
        <v>1</v>
      </c>
      <c r="J107" s="37" t="s">
        <v>31</v>
      </c>
      <c r="K107" s="37">
        <v>5</v>
      </c>
      <c r="L107" s="117">
        <v>0.55000000000000004</v>
      </c>
      <c r="M107" s="117">
        <v>2.94</v>
      </c>
      <c r="N107" s="29">
        <f t="shared" si="10"/>
        <v>2.3899999999999997</v>
      </c>
      <c r="O107" s="58" t="str">
        <f t="shared" si="8"/>
        <v>OK</v>
      </c>
    </row>
    <row r="108" spans="1:15" ht="12" customHeight="1" x14ac:dyDescent="0.25">
      <c r="A108" s="54"/>
      <c r="B108" s="32">
        <v>2</v>
      </c>
      <c r="C108" s="32">
        <v>1136746</v>
      </c>
      <c r="D108" s="39">
        <v>45804</v>
      </c>
      <c r="E108" s="32" t="s">
        <v>15</v>
      </c>
      <c r="F108" s="32" t="str">
        <f t="shared" si="11"/>
        <v>M20</v>
      </c>
      <c r="G108" s="62" t="str">
        <f t="shared" si="12"/>
        <v>005</v>
      </c>
      <c r="H108" s="38" t="str">
        <f t="shared" ref="H108:H114" si="16">H107</f>
        <v>C2</v>
      </c>
      <c r="I108" s="38">
        <f t="shared" ref="I108:I110" si="17">I107</f>
        <v>1</v>
      </c>
      <c r="J108" s="37" t="s">
        <v>32</v>
      </c>
      <c r="K108" s="37">
        <v>5</v>
      </c>
      <c r="L108" s="117">
        <v>0.2</v>
      </c>
      <c r="M108" s="117">
        <v>3.75</v>
      </c>
      <c r="N108" s="29">
        <f t="shared" si="10"/>
        <v>3.55</v>
      </c>
      <c r="O108" s="58" t="str">
        <f t="shared" si="8"/>
        <v>OK</v>
      </c>
    </row>
    <row r="109" spans="1:15" ht="12" customHeight="1" x14ac:dyDescent="0.25">
      <c r="A109" s="54"/>
      <c r="B109" s="32">
        <v>2</v>
      </c>
      <c r="C109" s="32">
        <v>1136746</v>
      </c>
      <c r="D109" s="39">
        <v>45804</v>
      </c>
      <c r="E109" s="32" t="s">
        <v>15</v>
      </c>
      <c r="F109" s="32" t="str">
        <f t="shared" si="11"/>
        <v>M20</v>
      </c>
      <c r="G109" s="62" t="str">
        <f t="shared" si="12"/>
        <v>005</v>
      </c>
      <c r="H109" s="38" t="str">
        <f t="shared" si="16"/>
        <v>C2</v>
      </c>
      <c r="I109" s="38">
        <f t="shared" si="17"/>
        <v>1</v>
      </c>
      <c r="J109" s="37" t="s">
        <v>33</v>
      </c>
      <c r="K109" s="37">
        <v>6</v>
      </c>
      <c r="L109" s="117">
        <v>0.05</v>
      </c>
      <c r="M109" s="117">
        <v>3.31</v>
      </c>
      <c r="N109" s="29">
        <f t="shared" si="10"/>
        <v>3.2600000000000002</v>
      </c>
      <c r="O109" s="58" t="str">
        <f t="shared" si="8"/>
        <v>OK</v>
      </c>
    </row>
    <row r="110" spans="1:15" ht="12" customHeight="1" x14ac:dyDescent="0.25">
      <c r="A110" s="54"/>
      <c r="B110" s="32">
        <v>2</v>
      </c>
      <c r="C110" s="32">
        <v>1136746</v>
      </c>
      <c r="D110" s="39">
        <v>45804</v>
      </c>
      <c r="E110" s="32" t="s">
        <v>15</v>
      </c>
      <c r="F110" s="32" t="str">
        <f t="shared" si="11"/>
        <v>M20</v>
      </c>
      <c r="G110" s="62" t="str">
        <f t="shared" si="12"/>
        <v>005</v>
      </c>
      <c r="H110" s="38" t="str">
        <f t="shared" si="16"/>
        <v>C2</v>
      </c>
      <c r="I110" s="38">
        <f t="shared" si="17"/>
        <v>1</v>
      </c>
      <c r="J110" s="37" t="s">
        <v>34</v>
      </c>
      <c r="K110" s="37">
        <v>6</v>
      </c>
      <c r="L110" s="117">
        <v>0.1</v>
      </c>
      <c r="M110" s="117">
        <v>4.8600000000000003</v>
      </c>
      <c r="N110" s="29">
        <f t="shared" si="10"/>
        <v>4.7600000000000007</v>
      </c>
      <c r="O110" s="58" t="str">
        <f t="shared" si="8"/>
        <v>OK</v>
      </c>
    </row>
    <row r="111" spans="1:15" ht="12" customHeight="1" x14ac:dyDescent="0.25">
      <c r="A111" s="54"/>
      <c r="B111" s="32">
        <v>2</v>
      </c>
      <c r="C111" s="32">
        <v>1136746</v>
      </c>
      <c r="D111" s="39">
        <v>45804</v>
      </c>
      <c r="E111" s="32" t="s">
        <v>15</v>
      </c>
      <c r="F111" s="32" t="str">
        <f t="shared" si="11"/>
        <v>M20</v>
      </c>
      <c r="G111" s="62" t="str">
        <f t="shared" si="12"/>
        <v>005</v>
      </c>
      <c r="H111" s="38" t="str">
        <f t="shared" si="16"/>
        <v>C2</v>
      </c>
      <c r="I111" s="38">
        <v>2</v>
      </c>
      <c r="J111" s="37" t="s">
        <v>35</v>
      </c>
      <c r="K111" s="37">
        <v>7</v>
      </c>
      <c r="L111" s="117">
        <v>1.06</v>
      </c>
      <c r="M111" s="117">
        <v>2.99</v>
      </c>
      <c r="N111" s="29">
        <f t="shared" si="10"/>
        <v>1.9300000000000002</v>
      </c>
      <c r="O111" s="58" t="str">
        <f t="shared" si="8"/>
        <v>OK</v>
      </c>
    </row>
    <row r="112" spans="1:15" ht="12" customHeight="1" x14ac:dyDescent="0.25">
      <c r="A112" s="54"/>
      <c r="B112" s="32">
        <v>2</v>
      </c>
      <c r="C112" s="32">
        <v>1136746</v>
      </c>
      <c r="D112" s="39">
        <v>45804</v>
      </c>
      <c r="E112" s="32" t="s">
        <v>15</v>
      </c>
      <c r="F112" s="32" t="str">
        <f t="shared" si="11"/>
        <v>M20</v>
      </c>
      <c r="G112" s="62" t="str">
        <f t="shared" si="12"/>
        <v>005</v>
      </c>
      <c r="H112" s="38" t="str">
        <f t="shared" si="16"/>
        <v>C2</v>
      </c>
      <c r="I112" s="38">
        <f t="shared" ref="I112:I114" si="18">I111</f>
        <v>2</v>
      </c>
      <c r="J112" s="37" t="s">
        <v>36</v>
      </c>
      <c r="K112" s="37">
        <v>7</v>
      </c>
      <c r="L112" s="117">
        <v>0.73</v>
      </c>
      <c r="M112" s="117">
        <v>2.5099999999999998</v>
      </c>
      <c r="N112" s="29">
        <f t="shared" si="10"/>
        <v>1.7799999999999998</v>
      </c>
      <c r="O112" s="58" t="str">
        <f t="shared" si="8"/>
        <v>OK</v>
      </c>
    </row>
    <row r="113" spans="1:15" ht="12" customHeight="1" x14ac:dyDescent="0.25">
      <c r="A113" s="54"/>
      <c r="B113" s="32">
        <v>2</v>
      </c>
      <c r="C113" s="32">
        <v>1136746</v>
      </c>
      <c r="D113" s="39">
        <v>45804</v>
      </c>
      <c r="E113" s="32" t="s">
        <v>15</v>
      </c>
      <c r="F113" s="32" t="str">
        <f t="shared" si="11"/>
        <v>M20</v>
      </c>
      <c r="G113" s="62" t="str">
        <f t="shared" si="12"/>
        <v>005</v>
      </c>
      <c r="H113" s="38" t="str">
        <f t="shared" si="16"/>
        <v>C2</v>
      </c>
      <c r="I113" s="38">
        <f t="shared" si="18"/>
        <v>2</v>
      </c>
      <c r="J113" s="37" t="s">
        <v>37</v>
      </c>
      <c r="K113" s="37">
        <v>8</v>
      </c>
      <c r="L113" s="117">
        <v>0.06</v>
      </c>
      <c r="M113" s="117">
        <v>5.0999999999999996</v>
      </c>
      <c r="N113" s="29">
        <f t="shared" si="10"/>
        <v>5.04</v>
      </c>
      <c r="O113" s="58" t="str">
        <f t="shared" si="8"/>
        <v>OK</v>
      </c>
    </row>
    <row r="114" spans="1:15" ht="12" customHeight="1" x14ac:dyDescent="0.25">
      <c r="A114" s="54"/>
      <c r="B114" s="32">
        <v>2</v>
      </c>
      <c r="C114" s="32">
        <v>1136746</v>
      </c>
      <c r="D114" s="39">
        <v>45804</v>
      </c>
      <c r="E114" s="32" t="s">
        <v>15</v>
      </c>
      <c r="F114" s="32" t="str">
        <f t="shared" si="11"/>
        <v>M20</v>
      </c>
      <c r="G114" s="62" t="str">
        <f t="shared" si="12"/>
        <v>005</v>
      </c>
      <c r="H114" s="38" t="str">
        <f t="shared" si="16"/>
        <v>C2</v>
      </c>
      <c r="I114" s="38">
        <f t="shared" si="18"/>
        <v>2</v>
      </c>
      <c r="J114" s="37" t="s">
        <v>38</v>
      </c>
      <c r="K114" s="37">
        <v>8</v>
      </c>
      <c r="L114" s="117">
        <v>0.41</v>
      </c>
      <c r="M114" s="117">
        <v>4.51</v>
      </c>
      <c r="N114" s="29">
        <f t="shared" si="10"/>
        <v>4.0999999999999996</v>
      </c>
      <c r="O114" s="58" t="str">
        <f t="shared" si="8"/>
        <v>OK</v>
      </c>
    </row>
    <row r="115" spans="1:15" ht="12" customHeight="1" x14ac:dyDescent="0.25">
      <c r="A115" s="54"/>
      <c r="B115" s="32">
        <v>2</v>
      </c>
      <c r="C115" s="32">
        <v>1136746</v>
      </c>
      <c r="D115" s="39">
        <v>45804</v>
      </c>
      <c r="E115" s="32" t="s">
        <v>15</v>
      </c>
      <c r="F115" s="32" t="s">
        <v>40</v>
      </c>
      <c r="G115" s="62" t="s">
        <v>52</v>
      </c>
      <c r="H115" s="38" t="s">
        <v>42</v>
      </c>
      <c r="I115" s="38">
        <v>1</v>
      </c>
      <c r="J115" s="37" t="s">
        <v>31</v>
      </c>
      <c r="K115" s="37">
        <v>9</v>
      </c>
      <c r="L115" s="117">
        <v>0.92</v>
      </c>
      <c r="M115" s="117">
        <v>4.17</v>
      </c>
      <c r="N115" s="29">
        <f t="shared" si="10"/>
        <v>3.25</v>
      </c>
      <c r="O115" s="58" t="str">
        <f t="shared" si="8"/>
        <v>OK</v>
      </c>
    </row>
    <row r="116" spans="1:15" ht="12" customHeight="1" x14ac:dyDescent="0.25">
      <c r="A116" s="54"/>
      <c r="B116" s="32">
        <v>2</v>
      </c>
      <c r="C116" s="32">
        <v>1136746</v>
      </c>
      <c r="D116" s="39">
        <v>45804</v>
      </c>
      <c r="E116" s="32" t="s">
        <v>15</v>
      </c>
      <c r="F116" s="32" t="str">
        <f t="shared" ref="F116:F130" si="19">F115</f>
        <v>M21</v>
      </c>
      <c r="G116" s="62" t="str">
        <f t="shared" ref="G116:G130" si="20">G115</f>
        <v>006</v>
      </c>
      <c r="H116" s="38" t="str">
        <f t="shared" ref="H116:H122" si="21">H115</f>
        <v>C3</v>
      </c>
      <c r="I116" s="38">
        <f t="shared" ref="I116:I118" si="22">I115</f>
        <v>1</v>
      </c>
      <c r="J116" s="37" t="s">
        <v>32</v>
      </c>
      <c r="K116" s="37">
        <v>9</v>
      </c>
      <c r="L116" s="117">
        <v>1.02</v>
      </c>
      <c r="M116" s="117">
        <v>3.37</v>
      </c>
      <c r="N116" s="29">
        <f t="shared" si="10"/>
        <v>2.35</v>
      </c>
      <c r="O116" s="58" t="str">
        <f t="shared" si="8"/>
        <v>OK</v>
      </c>
    </row>
    <row r="117" spans="1:15" ht="12" customHeight="1" x14ac:dyDescent="0.25">
      <c r="A117" s="54"/>
      <c r="B117" s="32">
        <v>2</v>
      </c>
      <c r="C117" s="32">
        <v>1136746</v>
      </c>
      <c r="D117" s="39">
        <v>45804</v>
      </c>
      <c r="E117" s="32" t="s">
        <v>15</v>
      </c>
      <c r="F117" s="32" t="str">
        <f t="shared" si="19"/>
        <v>M21</v>
      </c>
      <c r="G117" s="62" t="str">
        <f t="shared" si="20"/>
        <v>006</v>
      </c>
      <c r="H117" s="38" t="str">
        <f t="shared" si="21"/>
        <v>C3</v>
      </c>
      <c r="I117" s="38">
        <f t="shared" si="22"/>
        <v>1</v>
      </c>
      <c r="J117" s="37" t="s">
        <v>33</v>
      </c>
      <c r="K117" s="37">
        <v>10</v>
      </c>
      <c r="L117" s="117">
        <v>0.7</v>
      </c>
      <c r="M117" s="117">
        <v>3.92</v>
      </c>
      <c r="N117" s="29">
        <f t="shared" si="10"/>
        <v>3.2199999999999998</v>
      </c>
      <c r="O117" s="58" t="str">
        <f t="shared" si="8"/>
        <v>OK</v>
      </c>
    </row>
    <row r="118" spans="1:15" ht="12" customHeight="1" x14ac:dyDescent="0.25">
      <c r="A118" s="54"/>
      <c r="B118" s="32">
        <v>2</v>
      </c>
      <c r="C118" s="32">
        <v>1136746</v>
      </c>
      <c r="D118" s="39">
        <v>45804</v>
      </c>
      <c r="E118" s="32" t="s">
        <v>15</v>
      </c>
      <c r="F118" s="32" t="str">
        <f t="shared" si="19"/>
        <v>M21</v>
      </c>
      <c r="G118" s="62" t="str">
        <f t="shared" si="20"/>
        <v>006</v>
      </c>
      <c r="H118" s="38" t="str">
        <f t="shared" si="21"/>
        <v>C3</v>
      </c>
      <c r="I118" s="38">
        <f t="shared" si="22"/>
        <v>1</v>
      </c>
      <c r="J118" s="37" t="s">
        <v>34</v>
      </c>
      <c r="K118" s="37">
        <v>10</v>
      </c>
      <c r="L118" s="117">
        <v>0.56000000000000005</v>
      </c>
      <c r="M118" s="117">
        <v>1.58</v>
      </c>
      <c r="N118" s="29">
        <f t="shared" si="10"/>
        <v>1.02</v>
      </c>
      <c r="O118" s="58" t="str">
        <f t="shared" si="8"/>
        <v>OK</v>
      </c>
    </row>
    <row r="119" spans="1:15" ht="12" customHeight="1" x14ac:dyDescent="0.25">
      <c r="A119" s="54"/>
      <c r="B119" s="32">
        <v>2</v>
      </c>
      <c r="C119" s="32">
        <v>1136746</v>
      </c>
      <c r="D119" s="39">
        <v>45804</v>
      </c>
      <c r="E119" s="32" t="s">
        <v>15</v>
      </c>
      <c r="F119" s="32" t="str">
        <f t="shared" si="19"/>
        <v>M21</v>
      </c>
      <c r="G119" s="62" t="str">
        <f t="shared" si="20"/>
        <v>006</v>
      </c>
      <c r="H119" s="38" t="str">
        <f t="shared" si="21"/>
        <v>C3</v>
      </c>
      <c r="I119" s="38">
        <v>2</v>
      </c>
      <c r="J119" s="37" t="s">
        <v>35</v>
      </c>
      <c r="K119" s="37">
        <v>11</v>
      </c>
      <c r="L119" s="117">
        <v>0.21</v>
      </c>
      <c r="M119" s="117">
        <v>3.08</v>
      </c>
      <c r="N119" s="29">
        <f t="shared" si="10"/>
        <v>2.87</v>
      </c>
      <c r="O119" s="58" t="str">
        <f t="shared" si="8"/>
        <v>OK</v>
      </c>
    </row>
    <row r="120" spans="1:15" ht="12" customHeight="1" x14ac:dyDescent="0.25">
      <c r="A120" s="54"/>
      <c r="B120" s="32">
        <v>2</v>
      </c>
      <c r="C120" s="32">
        <v>1136746</v>
      </c>
      <c r="D120" s="39">
        <v>45804</v>
      </c>
      <c r="E120" s="32" t="s">
        <v>15</v>
      </c>
      <c r="F120" s="32" t="str">
        <f t="shared" si="19"/>
        <v>M21</v>
      </c>
      <c r="G120" s="62" t="str">
        <f t="shared" si="20"/>
        <v>006</v>
      </c>
      <c r="H120" s="38" t="str">
        <f t="shared" si="21"/>
        <v>C3</v>
      </c>
      <c r="I120" s="38">
        <f t="shared" ref="I120:I122" si="23">I119</f>
        <v>2</v>
      </c>
      <c r="J120" s="37" t="s">
        <v>36</v>
      </c>
      <c r="K120" s="37">
        <v>11</v>
      </c>
      <c r="L120" s="117">
        <v>0.13</v>
      </c>
      <c r="M120" s="117">
        <v>3.22</v>
      </c>
      <c r="N120" s="29">
        <f t="shared" si="10"/>
        <v>3.0900000000000003</v>
      </c>
      <c r="O120" s="58" t="str">
        <f t="shared" si="8"/>
        <v>OK</v>
      </c>
    </row>
    <row r="121" spans="1:15" ht="12" customHeight="1" x14ac:dyDescent="0.25">
      <c r="A121" s="54"/>
      <c r="B121" s="32">
        <v>2</v>
      </c>
      <c r="C121" s="32">
        <v>1136746</v>
      </c>
      <c r="D121" s="39">
        <v>45804</v>
      </c>
      <c r="E121" s="32" t="s">
        <v>15</v>
      </c>
      <c r="F121" s="32" t="str">
        <f t="shared" si="19"/>
        <v>M21</v>
      </c>
      <c r="G121" s="62" t="str">
        <f t="shared" si="20"/>
        <v>006</v>
      </c>
      <c r="H121" s="38" t="str">
        <f t="shared" si="21"/>
        <v>C3</v>
      </c>
      <c r="I121" s="38">
        <f t="shared" si="23"/>
        <v>2</v>
      </c>
      <c r="J121" s="37" t="s">
        <v>37</v>
      </c>
      <c r="K121" s="37">
        <v>12</v>
      </c>
      <c r="L121" s="117">
        <v>1.1499999999999999</v>
      </c>
      <c r="M121" s="117">
        <v>4.4400000000000004</v>
      </c>
      <c r="N121" s="29">
        <f t="shared" si="10"/>
        <v>3.2900000000000005</v>
      </c>
      <c r="O121" s="58" t="str">
        <f t="shared" si="8"/>
        <v>OK</v>
      </c>
    </row>
    <row r="122" spans="1:15" ht="12" customHeight="1" x14ac:dyDescent="0.25">
      <c r="A122" s="54"/>
      <c r="B122" s="32">
        <v>2</v>
      </c>
      <c r="C122" s="32">
        <v>1136746</v>
      </c>
      <c r="D122" s="39">
        <v>45804</v>
      </c>
      <c r="E122" s="32" t="s">
        <v>15</v>
      </c>
      <c r="F122" s="32" t="str">
        <f t="shared" si="19"/>
        <v>M21</v>
      </c>
      <c r="G122" s="62" t="str">
        <f t="shared" si="20"/>
        <v>006</v>
      </c>
      <c r="H122" s="38" t="str">
        <f t="shared" si="21"/>
        <v>C3</v>
      </c>
      <c r="I122" s="38">
        <f t="shared" si="23"/>
        <v>2</v>
      </c>
      <c r="J122" s="37" t="s">
        <v>38</v>
      </c>
      <c r="K122" s="37">
        <v>12</v>
      </c>
      <c r="L122" s="117">
        <v>0.89</v>
      </c>
      <c r="M122" s="117">
        <v>4.17</v>
      </c>
      <c r="N122" s="29">
        <f t="shared" si="10"/>
        <v>3.28</v>
      </c>
      <c r="O122" s="58" t="str">
        <f t="shared" si="8"/>
        <v>OK</v>
      </c>
    </row>
    <row r="123" spans="1:15" ht="12" customHeight="1" x14ac:dyDescent="0.25">
      <c r="A123" s="54"/>
      <c r="B123" s="32">
        <v>2</v>
      </c>
      <c r="C123" s="32">
        <v>1136746</v>
      </c>
      <c r="D123" s="39">
        <v>45804</v>
      </c>
      <c r="E123" s="32" t="s">
        <v>15</v>
      </c>
      <c r="F123" s="32" t="str">
        <f t="shared" si="19"/>
        <v>M21</v>
      </c>
      <c r="G123" s="62" t="str">
        <f t="shared" si="20"/>
        <v>006</v>
      </c>
      <c r="H123" s="38" t="s">
        <v>43</v>
      </c>
      <c r="I123" s="38">
        <v>1</v>
      </c>
      <c r="J123" s="37" t="s">
        <v>31</v>
      </c>
      <c r="K123" s="37">
        <v>13</v>
      </c>
      <c r="L123" s="117">
        <v>0.1</v>
      </c>
      <c r="M123" s="117">
        <v>4.91</v>
      </c>
      <c r="N123" s="29">
        <f t="shared" si="10"/>
        <v>4.8100000000000005</v>
      </c>
      <c r="O123" s="58" t="str">
        <f t="shared" si="8"/>
        <v>OK</v>
      </c>
    </row>
    <row r="124" spans="1:15" ht="12" customHeight="1" x14ac:dyDescent="0.25">
      <c r="A124" s="54"/>
      <c r="B124" s="32">
        <v>2</v>
      </c>
      <c r="C124" s="32">
        <v>1136746</v>
      </c>
      <c r="D124" s="39">
        <v>45804</v>
      </c>
      <c r="E124" s="32" t="s">
        <v>15</v>
      </c>
      <c r="F124" s="32" t="str">
        <f t="shared" si="19"/>
        <v>M21</v>
      </c>
      <c r="G124" s="62" t="str">
        <f t="shared" si="20"/>
        <v>006</v>
      </c>
      <c r="H124" s="38" t="str">
        <f t="shared" ref="H124:H130" si="24">H123</f>
        <v>C4</v>
      </c>
      <c r="I124" s="38">
        <f t="shared" ref="I124:I126" si="25">I123</f>
        <v>1</v>
      </c>
      <c r="J124" s="37" t="s">
        <v>32</v>
      </c>
      <c r="K124" s="37">
        <v>13</v>
      </c>
      <c r="L124" s="117">
        <v>0.63</v>
      </c>
      <c r="M124" s="117">
        <v>3.09</v>
      </c>
      <c r="N124" s="29">
        <f t="shared" si="10"/>
        <v>2.46</v>
      </c>
      <c r="O124" s="58" t="str">
        <f t="shared" si="8"/>
        <v>OK</v>
      </c>
    </row>
    <row r="125" spans="1:15" ht="12" customHeight="1" x14ac:dyDescent="0.25">
      <c r="A125" s="54"/>
      <c r="B125" s="32">
        <v>2</v>
      </c>
      <c r="C125" s="32">
        <v>1136746</v>
      </c>
      <c r="D125" s="39">
        <v>45804</v>
      </c>
      <c r="E125" s="32" t="s">
        <v>15</v>
      </c>
      <c r="F125" s="32" t="str">
        <f t="shared" si="19"/>
        <v>M21</v>
      </c>
      <c r="G125" s="62" t="str">
        <f t="shared" si="20"/>
        <v>006</v>
      </c>
      <c r="H125" s="38" t="str">
        <f t="shared" si="24"/>
        <v>C4</v>
      </c>
      <c r="I125" s="38">
        <f t="shared" si="25"/>
        <v>1</v>
      </c>
      <c r="J125" s="37" t="s">
        <v>33</v>
      </c>
      <c r="K125" s="37">
        <v>14</v>
      </c>
      <c r="L125" s="117">
        <v>1.1299999999999999</v>
      </c>
      <c r="M125" s="117">
        <v>4.3899999999999997</v>
      </c>
      <c r="N125" s="29">
        <f t="shared" si="10"/>
        <v>3.26</v>
      </c>
      <c r="O125" s="58" t="str">
        <f t="shared" si="8"/>
        <v>OK</v>
      </c>
    </row>
    <row r="126" spans="1:15" ht="12" customHeight="1" x14ac:dyDescent="0.25">
      <c r="A126" s="54"/>
      <c r="B126" s="32">
        <v>2</v>
      </c>
      <c r="C126" s="32">
        <v>1136746</v>
      </c>
      <c r="D126" s="39">
        <v>45804</v>
      </c>
      <c r="E126" s="32" t="s">
        <v>15</v>
      </c>
      <c r="F126" s="32" t="str">
        <f t="shared" si="19"/>
        <v>M21</v>
      </c>
      <c r="G126" s="62" t="str">
        <f t="shared" si="20"/>
        <v>006</v>
      </c>
      <c r="H126" s="38" t="str">
        <f t="shared" si="24"/>
        <v>C4</v>
      </c>
      <c r="I126" s="38">
        <f t="shared" si="25"/>
        <v>1</v>
      </c>
      <c r="J126" s="37" t="s">
        <v>34</v>
      </c>
      <c r="K126" s="37">
        <v>14</v>
      </c>
      <c r="L126" s="117">
        <v>7.0000000000000007E-2</v>
      </c>
      <c r="M126" s="117">
        <v>4.5199999999999996</v>
      </c>
      <c r="N126" s="29">
        <f t="shared" si="10"/>
        <v>4.4499999999999993</v>
      </c>
      <c r="O126" s="58" t="str">
        <f t="shared" si="8"/>
        <v>OK</v>
      </c>
    </row>
    <row r="127" spans="1:15" ht="12" customHeight="1" x14ac:dyDescent="0.25">
      <c r="A127" s="54"/>
      <c r="B127" s="32">
        <v>2</v>
      </c>
      <c r="C127" s="32">
        <v>1136746</v>
      </c>
      <c r="D127" s="39">
        <v>45804</v>
      </c>
      <c r="E127" s="32" t="s">
        <v>15</v>
      </c>
      <c r="F127" s="32" t="str">
        <f t="shared" si="19"/>
        <v>M21</v>
      </c>
      <c r="G127" s="62" t="str">
        <f t="shared" si="20"/>
        <v>006</v>
      </c>
      <c r="H127" s="38" t="str">
        <f t="shared" si="24"/>
        <v>C4</v>
      </c>
      <c r="I127" s="38">
        <v>2</v>
      </c>
      <c r="J127" s="37" t="s">
        <v>35</v>
      </c>
      <c r="K127" s="37">
        <v>15</v>
      </c>
      <c r="L127" s="117">
        <v>0.04</v>
      </c>
      <c r="M127" s="117">
        <v>4.95</v>
      </c>
      <c r="N127" s="29">
        <f t="shared" si="10"/>
        <v>4.91</v>
      </c>
      <c r="O127" s="58" t="str">
        <f t="shared" si="8"/>
        <v>OK</v>
      </c>
    </row>
    <row r="128" spans="1:15" ht="12" customHeight="1" x14ac:dyDescent="0.25">
      <c r="A128" s="54"/>
      <c r="B128" s="32">
        <v>2</v>
      </c>
      <c r="C128" s="32">
        <v>1136746</v>
      </c>
      <c r="D128" s="39">
        <v>45804</v>
      </c>
      <c r="E128" s="32" t="s">
        <v>15</v>
      </c>
      <c r="F128" s="32" t="str">
        <f t="shared" si="19"/>
        <v>M21</v>
      </c>
      <c r="G128" s="62" t="str">
        <f t="shared" si="20"/>
        <v>006</v>
      </c>
      <c r="H128" s="38" t="str">
        <f t="shared" si="24"/>
        <v>C4</v>
      </c>
      <c r="I128" s="38">
        <f t="shared" ref="I128:I130" si="26">I127</f>
        <v>2</v>
      </c>
      <c r="J128" s="37" t="s">
        <v>36</v>
      </c>
      <c r="K128" s="37">
        <v>15</v>
      </c>
      <c r="L128" s="117">
        <v>1.35</v>
      </c>
      <c r="M128" s="117">
        <v>4.5199999999999996</v>
      </c>
      <c r="N128" s="29">
        <f t="shared" si="10"/>
        <v>3.1699999999999995</v>
      </c>
      <c r="O128" s="58" t="str">
        <f t="shared" si="8"/>
        <v>OK</v>
      </c>
    </row>
    <row r="129" spans="1:15" ht="12" customHeight="1" x14ac:dyDescent="0.25">
      <c r="A129" s="54"/>
      <c r="B129" s="32">
        <v>2</v>
      </c>
      <c r="C129" s="32">
        <v>1136746</v>
      </c>
      <c r="D129" s="39">
        <v>45804</v>
      </c>
      <c r="E129" s="32" t="s">
        <v>15</v>
      </c>
      <c r="F129" s="32" t="str">
        <f t="shared" si="19"/>
        <v>M21</v>
      </c>
      <c r="G129" s="62" t="str">
        <f t="shared" si="20"/>
        <v>006</v>
      </c>
      <c r="H129" s="38" t="str">
        <f t="shared" si="24"/>
        <v>C4</v>
      </c>
      <c r="I129" s="38">
        <f t="shared" si="26"/>
        <v>2</v>
      </c>
      <c r="J129" s="37" t="s">
        <v>37</v>
      </c>
      <c r="K129" s="37">
        <v>16</v>
      </c>
      <c r="L129" s="117">
        <v>0.82</v>
      </c>
      <c r="M129" s="117">
        <v>3.76</v>
      </c>
      <c r="N129" s="29">
        <f t="shared" si="10"/>
        <v>2.94</v>
      </c>
      <c r="O129" s="58" t="str">
        <f t="shared" si="8"/>
        <v>OK</v>
      </c>
    </row>
    <row r="130" spans="1:15" ht="12" customHeight="1" x14ac:dyDescent="0.25">
      <c r="A130" s="54"/>
      <c r="B130" s="32">
        <v>2</v>
      </c>
      <c r="C130" s="32">
        <v>1136746</v>
      </c>
      <c r="D130" s="39">
        <v>45804</v>
      </c>
      <c r="E130" s="32" t="s">
        <v>15</v>
      </c>
      <c r="F130" s="32" t="str">
        <f t="shared" si="19"/>
        <v>M21</v>
      </c>
      <c r="G130" s="62" t="str">
        <f t="shared" si="20"/>
        <v>006</v>
      </c>
      <c r="H130" s="38" t="str">
        <f t="shared" si="24"/>
        <v>C4</v>
      </c>
      <c r="I130" s="38">
        <f t="shared" si="26"/>
        <v>2</v>
      </c>
      <c r="J130" s="37" t="s">
        <v>38</v>
      </c>
      <c r="K130" s="37">
        <v>16</v>
      </c>
      <c r="L130" s="117">
        <v>0.32</v>
      </c>
      <c r="M130" s="117">
        <v>1.94</v>
      </c>
      <c r="N130" s="29">
        <f t="shared" si="10"/>
        <v>1.6199999999999999</v>
      </c>
      <c r="O130" s="58" t="str">
        <f t="shared" si="8"/>
        <v>OK</v>
      </c>
    </row>
    <row r="131" spans="1:15" ht="12" customHeight="1" x14ac:dyDescent="0.25">
      <c r="A131" s="54"/>
      <c r="B131" s="32">
        <v>2</v>
      </c>
      <c r="C131" s="32">
        <v>1136746</v>
      </c>
      <c r="D131" s="39">
        <v>45804</v>
      </c>
      <c r="E131" s="32" t="s">
        <v>15</v>
      </c>
      <c r="F131" s="32" t="s">
        <v>44</v>
      </c>
      <c r="G131" s="62" t="s">
        <v>53</v>
      </c>
      <c r="H131" s="38" t="s">
        <v>46</v>
      </c>
      <c r="I131" s="38">
        <v>1</v>
      </c>
      <c r="J131" s="37" t="s">
        <v>31</v>
      </c>
      <c r="K131" s="37">
        <v>17</v>
      </c>
      <c r="L131" s="117">
        <v>0.49</v>
      </c>
      <c r="M131" s="117">
        <v>1.4</v>
      </c>
      <c r="N131" s="29">
        <f t="shared" si="10"/>
        <v>0.90999999999999992</v>
      </c>
      <c r="O131" s="58" t="str">
        <f t="shared" si="8"/>
        <v>Seguimiento</v>
      </c>
    </row>
    <row r="132" spans="1:15" ht="12" customHeight="1" x14ac:dyDescent="0.25">
      <c r="A132" s="54"/>
      <c r="B132" s="32">
        <v>2</v>
      </c>
      <c r="C132" s="32">
        <v>1136746</v>
      </c>
      <c r="D132" s="39">
        <v>45804</v>
      </c>
      <c r="E132" s="32" t="s">
        <v>15</v>
      </c>
      <c r="F132" s="32" t="str">
        <f t="shared" ref="F132:F146" si="27">F131</f>
        <v>M22</v>
      </c>
      <c r="G132" s="62" t="str">
        <f t="shared" ref="G132:G146" si="28">G131</f>
        <v>303</v>
      </c>
      <c r="H132" s="38" t="str">
        <f t="shared" ref="H132:H138" si="29">H131</f>
        <v>C5</v>
      </c>
      <c r="I132" s="38">
        <f t="shared" ref="I132:I134" si="30">I131</f>
        <v>1</v>
      </c>
      <c r="J132" s="37" t="s">
        <v>32</v>
      </c>
      <c r="K132" s="37">
        <v>17</v>
      </c>
      <c r="L132" s="117">
        <v>1.29</v>
      </c>
      <c r="M132" s="117">
        <v>1.48</v>
      </c>
      <c r="N132" s="29">
        <f t="shared" si="10"/>
        <v>0.18999999999999995</v>
      </c>
      <c r="O132" s="58" t="str">
        <f t="shared" ref="O132:O195" si="31">IF(N132&lt;=0,"Critico",IF(N132&lt;=0.2,"Cambio",IF(N132&lt;=1,"Seguimiento",IF(L132&gt;=1.6,"Reperfilado","OK"))))</f>
        <v>Cambio</v>
      </c>
    </row>
    <row r="133" spans="1:15" ht="12" customHeight="1" x14ac:dyDescent="0.25">
      <c r="A133" s="54"/>
      <c r="B133" s="32">
        <v>2</v>
      </c>
      <c r="C133" s="32">
        <v>1136746</v>
      </c>
      <c r="D133" s="39">
        <v>45804</v>
      </c>
      <c r="E133" s="32" t="s">
        <v>15</v>
      </c>
      <c r="F133" s="32" t="str">
        <f t="shared" si="27"/>
        <v>M22</v>
      </c>
      <c r="G133" s="62" t="str">
        <f t="shared" si="28"/>
        <v>303</v>
      </c>
      <c r="H133" s="38" t="str">
        <f t="shared" si="29"/>
        <v>C5</v>
      </c>
      <c r="I133" s="38">
        <f t="shared" si="30"/>
        <v>1</v>
      </c>
      <c r="J133" s="37" t="s">
        <v>33</v>
      </c>
      <c r="K133" s="37">
        <v>18</v>
      </c>
      <c r="L133" s="117">
        <v>1.37</v>
      </c>
      <c r="M133" s="117">
        <v>4.66</v>
      </c>
      <c r="N133" s="29">
        <f t="shared" si="10"/>
        <v>3.29</v>
      </c>
      <c r="O133" s="58" t="str">
        <f t="shared" si="31"/>
        <v>OK</v>
      </c>
    </row>
    <row r="134" spans="1:15" ht="12" customHeight="1" x14ac:dyDescent="0.25">
      <c r="A134" s="54"/>
      <c r="B134" s="32">
        <v>2</v>
      </c>
      <c r="C134" s="32">
        <v>1136746</v>
      </c>
      <c r="D134" s="39">
        <v>45804</v>
      </c>
      <c r="E134" s="32" t="s">
        <v>15</v>
      </c>
      <c r="F134" s="32" t="str">
        <f t="shared" si="27"/>
        <v>M22</v>
      </c>
      <c r="G134" s="62" t="str">
        <f t="shared" si="28"/>
        <v>303</v>
      </c>
      <c r="H134" s="38" t="str">
        <f t="shared" si="29"/>
        <v>C5</v>
      </c>
      <c r="I134" s="38">
        <f t="shared" si="30"/>
        <v>1</v>
      </c>
      <c r="J134" s="37" t="s">
        <v>34</v>
      </c>
      <c r="K134" s="37">
        <v>18</v>
      </c>
      <c r="L134" s="117">
        <v>0.59</v>
      </c>
      <c r="M134" s="117">
        <v>4.28</v>
      </c>
      <c r="N134" s="29">
        <f t="shared" si="10"/>
        <v>3.6900000000000004</v>
      </c>
      <c r="O134" s="58" t="str">
        <f t="shared" si="31"/>
        <v>OK</v>
      </c>
    </row>
    <row r="135" spans="1:15" ht="12" customHeight="1" x14ac:dyDescent="0.25">
      <c r="A135" s="54"/>
      <c r="B135" s="32">
        <v>2</v>
      </c>
      <c r="C135" s="32">
        <v>1136746</v>
      </c>
      <c r="D135" s="39">
        <v>45804</v>
      </c>
      <c r="E135" s="32" t="s">
        <v>15</v>
      </c>
      <c r="F135" s="32" t="str">
        <f t="shared" si="27"/>
        <v>M22</v>
      </c>
      <c r="G135" s="62" t="str">
        <f t="shared" si="28"/>
        <v>303</v>
      </c>
      <c r="H135" s="38" t="str">
        <f t="shared" si="29"/>
        <v>C5</v>
      </c>
      <c r="I135" s="38">
        <v>2</v>
      </c>
      <c r="J135" s="37" t="s">
        <v>35</v>
      </c>
      <c r="K135" s="37">
        <v>19</v>
      </c>
      <c r="L135" s="117">
        <v>0.62</v>
      </c>
      <c r="M135" s="117">
        <v>4.4800000000000004</v>
      </c>
      <c r="N135" s="29">
        <f t="shared" si="10"/>
        <v>3.8600000000000003</v>
      </c>
      <c r="O135" s="58" t="str">
        <f t="shared" si="31"/>
        <v>OK</v>
      </c>
    </row>
    <row r="136" spans="1:15" ht="12" customHeight="1" x14ac:dyDescent="0.25">
      <c r="A136" s="54"/>
      <c r="B136" s="32">
        <v>2</v>
      </c>
      <c r="C136" s="32">
        <v>1136746</v>
      </c>
      <c r="D136" s="39">
        <v>45804</v>
      </c>
      <c r="E136" s="32" t="s">
        <v>15</v>
      </c>
      <c r="F136" s="32" t="str">
        <f t="shared" si="27"/>
        <v>M22</v>
      </c>
      <c r="G136" s="62" t="str">
        <f t="shared" si="28"/>
        <v>303</v>
      </c>
      <c r="H136" s="38" t="str">
        <f t="shared" si="29"/>
        <v>C5</v>
      </c>
      <c r="I136" s="38">
        <f t="shared" ref="I136:I138" si="32">I135</f>
        <v>2</v>
      </c>
      <c r="J136" s="37" t="s">
        <v>36</v>
      </c>
      <c r="K136" s="37">
        <v>19</v>
      </c>
      <c r="L136" s="117">
        <v>1</v>
      </c>
      <c r="M136" s="117">
        <v>4.5999999999999996</v>
      </c>
      <c r="N136" s="29">
        <f t="shared" si="10"/>
        <v>3.5999999999999996</v>
      </c>
      <c r="O136" s="58" t="str">
        <f t="shared" si="31"/>
        <v>OK</v>
      </c>
    </row>
    <row r="137" spans="1:15" ht="12" customHeight="1" x14ac:dyDescent="0.25">
      <c r="A137" s="54"/>
      <c r="B137" s="32">
        <v>2</v>
      </c>
      <c r="C137" s="32">
        <v>1136746</v>
      </c>
      <c r="D137" s="39">
        <v>45804</v>
      </c>
      <c r="E137" s="32" t="s">
        <v>15</v>
      </c>
      <c r="F137" s="32" t="str">
        <f t="shared" si="27"/>
        <v>M22</v>
      </c>
      <c r="G137" s="62" t="str">
        <f t="shared" si="28"/>
        <v>303</v>
      </c>
      <c r="H137" s="38" t="str">
        <f t="shared" si="29"/>
        <v>C5</v>
      </c>
      <c r="I137" s="38">
        <f t="shared" si="32"/>
        <v>2</v>
      </c>
      <c r="J137" s="37" t="s">
        <v>37</v>
      </c>
      <c r="K137" s="37">
        <v>20</v>
      </c>
      <c r="L137" s="117">
        <v>1.61</v>
      </c>
      <c r="M137" s="117">
        <v>4.71</v>
      </c>
      <c r="N137" s="29">
        <f t="shared" si="10"/>
        <v>3.0999999999999996</v>
      </c>
      <c r="O137" s="58" t="str">
        <f t="shared" si="31"/>
        <v>Reperfilado</v>
      </c>
    </row>
    <row r="138" spans="1:15" ht="12" customHeight="1" x14ac:dyDescent="0.25">
      <c r="A138" s="54"/>
      <c r="B138" s="32">
        <v>2</v>
      </c>
      <c r="C138" s="32">
        <v>1136746</v>
      </c>
      <c r="D138" s="39">
        <v>45804</v>
      </c>
      <c r="E138" s="32" t="s">
        <v>15</v>
      </c>
      <c r="F138" s="32" t="str">
        <f t="shared" si="27"/>
        <v>M22</v>
      </c>
      <c r="G138" s="62" t="str">
        <f t="shared" si="28"/>
        <v>303</v>
      </c>
      <c r="H138" s="38" t="str">
        <f t="shared" si="29"/>
        <v>C5</v>
      </c>
      <c r="I138" s="38">
        <f t="shared" si="32"/>
        <v>2</v>
      </c>
      <c r="J138" s="37" t="s">
        <v>38</v>
      </c>
      <c r="K138" s="37">
        <v>20</v>
      </c>
      <c r="L138" s="117">
        <v>0.88</v>
      </c>
      <c r="M138" s="117">
        <v>4.5999999999999996</v>
      </c>
      <c r="N138" s="29">
        <f t="shared" si="10"/>
        <v>3.7199999999999998</v>
      </c>
      <c r="O138" s="58" t="str">
        <f t="shared" si="31"/>
        <v>OK</v>
      </c>
    </row>
    <row r="139" spans="1:15" ht="12" customHeight="1" x14ac:dyDescent="0.25">
      <c r="A139" s="54"/>
      <c r="B139" s="32">
        <v>2</v>
      </c>
      <c r="C139" s="32">
        <v>1136746</v>
      </c>
      <c r="D139" s="39">
        <v>45804</v>
      </c>
      <c r="E139" s="32" t="s">
        <v>15</v>
      </c>
      <c r="F139" s="32" t="str">
        <f t="shared" si="27"/>
        <v>M22</v>
      </c>
      <c r="G139" s="62" t="str">
        <f t="shared" si="28"/>
        <v>303</v>
      </c>
      <c r="H139" s="38" t="s">
        <v>47</v>
      </c>
      <c r="I139" s="38">
        <v>1</v>
      </c>
      <c r="J139" s="37" t="s">
        <v>31</v>
      </c>
      <c r="K139" s="37">
        <v>21</v>
      </c>
      <c r="L139" s="117">
        <v>1.08</v>
      </c>
      <c r="M139" s="117">
        <v>4.78</v>
      </c>
      <c r="N139" s="29">
        <f t="shared" si="10"/>
        <v>3.7</v>
      </c>
      <c r="O139" s="58" t="str">
        <f t="shared" si="31"/>
        <v>OK</v>
      </c>
    </row>
    <row r="140" spans="1:15" ht="12" customHeight="1" x14ac:dyDescent="0.25">
      <c r="A140" s="54"/>
      <c r="B140" s="32">
        <v>2</v>
      </c>
      <c r="C140" s="32">
        <v>1136746</v>
      </c>
      <c r="D140" s="39">
        <v>45804</v>
      </c>
      <c r="E140" s="32" t="s">
        <v>15</v>
      </c>
      <c r="F140" s="32" t="str">
        <f t="shared" si="27"/>
        <v>M22</v>
      </c>
      <c r="G140" s="62" t="str">
        <f t="shared" si="28"/>
        <v>303</v>
      </c>
      <c r="H140" s="38" t="str">
        <f t="shared" ref="H140:H146" si="33">H139</f>
        <v>C6</v>
      </c>
      <c r="I140" s="38">
        <f t="shared" ref="I140:I142" si="34">I139</f>
        <v>1</v>
      </c>
      <c r="J140" s="37" t="s">
        <v>32</v>
      </c>
      <c r="K140" s="37">
        <v>21</v>
      </c>
      <c r="L140" s="117">
        <v>0.74</v>
      </c>
      <c r="M140" s="117">
        <v>4.6900000000000004</v>
      </c>
      <c r="N140" s="29">
        <f t="shared" si="10"/>
        <v>3.95</v>
      </c>
      <c r="O140" s="58" t="str">
        <f t="shared" si="31"/>
        <v>OK</v>
      </c>
    </row>
    <row r="141" spans="1:15" ht="12" customHeight="1" x14ac:dyDescent="0.25">
      <c r="A141" s="54"/>
      <c r="B141" s="32">
        <v>2</v>
      </c>
      <c r="C141" s="32">
        <v>1136746</v>
      </c>
      <c r="D141" s="39">
        <v>45804</v>
      </c>
      <c r="E141" s="32" t="s">
        <v>15</v>
      </c>
      <c r="F141" s="32" t="str">
        <f t="shared" si="27"/>
        <v>M22</v>
      </c>
      <c r="G141" s="62" t="str">
        <f t="shared" si="28"/>
        <v>303</v>
      </c>
      <c r="H141" s="38" t="str">
        <f t="shared" si="33"/>
        <v>C6</v>
      </c>
      <c r="I141" s="38">
        <f t="shared" si="34"/>
        <v>1</v>
      </c>
      <c r="J141" s="37" t="s">
        <v>33</v>
      </c>
      <c r="K141" s="37">
        <v>22</v>
      </c>
      <c r="L141" s="117">
        <v>1.21</v>
      </c>
      <c r="M141" s="117">
        <v>4.42</v>
      </c>
      <c r="N141" s="29">
        <f t="shared" si="10"/>
        <v>3.21</v>
      </c>
      <c r="O141" s="58" t="str">
        <f t="shared" si="31"/>
        <v>OK</v>
      </c>
    </row>
    <row r="142" spans="1:15" ht="12" customHeight="1" x14ac:dyDescent="0.25">
      <c r="A142" s="54"/>
      <c r="B142" s="32">
        <v>2</v>
      </c>
      <c r="C142" s="32">
        <v>1136746</v>
      </c>
      <c r="D142" s="39">
        <v>45804</v>
      </c>
      <c r="E142" s="32" t="s">
        <v>15</v>
      </c>
      <c r="F142" s="32" t="str">
        <f t="shared" si="27"/>
        <v>M22</v>
      </c>
      <c r="G142" s="62" t="str">
        <f t="shared" si="28"/>
        <v>303</v>
      </c>
      <c r="H142" s="38" t="str">
        <f t="shared" si="33"/>
        <v>C6</v>
      </c>
      <c r="I142" s="38">
        <f t="shared" si="34"/>
        <v>1</v>
      </c>
      <c r="J142" s="37" t="s">
        <v>34</v>
      </c>
      <c r="K142" s="37">
        <v>22</v>
      </c>
      <c r="L142" s="117">
        <v>1.01</v>
      </c>
      <c r="M142" s="117">
        <v>4.26</v>
      </c>
      <c r="N142" s="29">
        <f t="shared" si="10"/>
        <v>3.25</v>
      </c>
      <c r="O142" s="58" t="str">
        <f t="shared" si="31"/>
        <v>OK</v>
      </c>
    </row>
    <row r="143" spans="1:15" ht="12" customHeight="1" x14ac:dyDescent="0.25">
      <c r="A143" s="54"/>
      <c r="B143" s="32">
        <v>2</v>
      </c>
      <c r="C143" s="32">
        <v>1136746</v>
      </c>
      <c r="D143" s="39">
        <v>45804</v>
      </c>
      <c r="E143" s="32" t="s">
        <v>15</v>
      </c>
      <c r="F143" s="32" t="str">
        <f t="shared" si="27"/>
        <v>M22</v>
      </c>
      <c r="G143" s="62" t="str">
        <f t="shared" si="28"/>
        <v>303</v>
      </c>
      <c r="H143" s="38" t="str">
        <f t="shared" si="33"/>
        <v>C6</v>
      </c>
      <c r="I143" s="38">
        <v>2</v>
      </c>
      <c r="J143" s="37" t="s">
        <v>35</v>
      </c>
      <c r="K143" s="37">
        <v>23</v>
      </c>
      <c r="L143" s="117">
        <v>0.27</v>
      </c>
      <c r="M143" s="117">
        <v>4.7300000000000004</v>
      </c>
      <c r="N143" s="29">
        <f t="shared" si="10"/>
        <v>4.4600000000000009</v>
      </c>
      <c r="O143" s="58" t="str">
        <f t="shared" si="31"/>
        <v>OK</v>
      </c>
    </row>
    <row r="144" spans="1:15" ht="12" customHeight="1" x14ac:dyDescent="0.25">
      <c r="A144" s="54"/>
      <c r="B144" s="32">
        <v>2</v>
      </c>
      <c r="C144" s="32">
        <v>1136746</v>
      </c>
      <c r="D144" s="39">
        <v>45804</v>
      </c>
      <c r="E144" s="32" t="s">
        <v>15</v>
      </c>
      <c r="F144" s="32" t="str">
        <f t="shared" si="27"/>
        <v>M22</v>
      </c>
      <c r="G144" s="62" t="str">
        <f t="shared" si="28"/>
        <v>303</v>
      </c>
      <c r="H144" s="38" t="str">
        <f t="shared" si="33"/>
        <v>C6</v>
      </c>
      <c r="I144" s="38">
        <f t="shared" ref="I144:I146" si="35">I143</f>
        <v>2</v>
      </c>
      <c r="J144" s="37" t="s">
        <v>36</v>
      </c>
      <c r="K144" s="37">
        <v>23</v>
      </c>
      <c r="L144" s="117">
        <v>0.93</v>
      </c>
      <c r="M144" s="117">
        <v>4.6399999999999997</v>
      </c>
      <c r="N144" s="29">
        <f t="shared" si="10"/>
        <v>3.7099999999999995</v>
      </c>
      <c r="O144" s="58" t="str">
        <f t="shared" si="31"/>
        <v>OK</v>
      </c>
    </row>
    <row r="145" spans="1:15" ht="12" customHeight="1" x14ac:dyDescent="0.25">
      <c r="A145" s="54"/>
      <c r="B145" s="32">
        <v>2</v>
      </c>
      <c r="C145" s="32">
        <v>1136746</v>
      </c>
      <c r="D145" s="39">
        <v>45804</v>
      </c>
      <c r="E145" s="32" t="s">
        <v>15</v>
      </c>
      <c r="F145" s="32" t="str">
        <f t="shared" si="27"/>
        <v>M22</v>
      </c>
      <c r="G145" s="62" t="str">
        <f t="shared" si="28"/>
        <v>303</v>
      </c>
      <c r="H145" s="38" t="str">
        <f t="shared" si="33"/>
        <v>C6</v>
      </c>
      <c r="I145" s="38">
        <f t="shared" si="35"/>
        <v>2</v>
      </c>
      <c r="J145" s="37" t="s">
        <v>37</v>
      </c>
      <c r="K145" s="37">
        <v>24</v>
      </c>
      <c r="L145" s="117">
        <v>1.63</v>
      </c>
      <c r="M145" s="117">
        <v>4.6500000000000004</v>
      </c>
      <c r="N145" s="29">
        <f t="shared" si="10"/>
        <v>3.0200000000000005</v>
      </c>
      <c r="O145" s="58" t="str">
        <f t="shared" si="31"/>
        <v>Reperfilado</v>
      </c>
    </row>
    <row r="146" spans="1:15" ht="12" customHeight="1" x14ac:dyDescent="0.25">
      <c r="A146" s="54"/>
      <c r="B146" s="32">
        <v>2</v>
      </c>
      <c r="C146" s="32">
        <v>1136746</v>
      </c>
      <c r="D146" s="39">
        <v>45804</v>
      </c>
      <c r="E146" s="32" t="s">
        <v>15</v>
      </c>
      <c r="F146" s="32" t="str">
        <f t="shared" si="27"/>
        <v>M22</v>
      </c>
      <c r="G146" s="62" t="str">
        <f t="shared" si="28"/>
        <v>303</v>
      </c>
      <c r="H146" s="38" t="str">
        <f t="shared" si="33"/>
        <v>C6</v>
      </c>
      <c r="I146" s="38">
        <f t="shared" si="35"/>
        <v>2</v>
      </c>
      <c r="J146" s="37" t="s">
        <v>38</v>
      </c>
      <c r="K146" s="37">
        <v>24</v>
      </c>
      <c r="L146" s="117">
        <v>1.27</v>
      </c>
      <c r="M146" s="117">
        <v>3.88</v>
      </c>
      <c r="N146" s="29">
        <f t="shared" si="10"/>
        <v>2.61</v>
      </c>
      <c r="O146" s="58" t="str">
        <f t="shared" si="31"/>
        <v>OK</v>
      </c>
    </row>
    <row r="147" spans="1:15" ht="12" customHeight="1" x14ac:dyDescent="0.25">
      <c r="A147" s="54"/>
      <c r="B147" s="32">
        <v>2</v>
      </c>
      <c r="C147" s="32">
        <v>1136746</v>
      </c>
      <c r="D147" s="39">
        <v>45804</v>
      </c>
      <c r="E147" s="32" t="s">
        <v>15</v>
      </c>
      <c r="F147" s="32" t="s">
        <v>44</v>
      </c>
      <c r="G147" s="62" t="s">
        <v>54</v>
      </c>
      <c r="H147" s="38" t="s">
        <v>47</v>
      </c>
      <c r="I147" s="38">
        <v>2</v>
      </c>
      <c r="J147" s="37" t="s">
        <v>31</v>
      </c>
      <c r="K147" s="37">
        <v>25</v>
      </c>
      <c r="L147" s="117">
        <v>1</v>
      </c>
      <c r="M147" s="117">
        <v>4.47</v>
      </c>
      <c r="N147" s="29">
        <f t="shared" si="10"/>
        <v>3.4699999999999998</v>
      </c>
      <c r="O147" s="58" t="str">
        <f t="shared" si="31"/>
        <v>OK</v>
      </c>
    </row>
    <row r="148" spans="1:15" ht="12" customHeight="1" x14ac:dyDescent="0.25">
      <c r="A148" s="54"/>
      <c r="B148" s="32">
        <v>2</v>
      </c>
      <c r="C148" s="32">
        <v>1136746</v>
      </c>
      <c r="D148" s="39">
        <v>45804</v>
      </c>
      <c r="E148" s="32" t="s">
        <v>15</v>
      </c>
      <c r="F148" s="32" t="str">
        <f t="shared" ref="F148:F162" si="36">F147</f>
        <v>M22</v>
      </c>
      <c r="G148" s="62" t="str">
        <f t="shared" ref="G148:G162" si="37">G147</f>
        <v>305</v>
      </c>
      <c r="H148" s="38" t="str">
        <f t="shared" ref="H148:H154" si="38">H147</f>
        <v>C6</v>
      </c>
      <c r="I148" s="38">
        <f t="shared" ref="I148:I150" si="39">I147</f>
        <v>2</v>
      </c>
      <c r="J148" s="37" t="s">
        <v>32</v>
      </c>
      <c r="K148" s="37">
        <v>25</v>
      </c>
      <c r="L148" s="117">
        <v>1.23</v>
      </c>
      <c r="M148" s="117">
        <v>4.25</v>
      </c>
      <c r="N148" s="29">
        <f t="shared" si="10"/>
        <v>3.02</v>
      </c>
      <c r="O148" s="58" t="str">
        <f t="shared" si="31"/>
        <v>OK</v>
      </c>
    </row>
    <row r="149" spans="1:15" ht="12" customHeight="1" x14ac:dyDescent="0.25">
      <c r="A149" s="54"/>
      <c r="B149" s="32">
        <v>2</v>
      </c>
      <c r="C149" s="32">
        <v>1136746</v>
      </c>
      <c r="D149" s="39">
        <v>45804</v>
      </c>
      <c r="E149" s="32" t="s">
        <v>15</v>
      </c>
      <c r="F149" s="32" t="str">
        <f t="shared" si="36"/>
        <v>M22</v>
      </c>
      <c r="G149" s="62" t="str">
        <f t="shared" si="37"/>
        <v>305</v>
      </c>
      <c r="H149" s="38" t="str">
        <f t="shared" si="38"/>
        <v>C6</v>
      </c>
      <c r="I149" s="38">
        <f t="shared" si="39"/>
        <v>2</v>
      </c>
      <c r="J149" s="37" t="s">
        <v>33</v>
      </c>
      <c r="K149" s="37">
        <v>26</v>
      </c>
      <c r="L149" s="117">
        <v>1.58</v>
      </c>
      <c r="M149" s="117">
        <v>2.62</v>
      </c>
      <c r="N149" s="29">
        <f t="shared" si="10"/>
        <v>1.04</v>
      </c>
      <c r="O149" s="58" t="str">
        <f t="shared" si="31"/>
        <v>OK</v>
      </c>
    </row>
    <row r="150" spans="1:15" ht="12" customHeight="1" x14ac:dyDescent="0.25">
      <c r="A150" s="54"/>
      <c r="B150" s="32">
        <v>2</v>
      </c>
      <c r="C150" s="32">
        <v>1136746</v>
      </c>
      <c r="D150" s="39">
        <v>45804</v>
      </c>
      <c r="E150" s="32" t="s">
        <v>15</v>
      </c>
      <c r="F150" s="32" t="str">
        <f t="shared" si="36"/>
        <v>M22</v>
      </c>
      <c r="G150" s="62" t="str">
        <f t="shared" si="37"/>
        <v>305</v>
      </c>
      <c r="H150" s="38" t="str">
        <f t="shared" si="38"/>
        <v>C6</v>
      </c>
      <c r="I150" s="38">
        <f t="shared" si="39"/>
        <v>2</v>
      </c>
      <c r="J150" s="37" t="s">
        <v>34</v>
      </c>
      <c r="K150" s="37">
        <v>26</v>
      </c>
      <c r="L150" s="117">
        <v>0.59</v>
      </c>
      <c r="M150" s="117">
        <v>1.58</v>
      </c>
      <c r="N150" s="29">
        <f t="shared" si="10"/>
        <v>0.9900000000000001</v>
      </c>
      <c r="O150" s="58" t="str">
        <f t="shared" si="31"/>
        <v>Seguimiento</v>
      </c>
    </row>
    <row r="151" spans="1:15" ht="12" customHeight="1" x14ac:dyDescent="0.25">
      <c r="A151" s="54"/>
      <c r="B151" s="32">
        <v>2</v>
      </c>
      <c r="C151" s="32">
        <v>1136746</v>
      </c>
      <c r="D151" s="39">
        <v>45804</v>
      </c>
      <c r="E151" s="32" t="s">
        <v>15</v>
      </c>
      <c r="F151" s="32" t="str">
        <f t="shared" si="36"/>
        <v>M22</v>
      </c>
      <c r="G151" s="62" t="str">
        <f t="shared" si="37"/>
        <v>305</v>
      </c>
      <c r="H151" s="38" t="str">
        <f t="shared" si="38"/>
        <v>C6</v>
      </c>
      <c r="I151" s="38">
        <v>1</v>
      </c>
      <c r="J151" s="37" t="s">
        <v>35</v>
      </c>
      <c r="K151" s="37">
        <v>27</v>
      </c>
      <c r="L151" s="117">
        <v>0.38</v>
      </c>
      <c r="M151" s="117">
        <v>4.46</v>
      </c>
      <c r="N151" s="29">
        <f t="shared" si="10"/>
        <v>4.08</v>
      </c>
      <c r="O151" s="58" t="str">
        <f t="shared" si="31"/>
        <v>OK</v>
      </c>
    </row>
    <row r="152" spans="1:15" ht="12" customHeight="1" x14ac:dyDescent="0.25">
      <c r="A152" s="54"/>
      <c r="B152" s="32">
        <v>2</v>
      </c>
      <c r="C152" s="32">
        <v>1136746</v>
      </c>
      <c r="D152" s="39">
        <v>45804</v>
      </c>
      <c r="E152" s="32" t="s">
        <v>15</v>
      </c>
      <c r="F152" s="32" t="str">
        <f t="shared" si="36"/>
        <v>M22</v>
      </c>
      <c r="G152" s="62" t="str">
        <f t="shared" si="37"/>
        <v>305</v>
      </c>
      <c r="H152" s="38" t="str">
        <f t="shared" si="38"/>
        <v>C6</v>
      </c>
      <c r="I152" s="38">
        <f t="shared" ref="I152:I154" si="40">I151</f>
        <v>1</v>
      </c>
      <c r="J152" s="37" t="s">
        <v>36</v>
      </c>
      <c r="K152" s="37">
        <v>27</v>
      </c>
      <c r="L152" s="117">
        <v>0.41</v>
      </c>
      <c r="M152" s="117">
        <v>2.61</v>
      </c>
      <c r="N152" s="29">
        <f t="shared" si="10"/>
        <v>2.1999999999999997</v>
      </c>
      <c r="O152" s="58" t="str">
        <f t="shared" si="31"/>
        <v>OK</v>
      </c>
    </row>
    <row r="153" spans="1:15" ht="12" customHeight="1" x14ac:dyDescent="0.25">
      <c r="A153" s="54"/>
      <c r="B153" s="32">
        <v>2</v>
      </c>
      <c r="C153" s="32">
        <v>1136746</v>
      </c>
      <c r="D153" s="39">
        <v>45804</v>
      </c>
      <c r="E153" s="32" t="s">
        <v>15</v>
      </c>
      <c r="F153" s="32" t="str">
        <f t="shared" si="36"/>
        <v>M22</v>
      </c>
      <c r="G153" s="62" t="str">
        <f t="shared" si="37"/>
        <v>305</v>
      </c>
      <c r="H153" s="38" t="str">
        <f t="shared" si="38"/>
        <v>C6</v>
      </c>
      <c r="I153" s="38">
        <f t="shared" si="40"/>
        <v>1</v>
      </c>
      <c r="J153" s="37" t="s">
        <v>37</v>
      </c>
      <c r="K153" s="37">
        <v>28</v>
      </c>
      <c r="L153" s="117">
        <v>1.28</v>
      </c>
      <c r="M153" s="117">
        <v>2.35</v>
      </c>
      <c r="N153" s="29">
        <f t="shared" si="10"/>
        <v>1.07</v>
      </c>
      <c r="O153" s="58" t="str">
        <f t="shared" si="31"/>
        <v>OK</v>
      </c>
    </row>
    <row r="154" spans="1:15" ht="12" customHeight="1" x14ac:dyDescent="0.25">
      <c r="A154" s="54"/>
      <c r="B154" s="32">
        <v>2</v>
      </c>
      <c r="C154" s="32">
        <v>1136746</v>
      </c>
      <c r="D154" s="39">
        <v>45804</v>
      </c>
      <c r="E154" s="32" t="s">
        <v>15</v>
      </c>
      <c r="F154" s="32" t="str">
        <f t="shared" si="36"/>
        <v>M22</v>
      </c>
      <c r="G154" s="62" t="str">
        <f t="shared" si="37"/>
        <v>305</v>
      </c>
      <c r="H154" s="38" t="str">
        <f t="shared" si="38"/>
        <v>C6</v>
      </c>
      <c r="I154" s="38">
        <f t="shared" si="40"/>
        <v>1</v>
      </c>
      <c r="J154" s="37" t="s">
        <v>38</v>
      </c>
      <c r="K154" s="37">
        <v>28</v>
      </c>
      <c r="L154" s="117">
        <v>0.66</v>
      </c>
      <c r="M154" s="117">
        <v>1.64</v>
      </c>
      <c r="N154" s="29">
        <f t="shared" si="10"/>
        <v>0.97999999999999987</v>
      </c>
      <c r="O154" s="58" t="str">
        <f t="shared" si="31"/>
        <v>Seguimiento</v>
      </c>
    </row>
    <row r="155" spans="1:15" ht="12" customHeight="1" x14ac:dyDescent="0.25">
      <c r="A155" s="54"/>
      <c r="B155" s="32">
        <v>2</v>
      </c>
      <c r="C155" s="32">
        <v>1136746</v>
      </c>
      <c r="D155" s="39">
        <v>45804</v>
      </c>
      <c r="E155" s="32" t="s">
        <v>15</v>
      </c>
      <c r="F155" s="32" t="str">
        <f t="shared" si="36"/>
        <v>M22</v>
      </c>
      <c r="G155" s="62" t="str">
        <f t="shared" si="37"/>
        <v>305</v>
      </c>
      <c r="H155" s="38" t="s">
        <v>46</v>
      </c>
      <c r="I155" s="38">
        <v>2</v>
      </c>
      <c r="J155" s="37" t="s">
        <v>31</v>
      </c>
      <c r="K155" s="37">
        <v>29</v>
      </c>
      <c r="L155" s="117">
        <v>0.49</v>
      </c>
      <c r="M155" s="117">
        <v>4.4000000000000004</v>
      </c>
      <c r="N155" s="29">
        <f t="shared" si="10"/>
        <v>3.91</v>
      </c>
      <c r="O155" s="58" t="str">
        <f t="shared" si="31"/>
        <v>OK</v>
      </c>
    </row>
    <row r="156" spans="1:15" ht="12" customHeight="1" x14ac:dyDescent="0.25">
      <c r="A156" s="54"/>
      <c r="B156" s="32">
        <v>2</v>
      </c>
      <c r="C156" s="32">
        <v>1136746</v>
      </c>
      <c r="D156" s="39">
        <v>45804</v>
      </c>
      <c r="E156" s="32" t="s">
        <v>15</v>
      </c>
      <c r="F156" s="32" t="str">
        <f t="shared" si="36"/>
        <v>M22</v>
      </c>
      <c r="G156" s="62" t="str">
        <f t="shared" si="37"/>
        <v>305</v>
      </c>
      <c r="H156" s="38" t="str">
        <f t="shared" ref="H156:H162" si="41">H155</f>
        <v>C5</v>
      </c>
      <c r="I156" s="38">
        <f t="shared" ref="I156:I158" si="42">I155</f>
        <v>2</v>
      </c>
      <c r="J156" s="37" t="s">
        <v>32</v>
      </c>
      <c r="K156" s="37">
        <v>29</v>
      </c>
      <c r="L156" s="117">
        <v>1.22</v>
      </c>
      <c r="M156" s="117">
        <v>4.1900000000000004</v>
      </c>
      <c r="N156" s="29">
        <f t="shared" si="10"/>
        <v>2.9700000000000006</v>
      </c>
      <c r="O156" s="58" t="str">
        <f t="shared" si="31"/>
        <v>OK</v>
      </c>
    </row>
    <row r="157" spans="1:15" ht="12" customHeight="1" x14ac:dyDescent="0.25">
      <c r="A157" s="54"/>
      <c r="B157" s="32">
        <v>2</v>
      </c>
      <c r="C157" s="32">
        <v>1136746</v>
      </c>
      <c r="D157" s="39">
        <v>45804</v>
      </c>
      <c r="E157" s="32" t="s">
        <v>15</v>
      </c>
      <c r="F157" s="32" t="str">
        <f t="shared" si="36"/>
        <v>M22</v>
      </c>
      <c r="G157" s="62" t="str">
        <f t="shared" si="37"/>
        <v>305</v>
      </c>
      <c r="H157" s="38" t="str">
        <f t="shared" si="41"/>
        <v>C5</v>
      </c>
      <c r="I157" s="38">
        <f t="shared" si="42"/>
        <v>2</v>
      </c>
      <c r="J157" s="37" t="s">
        <v>33</v>
      </c>
      <c r="K157" s="37">
        <v>30</v>
      </c>
      <c r="L157" s="117">
        <v>0.84</v>
      </c>
      <c r="M157" s="117">
        <v>4.66</v>
      </c>
      <c r="N157" s="29">
        <f t="shared" si="10"/>
        <v>3.8200000000000003</v>
      </c>
      <c r="O157" s="58" t="str">
        <f t="shared" si="31"/>
        <v>OK</v>
      </c>
    </row>
    <row r="158" spans="1:15" ht="12" customHeight="1" x14ac:dyDescent="0.25">
      <c r="A158" s="54"/>
      <c r="B158" s="32">
        <v>2</v>
      </c>
      <c r="C158" s="32">
        <v>1136746</v>
      </c>
      <c r="D158" s="39">
        <v>45804</v>
      </c>
      <c r="E158" s="32" t="s">
        <v>15</v>
      </c>
      <c r="F158" s="32" t="str">
        <f t="shared" si="36"/>
        <v>M22</v>
      </c>
      <c r="G158" s="62" t="str">
        <f t="shared" si="37"/>
        <v>305</v>
      </c>
      <c r="H158" s="38" t="str">
        <f t="shared" si="41"/>
        <v>C5</v>
      </c>
      <c r="I158" s="38">
        <f t="shared" si="42"/>
        <v>2</v>
      </c>
      <c r="J158" s="37" t="s">
        <v>34</v>
      </c>
      <c r="K158" s="37">
        <v>30</v>
      </c>
      <c r="L158" s="117">
        <v>0.32</v>
      </c>
      <c r="M158" s="117">
        <v>2.61</v>
      </c>
      <c r="N158" s="29">
        <f t="shared" si="10"/>
        <v>2.29</v>
      </c>
      <c r="O158" s="58" t="str">
        <f t="shared" si="31"/>
        <v>OK</v>
      </c>
    </row>
    <row r="159" spans="1:15" ht="12" customHeight="1" x14ac:dyDescent="0.25">
      <c r="A159" s="54"/>
      <c r="B159" s="32">
        <v>2</v>
      </c>
      <c r="C159" s="32">
        <v>1136746</v>
      </c>
      <c r="D159" s="39">
        <v>45804</v>
      </c>
      <c r="E159" s="32" t="s">
        <v>15</v>
      </c>
      <c r="F159" s="32" t="str">
        <f t="shared" si="36"/>
        <v>M22</v>
      </c>
      <c r="G159" s="62" t="str">
        <f t="shared" si="37"/>
        <v>305</v>
      </c>
      <c r="H159" s="38" t="str">
        <f t="shared" si="41"/>
        <v>C5</v>
      </c>
      <c r="I159" s="38">
        <v>1</v>
      </c>
      <c r="J159" s="37" t="s">
        <v>35</v>
      </c>
      <c r="K159" s="37">
        <v>31</v>
      </c>
      <c r="L159" s="117">
        <v>0.99</v>
      </c>
      <c r="M159" s="117">
        <v>4.4800000000000004</v>
      </c>
      <c r="N159" s="29">
        <f t="shared" si="10"/>
        <v>3.49</v>
      </c>
      <c r="O159" s="58" t="str">
        <f t="shared" si="31"/>
        <v>OK</v>
      </c>
    </row>
    <row r="160" spans="1:15" ht="12" customHeight="1" x14ac:dyDescent="0.25">
      <c r="A160" s="54"/>
      <c r="B160" s="32">
        <v>2</v>
      </c>
      <c r="C160" s="32">
        <v>1136746</v>
      </c>
      <c r="D160" s="39">
        <v>45804</v>
      </c>
      <c r="E160" s="32" t="s">
        <v>15</v>
      </c>
      <c r="F160" s="32" t="str">
        <f t="shared" si="36"/>
        <v>M22</v>
      </c>
      <c r="G160" s="62" t="str">
        <f t="shared" si="37"/>
        <v>305</v>
      </c>
      <c r="H160" s="38" t="str">
        <f t="shared" si="41"/>
        <v>C5</v>
      </c>
      <c r="I160" s="38">
        <f t="shared" ref="I160:I162" si="43">I159</f>
        <v>1</v>
      </c>
      <c r="J160" s="37" t="s">
        <v>36</v>
      </c>
      <c r="K160" s="37">
        <v>31</v>
      </c>
      <c r="L160" s="117">
        <v>0.31</v>
      </c>
      <c r="M160" s="117">
        <v>2.41</v>
      </c>
      <c r="N160" s="29">
        <f t="shared" si="10"/>
        <v>2.1</v>
      </c>
      <c r="O160" s="58" t="str">
        <f t="shared" si="31"/>
        <v>OK</v>
      </c>
    </row>
    <row r="161" spans="1:15" ht="12" customHeight="1" x14ac:dyDescent="0.25">
      <c r="A161" s="54"/>
      <c r="B161" s="32">
        <v>2</v>
      </c>
      <c r="C161" s="32">
        <v>1136746</v>
      </c>
      <c r="D161" s="39">
        <v>45804</v>
      </c>
      <c r="E161" s="32" t="s">
        <v>15</v>
      </c>
      <c r="F161" s="32" t="str">
        <f t="shared" si="36"/>
        <v>M22</v>
      </c>
      <c r="G161" s="62" t="str">
        <f t="shared" si="37"/>
        <v>305</v>
      </c>
      <c r="H161" s="38" t="str">
        <f t="shared" si="41"/>
        <v>C5</v>
      </c>
      <c r="I161" s="38">
        <f t="shared" si="43"/>
        <v>1</v>
      </c>
      <c r="J161" s="37" t="s">
        <v>37</v>
      </c>
      <c r="K161" s="37">
        <v>32</v>
      </c>
      <c r="L161" s="117">
        <v>0.45</v>
      </c>
      <c r="M161" s="117">
        <v>4.58</v>
      </c>
      <c r="N161" s="29">
        <f t="shared" si="10"/>
        <v>4.13</v>
      </c>
      <c r="O161" s="58" t="str">
        <f t="shared" si="31"/>
        <v>OK</v>
      </c>
    </row>
    <row r="162" spans="1:15" ht="12" customHeight="1" x14ac:dyDescent="0.25">
      <c r="A162" s="54"/>
      <c r="B162" s="32">
        <v>2</v>
      </c>
      <c r="C162" s="32">
        <v>1136746</v>
      </c>
      <c r="D162" s="39">
        <v>45804</v>
      </c>
      <c r="E162" s="32" t="s">
        <v>15</v>
      </c>
      <c r="F162" s="32" t="str">
        <f t="shared" si="36"/>
        <v>M22</v>
      </c>
      <c r="G162" s="62" t="str">
        <f t="shared" si="37"/>
        <v>305</v>
      </c>
      <c r="H162" s="38" t="str">
        <f t="shared" si="41"/>
        <v>C5</v>
      </c>
      <c r="I162" s="38">
        <f t="shared" si="43"/>
        <v>1</v>
      </c>
      <c r="J162" s="37" t="s">
        <v>38</v>
      </c>
      <c r="K162" s="37">
        <v>32</v>
      </c>
      <c r="L162" s="117">
        <v>1.31</v>
      </c>
      <c r="M162" s="117">
        <v>4.16</v>
      </c>
      <c r="N162" s="29">
        <f t="shared" si="10"/>
        <v>2.85</v>
      </c>
      <c r="O162" s="58" t="str">
        <f t="shared" si="31"/>
        <v>OK</v>
      </c>
    </row>
    <row r="163" spans="1:15" ht="12" customHeight="1" x14ac:dyDescent="0.25">
      <c r="A163" s="54"/>
      <c r="B163" s="32">
        <v>2</v>
      </c>
      <c r="C163" s="32">
        <v>1136746</v>
      </c>
      <c r="D163" s="39">
        <v>45804</v>
      </c>
      <c r="E163" s="32" t="s">
        <v>15</v>
      </c>
      <c r="F163" s="32" t="s">
        <v>40</v>
      </c>
      <c r="G163" s="62" t="s">
        <v>55</v>
      </c>
      <c r="H163" s="38" t="s">
        <v>43</v>
      </c>
      <c r="I163" s="38">
        <v>2</v>
      </c>
      <c r="J163" s="37" t="s">
        <v>31</v>
      </c>
      <c r="K163" s="37">
        <v>33</v>
      </c>
      <c r="L163" s="117">
        <v>0.15</v>
      </c>
      <c r="M163" s="117">
        <v>2.2400000000000002</v>
      </c>
      <c r="N163" s="29">
        <f t="shared" ref="N163:N194" si="44">+M163-L163</f>
        <v>2.0900000000000003</v>
      </c>
      <c r="O163" s="58" t="str">
        <f t="shared" si="31"/>
        <v>OK</v>
      </c>
    </row>
    <row r="164" spans="1:15" ht="12" customHeight="1" x14ac:dyDescent="0.25">
      <c r="A164" s="54"/>
      <c r="B164" s="32">
        <v>2</v>
      </c>
      <c r="C164" s="32">
        <v>1136746</v>
      </c>
      <c r="D164" s="39">
        <v>45804</v>
      </c>
      <c r="E164" s="32" t="s">
        <v>15</v>
      </c>
      <c r="F164" s="32" t="str">
        <f t="shared" ref="F164:F178" si="45">F163</f>
        <v>M21</v>
      </c>
      <c r="G164" s="62" t="str">
        <f t="shared" ref="G164:G178" si="46">G163</f>
        <v>018</v>
      </c>
      <c r="H164" s="38" t="str">
        <f t="shared" ref="H164:H170" si="47">H163</f>
        <v>C4</v>
      </c>
      <c r="I164" s="38">
        <f t="shared" ref="I164:I166" si="48">I163</f>
        <v>2</v>
      </c>
      <c r="J164" s="37" t="s">
        <v>32</v>
      </c>
      <c r="K164" s="37">
        <v>33</v>
      </c>
      <c r="L164" s="117">
        <v>0.1</v>
      </c>
      <c r="M164" s="117">
        <v>1.88</v>
      </c>
      <c r="N164" s="29">
        <f t="shared" si="44"/>
        <v>1.7799999999999998</v>
      </c>
      <c r="O164" s="58" t="str">
        <f t="shared" si="31"/>
        <v>OK</v>
      </c>
    </row>
    <row r="165" spans="1:15" ht="12" customHeight="1" x14ac:dyDescent="0.25">
      <c r="A165" s="54"/>
      <c r="B165" s="32">
        <v>2</v>
      </c>
      <c r="C165" s="32">
        <v>1136746</v>
      </c>
      <c r="D165" s="39">
        <v>45804</v>
      </c>
      <c r="E165" s="32" t="s">
        <v>15</v>
      </c>
      <c r="F165" s="32" t="str">
        <f t="shared" si="45"/>
        <v>M21</v>
      </c>
      <c r="G165" s="62" t="str">
        <f t="shared" si="46"/>
        <v>018</v>
      </c>
      <c r="H165" s="38" t="str">
        <f t="shared" si="47"/>
        <v>C4</v>
      </c>
      <c r="I165" s="38">
        <f t="shared" si="48"/>
        <v>2</v>
      </c>
      <c r="J165" s="37" t="s">
        <v>33</v>
      </c>
      <c r="K165" s="37">
        <v>34</v>
      </c>
      <c r="L165" s="117">
        <v>0.45</v>
      </c>
      <c r="M165" s="117">
        <v>2.8</v>
      </c>
      <c r="N165" s="29">
        <f t="shared" si="44"/>
        <v>2.3499999999999996</v>
      </c>
      <c r="O165" s="58" t="str">
        <f t="shared" si="31"/>
        <v>OK</v>
      </c>
    </row>
    <row r="166" spans="1:15" ht="12" customHeight="1" x14ac:dyDescent="0.25">
      <c r="A166" s="54"/>
      <c r="B166" s="32">
        <v>2</v>
      </c>
      <c r="C166" s="32">
        <v>1136746</v>
      </c>
      <c r="D166" s="39">
        <v>45804</v>
      </c>
      <c r="E166" s="32" t="s">
        <v>15</v>
      </c>
      <c r="F166" s="32" t="str">
        <f t="shared" si="45"/>
        <v>M21</v>
      </c>
      <c r="G166" s="62" t="str">
        <f t="shared" si="46"/>
        <v>018</v>
      </c>
      <c r="H166" s="38" t="str">
        <f t="shared" si="47"/>
        <v>C4</v>
      </c>
      <c r="I166" s="38">
        <f t="shared" si="48"/>
        <v>2</v>
      </c>
      <c r="J166" s="37" t="s">
        <v>34</v>
      </c>
      <c r="K166" s="37">
        <v>34</v>
      </c>
      <c r="L166" s="117">
        <v>0.32</v>
      </c>
      <c r="M166" s="117">
        <v>2.73</v>
      </c>
      <c r="N166" s="29">
        <f t="shared" si="44"/>
        <v>2.41</v>
      </c>
      <c r="O166" s="58" t="str">
        <f t="shared" si="31"/>
        <v>OK</v>
      </c>
    </row>
    <row r="167" spans="1:15" ht="12" customHeight="1" x14ac:dyDescent="0.25">
      <c r="A167" s="54"/>
      <c r="B167" s="32">
        <v>2</v>
      </c>
      <c r="C167" s="32">
        <v>1136746</v>
      </c>
      <c r="D167" s="39">
        <v>45804</v>
      </c>
      <c r="E167" s="32" t="s">
        <v>15</v>
      </c>
      <c r="F167" s="32" t="str">
        <f t="shared" si="45"/>
        <v>M21</v>
      </c>
      <c r="G167" s="62" t="str">
        <f t="shared" si="46"/>
        <v>018</v>
      </c>
      <c r="H167" s="38" t="str">
        <f t="shared" si="47"/>
        <v>C4</v>
      </c>
      <c r="I167" s="38">
        <v>1</v>
      </c>
      <c r="J167" s="37" t="s">
        <v>35</v>
      </c>
      <c r="K167" s="37">
        <v>35</v>
      </c>
      <c r="L167" s="117">
        <v>0.36</v>
      </c>
      <c r="M167" s="117">
        <v>1.7</v>
      </c>
      <c r="N167" s="29">
        <f t="shared" si="44"/>
        <v>1.3399999999999999</v>
      </c>
      <c r="O167" s="58" t="str">
        <f t="shared" si="31"/>
        <v>OK</v>
      </c>
    </row>
    <row r="168" spans="1:15" ht="12" customHeight="1" x14ac:dyDescent="0.25">
      <c r="A168" s="54"/>
      <c r="B168" s="32">
        <v>2</v>
      </c>
      <c r="C168" s="32">
        <v>1136746</v>
      </c>
      <c r="D168" s="39">
        <v>45804</v>
      </c>
      <c r="E168" s="32" t="s">
        <v>15</v>
      </c>
      <c r="F168" s="32" t="str">
        <f t="shared" si="45"/>
        <v>M21</v>
      </c>
      <c r="G168" s="62" t="str">
        <f t="shared" si="46"/>
        <v>018</v>
      </c>
      <c r="H168" s="38" t="str">
        <f t="shared" si="47"/>
        <v>C4</v>
      </c>
      <c r="I168" s="38">
        <f t="shared" ref="I168:I170" si="49">I167</f>
        <v>1</v>
      </c>
      <c r="J168" s="37" t="s">
        <v>36</v>
      </c>
      <c r="K168" s="37">
        <v>35</v>
      </c>
      <c r="L168" s="117">
        <v>0.97</v>
      </c>
      <c r="M168" s="117">
        <v>3.8</v>
      </c>
      <c r="N168" s="29">
        <f t="shared" si="44"/>
        <v>2.83</v>
      </c>
      <c r="O168" s="58" t="str">
        <f t="shared" si="31"/>
        <v>OK</v>
      </c>
    </row>
    <row r="169" spans="1:15" ht="12" customHeight="1" x14ac:dyDescent="0.25">
      <c r="A169" s="54"/>
      <c r="B169" s="32">
        <v>2</v>
      </c>
      <c r="C169" s="32">
        <v>1136746</v>
      </c>
      <c r="D169" s="39">
        <v>45804</v>
      </c>
      <c r="E169" s="32" t="s">
        <v>15</v>
      </c>
      <c r="F169" s="32" t="str">
        <f t="shared" si="45"/>
        <v>M21</v>
      </c>
      <c r="G169" s="62" t="str">
        <f t="shared" si="46"/>
        <v>018</v>
      </c>
      <c r="H169" s="38" t="str">
        <f t="shared" si="47"/>
        <v>C4</v>
      </c>
      <c r="I169" s="38">
        <f t="shared" si="49"/>
        <v>1</v>
      </c>
      <c r="J169" s="37" t="s">
        <v>37</v>
      </c>
      <c r="K169" s="37">
        <v>36</v>
      </c>
      <c r="L169" s="117">
        <v>0.54</v>
      </c>
      <c r="M169" s="117">
        <v>4.43</v>
      </c>
      <c r="N169" s="29">
        <f t="shared" si="44"/>
        <v>3.8899999999999997</v>
      </c>
      <c r="O169" s="58" t="str">
        <f t="shared" si="31"/>
        <v>OK</v>
      </c>
    </row>
    <row r="170" spans="1:15" ht="12" customHeight="1" x14ac:dyDescent="0.25">
      <c r="A170" s="54"/>
      <c r="B170" s="32">
        <v>2</v>
      </c>
      <c r="C170" s="32">
        <v>1136746</v>
      </c>
      <c r="D170" s="39">
        <v>45804</v>
      </c>
      <c r="E170" s="32" t="s">
        <v>15</v>
      </c>
      <c r="F170" s="32" t="str">
        <f t="shared" si="45"/>
        <v>M21</v>
      </c>
      <c r="G170" s="62" t="str">
        <f t="shared" si="46"/>
        <v>018</v>
      </c>
      <c r="H170" s="38" t="str">
        <f t="shared" si="47"/>
        <v>C4</v>
      </c>
      <c r="I170" s="38">
        <f t="shared" si="49"/>
        <v>1</v>
      </c>
      <c r="J170" s="37" t="s">
        <v>38</v>
      </c>
      <c r="K170" s="37">
        <v>36</v>
      </c>
      <c r="L170" s="117">
        <v>0.15</v>
      </c>
      <c r="M170" s="117">
        <v>2.79</v>
      </c>
      <c r="N170" s="29">
        <f t="shared" si="44"/>
        <v>2.64</v>
      </c>
      <c r="O170" s="58" t="str">
        <f t="shared" si="31"/>
        <v>OK</v>
      </c>
    </row>
    <row r="171" spans="1:15" ht="12" customHeight="1" x14ac:dyDescent="0.25">
      <c r="A171" s="54"/>
      <c r="B171" s="32">
        <v>2</v>
      </c>
      <c r="C171" s="32">
        <v>1136746</v>
      </c>
      <c r="D171" s="39">
        <v>45804</v>
      </c>
      <c r="E171" s="32" t="s">
        <v>15</v>
      </c>
      <c r="F171" s="32" t="str">
        <f t="shared" si="45"/>
        <v>M21</v>
      </c>
      <c r="G171" s="62" t="str">
        <f t="shared" si="46"/>
        <v>018</v>
      </c>
      <c r="H171" s="38" t="s">
        <v>42</v>
      </c>
      <c r="I171" s="38">
        <v>2</v>
      </c>
      <c r="J171" s="37" t="s">
        <v>31</v>
      </c>
      <c r="K171" s="37">
        <v>37</v>
      </c>
      <c r="L171" s="117">
        <v>0.12</v>
      </c>
      <c r="M171" s="117">
        <v>4.5</v>
      </c>
      <c r="N171" s="29">
        <f t="shared" si="44"/>
        <v>4.38</v>
      </c>
      <c r="O171" s="58" t="str">
        <f t="shared" si="31"/>
        <v>OK</v>
      </c>
    </row>
    <row r="172" spans="1:15" ht="12" customHeight="1" x14ac:dyDescent="0.25">
      <c r="A172" s="54"/>
      <c r="B172" s="32">
        <v>2</v>
      </c>
      <c r="C172" s="32">
        <v>1136746</v>
      </c>
      <c r="D172" s="39">
        <v>45804</v>
      </c>
      <c r="E172" s="32" t="s">
        <v>15</v>
      </c>
      <c r="F172" s="32" t="str">
        <f t="shared" si="45"/>
        <v>M21</v>
      </c>
      <c r="G172" s="62" t="str">
        <f t="shared" si="46"/>
        <v>018</v>
      </c>
      <c r="H172" s="38" t="str">
        <f t="shared" ref="H172:H178" si="50">H171</f>
        <v>C3</v>
      </c>
      <c r="I172" s="38">
        <f t="shared" ref="I172:I174" si="51">I171</f>
        <v>2</v>
      </c>
      <c r="J172" s="37" t="s">
        <v>32</v>
      </c>
      <c r="K172" s="37">
        <v>37</v>
      </c>
      <c r="L172" s="117">
        <v>0.09</v>
      </c>
      <c r="M172" s="117">
        <v>4.76</v>
      </c>
      <c r="N172" s="29">
        <f t="shared" si="44"/>
        <v>4.67</v>
      </c>
      <c r="O172" s="58" t="str">
        <f t="shared" si="31"/>
        <v>OK</v>
      </c>
    </row>
    <row r="173" spans="1:15" ht="12" customHeight="1" x14ac:dyDescent="0.25">
      <c r="A173" s="54"/>
      <c r="B173" s="32">
        <v>2</v>
      </c>
      <c r="C173" s="32">
        <v>1136746</v>
      </c>
      <c r="D173" s="39">
        <v>45804</v>
      </c>
      <c r="E173" s="32" t="s">
        <v>15</v>
      </c>
      <c r="F173" s="32" t="str">
        <f t="shared" si="45"/>
        <v>M21</v>
      </c>
      <c r="G173" s="62" t="str">
        <f t="shared" si="46"/>
        <v>018</v>
      </c>
      <c r="H173" s="38" t="str">
        <f t="shared" si="50"/>
        <v>C3</v>
      </c>
      <c r="I173" s="38">
        <f t="shared" si="51"/>
        <v>2</v>
      </c>
      <c r="J173" s="37" t="s">
        <v>33</v>
      </c>
      <c r="K173" s="37">
        <v>38</v>
      </c>
      <c r="L173" s="117">
        <v>0.08</v>
      </c>
      <c r="M173" s="117">
        <v>4.4800000000000004</v>
      </c>
      <c r="N173" s="29">
        <f t="shared" si="44"/>
        <v>4.4000000000000004</v>
      </c>
      <c r="O173" s="58" t="str">
        <f t="shared" si="31"/>
        <v>OK</v>
      </c>
    </row>
    <row r="174" spans="1:15" ht="12" customHeight="1" x14ac:dyDescent="0.25">
      <c r="A174" s="54"/>
      <c r="B174" s="32">
        <v>2</v>
      </c>
      <c r="C174" s="32">
        <v>1136746</v>
      </c>
      <c r="D174" s="39">
        <v>45804</v>
      </c>
      <c r="E174" s="32" t="s">
        <v>15</v>
      </c>
      <c r="F174" s="32" t="str">
        <f t="shared" si="45"/>
        <v>M21</v>
      </c>
      <c r="G174" s="62" t="str">
        <f t="shared" si="46"/>
        <v>018</v>
      </c>
      <c r="H174" s="38" t="str">
        <f t="shared" si="50"/>
        <v>C3</v>
      </c>
      <c r="I174" s="38">
        <f t="shared" si="51"/>
        <v>2</v>
      </c>
      <c r="J174" s="37" t="s">
        <v>34</v>
      </c>
      <c r="K174" s="37">
        <v>38</v>
      </c>
      <c r="L174" s="117">
        <v>0.17</v>
      </c>
      <c r="M174" s="117">
        <v>4.71</v>
      </c>
      <c r="N174" s="29">
        <f t="shared" si="44"/>
        <v>4.54</v>
      </c>
      <c r="O174" s="58" t="str">
        <f t="shared" si="31"/>
        <v>OK</v>
      </c>
    </row>
    <row r="175" spans="1:15" ht="12" customHeight="1" x14ac:dyDescent="0.25">
      <c r="A175" s="54"/>
      <c r="B175" s="32">
        <v>2</v>
      </c>
      <c r="C175" s="32">
        <v>1136746</v>
      </c>
      <c r="D175" s="39">
        <v>45804</v>
      </c>
      <c r="E175" s="32" t="s">
        <v>15</v>
      </c>
      <c r="F175" s="32" t="str">
        <f t="shared" si="45"/>
        <v>M21</v>
      </c>
      <c r="G175" s="62" t="str">
        <f t="shared" si="46"/>
        <v>018</v>
      </c>
      <c r="H175" s="38" t="str">
        <f t="shared" si="50"/>
        <v>C3</v>
      </c>
      <c r="I175" s="38">
        <v>1</v>
      </c>
      <c r="J175" s="37" t="s">
        <v>35</v>
      </c>
      <c r="K175" s="37">
        <v>39</v>
      </c>
      <c r="L175" s="117">
        <v>0.22</v>
      </c>
      <c r="M175" s="117">
        <v>4.66</v>
      </c>
      <c r="N175" s="29">
        <f t="shared" si="44"/>
        <v>4.4400000000000004</v>
      </c>
      <c r="O175" s="58" t="str">
        <f t="shared" si="31"/>
        <v>OK</v>
      </c>
    </row>
    <row r="176" spans="1:15" ht="12" customHeight="1" x14ac:dyDescent="0.25">
      <c r="A176" s="54"/>
      <c r="B176" s="32">
        <v>2</v>
      </c>
      <c r="C176" s="32">
        <v>1136746</v>
      </c>
      <c r="D176" s="39">
        <v>45804</v>
      </c>
      <c r="E176" s="32" t="s">
        <v>15</v>
      </c>
      <c r="F176" s="32" t="str">
        <f t="shared" si="45"/>
        <v>M21</v>
      </c>
      <c r="G176" s="62" t="str">
        <f t="shared" si="46"/>
        <v>018</v>
      </c>
      <c r="H176" s="38" t="str">
        <f t="shared" si="50"/>
        <v>C3</v>
      </c>
      <c r="I176" s="38">
        <f t="shared" ref="I176:I178" si="52">I175</f>
        <v>1</v>
      </c>
      <c r="J176" s="37" t="s">
        <v>36</v>
      </c>
      <c r="K176" s="37">
        <v>39</v>
      </c>
      <c r="L176" s="117">
        <v>0.2</v>
      </c>
      <c r="M176" s="117">
        <v>4.6900000000000004</v>
      </c>
      <c r="N176" s="29">
        <f t="shared" si="44"/>
        <v>4.49</v>
      </c>
      <c r="O176" s="58" t="str">
        <f t="shared" si="31"/>
        <v>OK</v>
      </c>
    </row>
    <row r="177" spans="1:15" ht="12" customHeight="1" x14ac:dyDescent="0.25">
      <c r="A177" s="54"/>
      <c r="B177" s="32">
        <v>2</v>
      </c>
      <c r="C177" s="32">
        <v>1136746</v>
      </c>
      <c r="D177" s="39">
        <v>45804</v>
      </c>
      <c r="E177" s="32" t="s">
        <v>15</v>
      </c>
      <c r="F177" s="32" t="str">
        <f t="shared" si="45"/>
        <v>M21</v>
      </c>
      <c r="G177" s="62" t="str">
        <f t="shared" si="46"/>
        <v>018</v>
      </c>
      <c r="H177" s="38" t="str">
        <f t="shared" si="50"/>
        <v>C3</v>
      </c>
      <c r="I177" s="38">
        <f t="shared" si="52"/>
        <v>1</v>
      </c>
      <c r="J177" s="37" t="s">
        <v>37</v>
      </c>
      <c r="K177" s="37">
        <v>40</v>
      </c>
      <c r="L177" s="117">
        <v>0.23</v>
      </c>
      <c r="M177" s="117">
        <v>4.46</v>
      </c>
      <c r="N177" s="29">
        <f t="shared" si="44"/>
        <v>4.2299999999999995</v>
      </c>
      <c r="O177" s="58" t="str">
        <f t="shared" si="31"/>
        <v>OK</v>
      </c>
    </row>
    <row r="178" spans="1:15" ht="12" customHeight="1" x14ac:dyDescent="0.25">
      <c r="A178" s="54"/>
      <c r="B178" s="32">
        <v>2</v>
      </c>
      <c r="C178" s="32">
        <v>1136746</v>
      </c>
      <c r="D178" s="39">
        <v>45804</v>
      </c>
      <c r="E178" s="32" t="s">
        <v>15</v>
      </c>
      <c r="F178" s="32" t="str">
        <f t="shared" si="45"/>
        <v>M21</v>
      </c>
      <c r="G178" s="62" t="str">
        <f t="shared" si="46"/>
        <v>018</v>
      </c>
      <c r="H178" s="38" t="str">
        <f t="shared" si="50"/>
        <v>C3</v>
      </c>
      <c r="I178" s="38">
        <f t="shared" si="52"/>
        <v>1</v>
      </c>
      <c r="J178" s="37" t="s">
        <v>38</v>
      </c>
      <c r="K178" s="37">
        <v>40</v>
      </c>
      <c r="L178" s="117">
        <v>0.21</v>
      </c>
      <c r="M178" s="117">
        <v>4.8600000000000003</v>
      </c>
      <c r="N178" s="29">
        <f t="shared" si="44"/>
        <v>4.6500000000000004</v>
      </c>
      <c r="O178" s="58" t="str">
        <f t="shared" si="31"/>
        <v>OK</v>
      </c>
    </row>
    <row r="179" spans="1:15" ht="12" customHeight="1" x14ac:dyDescent="0.25">
      <c r="A179" s="54"/>
      <c r="B179" s="32">
        <v>2</v>
      </c>
      <c r="C179" s="32">
        <v>1136746</v>
      </c>
      <c r="D179" s="39">
        <v>45804</v>
      </c>
      <c r="E179" s="32" t="s">
        <v>15</v>
      </c>
      <c r="F179" s="32" t="s">
        <v>28</v>
      </c>
      <c r="G179" s="62" t="s">
        <v>56</v>
      </c>
      <c r="H179" s="38" t="s">
        <v>39</v>
      </c>
      <c r="I179" s="38">
        <v>2</v>
      </c>
      <c r="J179" s="37" t="s">
        <v>31</v>
      </c>
      <c r="K179" s="37">
        <v>41</v>
      </c>
      <c r="L179" s="117">
        <v>0.22</v>
      </c>
      <c r="M179" s="117">
        <v>2.61</v>
      </c>
      <c r="N179" s="29">
        <f t="shared" si="44"/>
        <v>2.3899999999999997</v>
      </c>
      <c r="O179" s="58" t="str">
        <f t="shared" si="31"/>
        <v>OK</v>
      </c>
    </row>
    <row r="180" spans="1:15" ht="12" customHeight="1" x14ac:dyDescent="0.25">
      <c r="A180" s="54"/>
      <c r="B180" s="32">
        <v>2</v>
      </c>
      <c r="C180" s="32">
        <v>1136746</v>
      </c>
      <c r="D180" s="39">
        <v>45804</v>
      </c>
      <c r="E180" s="32" t="s">
        <v>15</v>
      </c>
      <c r="F180" s="32" t="str">
        <f t="shared" ref="F180:F194" si="53">F179</f>
        <v>M20</v>
      </c>
      <c r="G180" s="62" t="str">
        <f t="shared" ref="G180:G194" si="54">G179</f>
        <v>017</v>
      </c>
      <c r="H180" s="38" t="str">
        <f t="shared" ref="H180:H186" si="55">H179</f>
        <v>C2</v>
      </c>
      <c r="I180" s="38">
        <f t="shared" ref="I180:I182" si="56">I179</f>
        <v>2</v>
      </c>
      <c r="J180" s="37" t="s">
        <v>32</v>
      </c>
      <c r="K180" s="37">
        <v>41</v>
      </c>
      <c r="L180" s="117">
        <v>0.77</v>
      </c>
      <c r="M180" s="117">
        <v>4.1500000000000004</v>
      </c>
      <c r="N180" s="29">
        <f t="shared" si="44"/>
        <v>3.3800000000000003</v>
      </c>
      <c r="O180" s="58" t="str">
        <f t="shared" si="31"/>
        <v>OK</v>
      </c>
    </row>
    <row r="181" spans="1:15" ht="12" customHeight="1" x14ac:dyDescent="0.25">
      <c r="A181" s="54"/>
      <c r="B181" s="32">
        <v>2</v>
      </c>
      <c r="C181" s="32">
        <v>1136746</v>
      </c>
      <c r="D181" s="39">
        <v>45804</v>
      </c>
      <c r="E181" s="32" t="s">
        <v>15</v>
      </c>
      <c r="F181" s="32" t="str">
        <f t="shared" si="53"/>
        <v>M20</v>
      </c>
      <c r="G181" s="62" t="str">
        <f t="shared" si="54"/>
        <v>017</v>
      </c>
      <c r="H181" s="38" t="str">
        <f t="shared" si="55"/>
        <v>C2</v>
      </c>
      <c r="I181" s="38">
        <f t="shared" si="56"/>
        <v>2</v>
      </c>
      <c r="J181" s="37" t="s">
        <v>33</v>
      </c>
      <c r="K181" s="37">
        <v>42</v>
      </c>
      <c r="L181" s="117">
        <v>0.66</v>
      </c>
      <c r="M181" s="117">
        <v>3.44</v>
      </c>
      <c r="N181" s="29">
        <f t="shared" si="44"/>
        <v>2.78</v>
      </c>
      <c r="O181" s="58" t="str">
        <f t="shared" si="31"/>
        <v>OK</v>
      </c>
    </row>
    <row r="182" spans="1:15" ht="12" customHeight="1" x14ac:dyDescent="0.25">
      <c r="A182" s="54"/>
      <c r="B182" s="32">
        <v>2</v>
      </c>
      <c r="C182" s="32">
        <v>1136746</v>
      </c>
      <c r="D182" s="39">
        <v>45804</v>
      </c>
      <c r="E182" s="32" t="s">
        <v>15</v>
      </c>
      <c r="F182" s="32" t="str">
        <f t="shared" si="53"/>
        <v>M20</v>
      </c>
      <c r="G182" s="62" t="str">
        <f t="shared" si="54"/>
        <v>017</v>
      </c>
      <c r="H182" s="38" t="str">
        <f t="shared" si="55"/>
        <v>C2</v>
      </c>
      <c r="I182" s="38">
        <f t="shared" si="56"/>
        <v>2</v>
      </c>
      <c r="J182" s="37" t="s">
        <v>34</v>
      </c>
      <c r="K182" s="37">
        <v>42</v>
      </c>
      <c r="L182" s="117">
        <v>0.63</v>
      </c>
      <c r="M182" s="117">
        <v>2.1</v>
      </c>
      <c r="N182" s="29">
        <f t="shared" si="44"/>
        <v>1.4700000000000002</v>
      </c>
      <c r="O182" s="58" t="str">
        <f t="shared" si="31"/>
        <v>OK</v>
      </c>
    </row>
    <row r="183" spans="1:15" ht="12" customHeight="1" x14ac:dyDescent="0.25">
      <c r="A183" s="54"/>
      <c r="B183" s="32">
        <v>2</v>
      </c>
      <c r="C183" s="32">
        <v>1136746</v>
      </c>
      <c r="D183" s="39">
        <v>45804</v>
      </c>
      <c r="E183" s="32" t="s">
        <v>15</v>
      </c>
      <c r="F183" s="32" t="str">
        <f t="shared" si="53"/>
        <v>M20</v>
      </c>
      <c r="G183" s="62" t="str">
        <f t="shared" si="54"/>
        <v>017</v>
      </c>
      <c r="H183" s="38" t="str">
        <f t="shared" si="55"/>
        <v>C2</v>
      </c>
      <c r="I183" s="38">
        <v>1</v>
      </c>
      <c r="J183" s="37" t="s">
        <v>35</v>
      </c>
      <c r="K183" s="37">
        <v>43</v>
      </c>
      <c r="L183" s="117">
        <v>0.95</v>
      </c>
      <c r="M183" s="117">
        <v>3.13</v>
      </c>
      <c r="N183" s="29">
        <f t="shared" si="44"/>
        <v>2.1799999999999997</v>
      </c>
      <c r="O183" s="58" t="str">
        <f t="shared" si="31"/>
        <v>OK</v>
      </c>
    </row>
    <row r="184" spans="1:15" ht="12" customHeight="1" x14ac:dyDescent="0.25">
      <c r="A184" s="54"/>
      <c r="B184" s="32">
        <v>2</v>
      </c>
      <c r="C184" s="32">
        <v>1136746</v>
      </c>
      <c r="D184" s="39">
        <v>45804</v>
      </c>
      <c r="E184" s="32" t="s">
        <v>15</v>
      </c>
      <c r="F184" s="32" t="str">
        <f t="shared" si="53"/>
        <v>M20</v>
      </c>
      <c r="G184" s="62" t="str">
        <f t="shared" si="54"/>
        <v>017</v>
      </c>
      <c r="H184" s="38" t="str">
        <f t="shared" si="55"/>
        <v>C2</v>
      </c>
      <c r="I184" s="38">
        <f t="shared" ref="I184:I186" si="57">I183</f>
        <v>1</v>
      </c>
      <c r="J184" s="37" t="s">
        <v>36</v>
      </c>
      <c r="K184" s="37">
        <v>43</v>
      </c>
      <c r="L184" s="117">
        <v>0.49</v>
      </c>
      <c r="M184" s="117">
        <v>3.54</v>
      </c>
      <c r="N184" s="29">
        <f t="shared" si="44"/>
        <v>3.05</v>
      </c>
      <c r="O184" s="58" t="str">
        <f t="shared" si="31"/>
        <v>OK</v>
      </c>
    </row>
    <row r="185" spans="1:15" ht="12" customHeight="1" x14ac:dyDescent="0.25">
      <c r="A185" s="54"/>
      <c r="B185" s="32">
        <v>2</v>
      </c>
      <c r="C185" s="32">
        <v>1136746</v>
      </c>
      <c r="D185" s="39">
        <v>45804</v>
      </c>
      <c r="E185" s="32" t="s">
        <v>15</v>
      </c>
      <c r="F185" s="32" t="str">
        <f t="shared" si="53"/>
        <v>M20</v>
      </c>
      <c r="G185" s="62" t="str">
        <f t="shared" si="54"/>
        <v>017</v>
      </c>
      <c r="H185" s="38" t="str">
        <f t="shared" si="55"/>
        <v>C2</v>
      </c>
      <c r="I185" s="38">
        <f t="shared" si="57"/>
        <v>1</v>
      </c>
      <c r="J185" s="37" t="s">
        <v>37</v>
      </c>
      <c r="K185" s="37">
        <v>44</v>
      </c>
      <c r="L185" s="117">
        <v>0.54</v>
      </c>
      <c r="M185" s="117">
        <v>3.25</v>
      </c>
      <c r="N185" s="29">
        <f t="shared" si="44"/>
        <v>2.71</v>
      </c>
      <c r="O185" s="58" t="str">
        <f t="shared" si="31"/>
        <v>OK</v>
      </c>
    </row>
    <row r="186" spans="1:15" ht="12" customHeight="1" x14ac:dyDescent="0.25">
      <c r="A186" s="54"/>
      <c r="B186" s="32">
        <v>2</v>
      </c>
      <c r="C186" s="32">
        <v>1136746</v>
      </c>
      <c r="D186" s="39">
        <v>45804</v>
      </c>
      <c r="E186" s="32" t="s">
        <v>15</v>
      </c>
      <c r="F186" s="32" t="str">
        <f t="shared" si="53"/>
        <v>M20</v>
      </c>
      <c r="G186" s="62" t="str">
        <f t="shared" si="54"/>
        <v>017</v>
      </c>
      <c r="H186" s="38" t="str">
        <f t="shared" si="55"/>
        <v>C2</v>
      </c>
      <c r="I186" s="38">
        <f t="shared" si="57"/>
        <v>1</v>
      </c>
      <c r="J186" s="37" t="s">
        <v>38</v>
      </c>
      <c r="K186" s="37">
        <v>44</v>
      </c>
      <c r="L186" s="117">
        <v>0.2</v>
      </c>
      <c r="M186" s="117">
        <v>1.21</v>
      </c>
      <c r="N186" s="29">
        <f t="shared" si="44"/>
        <v>1.01</v>
      </c>
      <c r="O186" s="58" t="str">
        <f t="shared" si="31"/>
        <v>OK</v>
      </c>
    </row>
    <row r="187" spans="1:15" ht="12" customHeight="1" x14ac:dyDescent="0.25">
      <c r="A187" s="54"/>
      <c r="B187" s="32">
        <v>2</v>
      </c>
      <c r="C187" s="32">
        <v>1136746</v>
      </c>
      <c r="D187" s="39">
        <v>45804</v>
      </c>
      <c r="E187" s="32" t="s">
        <v>15</v>
      </c>
      <c r="F187" s="32" t="str">
        <f t="shared" si="53"/>
        <v>M20</v>
      </c>
      <c r="G187" s="62" t="str">
        <f t="shared" si="54"/>
        <v>017</v>
      </c>
      <c r="H187" s="38" t="s">
        <v>30</v>
      </c>
      <c r="I187" s="38">
        <v>2</v>
      </c>
      <c r="J187" s="37" t="s">
        <v>31</v>
      </c>
      <c r="K187" s="37">
        <v>45</v>
      </c>
      <c r="L187" s="117">
        <v>0.09</v>
      </c>
      <c r="M187" s="117">
        <v>4.62</v>
      </c>
      <c r="N187" s="29">
        <f t="shared" si="44"/>
        <v>4.53</v>
      </c>
      <c r="O187" s="58" t="str">
        <f t="shared" si="31"/>
        <v>OK</v>
      </c>
    </row>
    <row r="188" spans="1:15" ht="12" customHeight="1" x14ac:dyDescent="0.25">
      <c r="A188" s="54"/>
      <c r="B188" s="32">
        <v>2</v>
      </c>
      <c r="C188" s="32">
        <v>1136746</v>
      </c>
      <c r="D188" s="39">
        <v>45804</v>
      </c>
      <c r="E188" s="32" t="s">
        <v>15</v>
      </c>
      <c r="F188" s="32" t="str">
        <f t="shared" si="53"/>
        <v>M20</v>
      </c>
      <c r="G188" s="62" t="str">
        <f t="shared" si="54"/>
        <v>017</v>
      </c>
      <c r="H188" s="38" t="str">
        <f t="shared" ref="H188:H194" si="58">H187</f>
        <v>C1</v>
      </c>
      <c r="I188" s="38">
        <f t="shared" ref="I188:I190" si="59">I187</f>
        <v>2</v>
      </c>
      <c r="J188" s="37" t="s">
        <v>32</v>
      </c>
      <c r="K188" s="37">
        <v>45</v>
      </c>
      <c r="L188" s="117">
        <v>1.02</v>
      </c>
      <c r="M188" s="117">
        <v>1.63</v>
      </c>
      <c r="N188" s="29">
        <f t="shared" si="44"/>
        <v>0.60999999999999988</v>
      </c>
      <c r="O188" s="58" t="str">
        <f t="shared" si="31"/>
        <v>Seguimiento</v>
      </c>
    </row>
    <row r="189" spans="1:15" ht="12" customHeight="1" x14ac:dyDescent="0.25">
      <c r="A189" s="54"/>
      <c r="B189" s="32">
        <v>2</v>
      </c>
      <c r="C189" s="32">
        <v>1136746</v>
      </c>
      <c r="D189" s="39">
        <v>45804</v>
      </c>
      <c r="E189" s="32" t="s">
        <v>15</v>
      </c>
      <c r="F189" s="32" t="str">
        <f t="shared" si="53"/>
        <v>M20</v>
      </c>
      <c r="G189" s="62" t="str">
        <f t="shared" si="54"/>
        <v>017</v>
      </c>
      <c r="H189" s="38" t="str">
        <f t="shared" si="58"/>
        <v>C1</v>
      </c>
      <c r="I189" s="38">
        <f t="shared" si="59"/>
        <v>2</v>
      </c>
      <c r="J189" s="37" t="s">
        <v>33</v>
      </c>
      <c r="K189" s="37">
        <v>46</v>
      </c>
      <c r="L189" s="117">
        <v>0.31</v>
      </c>
      <c r="M189" s="117">
        <v>2.04</v>
      </c>
      <c r="N189" s="29">
        <f t="shared" si="44"/>
        <v>1.73</v>
      </c>
      <c r="O189" s="58" t="str">
        <f t="shared" si="31"/>
        <v>OK</v>
      </c>
    </row>
    <row r="190" spans="1:15" ht="12" customHeight="1" x14ac:dyDescent="0.25">
      <c r="A190" s="54"/>
      <c r="B190" s="32">
        <v>2</v>
      </c>
      <c r="C190" s="32">
        <v>1136746</v>
      </c>
      <c r="D190" s="39">
        <v>45804</v>
      </c>
      <c r="E190" s="32" t="s">
        <v>15</v>
      </c>
      <c r="F190" s="32" t="str">
        <f t="shared" si="53"/>
        <v>M20</v>
      </c>
      <c r="G190" s="62" t="str">
        <f t="shared" si="54"/>
        <v>017</v>
      </c>
      <c r="H190" s="38" t="str">
        <f t="shared" si="58"/>
        <v>C1</v>
      </c>
      <c r="I190" s="38">
        <f t="shared" si="59"/>
        <v>2</v>
      </c>
      <c r="J190" s="37" t="s">
        <v>34</v>
      </c>
      <c r="K190" s="37">
        <v>46</v>
      </c>
      <c r="L190" s="117">
        <v>0.31</v>
      </c>
      <c r="M190" s="117">
        <v>2.82</v>
      </c>
      <c r="N190" s="29">
        <f t="shared" si="44"/>
        <v>2.5099999999999998</v>
      </c>
      <c r="O190" s="58" t="str">
        <f t="shared" si="31"/>
        <v>OK</v>
      </c>
    </row>
    <row r="191" spans="1:15" ht="12" customHeight="1" x14ac:dyDescent="0.25">
      <c r="A191" s="54"/>
      <c r="B191" s="32">
        <v>2</v>
      </c>
      <c r="C191" s="32">
        <v>1136746</v>
      </c>
      <c r="D191" s="39">
        <v>45804</v>
      </c>
      <c r="E191" s="32" t="s">
        <v>15</v>
      </c>
      <c r="F191" s="32" t="str">
        <f t="shared" si="53"/>
        <v>M20</v>
      </c>
      <c r="G191" s="62" t="str">
        <f t="shared" si="54"/>
        <v>017</v>
      </c>
      <c r="H191" s="38" t="str">
        <f t="shared" si="58"/>
        <v>C1</v>
      </c>
      <c r="I191" s="38">
        <v>1</v>
      </c>
      <c r="J191" s="37" t="s">
        <v>35</v>
      </c>
      <c r="K191" s="37">
        <v>47</v>
      </c>
      <c r="L191" s="117">
        <v>0.06</v>
      </c>
      <c r="M191" s="117">
        <v>4.91</v>
      </c>
      <c r="N191" s="29">
        <f t="shared" si="44"/>
        <v>4.8500000000000005</v>
      </c>
      <c r="O191" s="58" t="str">
        <f t="shared" si="31"/>
        <v>OK</v>
      </c>
    </row>
    <row r="192" spans="1:15" ht="12" customHeight="1" x14ac:dyDescent="0.25">
      <c r="A192" s="54"/>
      <c r="B192" s="32">
        <v>2</v>
      </c>
      <c r="C192" s="32">
        <v>1136746</v>
      </c>
      <c r="D192" s="39">
        <v>45804</v>
      </c>
      <c r="E192" s="32" t="s">
        <v>15</v>
      </c>
      <c r="F192" s="32" t="str">
        <f t="shared" si="53"/>
        <v>M20</v>
      </c>
      <c r="G192" s="62" t="str">
        <f t="shared" si="54"/>
        <v>017</v>
      </c>
      <c r="H192" s="38" t="str">
        <f t="shared" si="58"/>
        <v>C1</v>
      </c>
      <c r="I192" s="38">
        <f t="shared" ref="I192:I194" si="60">I191</f>
        <v>1</v>
      </c>
      <c r="J192" s="37" t="s">
        <v>36</v>
      </c>
      <c r="K192" s="37">
        <v>47</v>
      </c>
      <c r="L192" s="117">
        <v>0.94</v>
      </c>
      <c r="M192" s="117">
        <v>3.31</v>
      </c>
      <c r="N192" s="29">
        <f t="shared" si="44"/>
        <v>2.37</v>
      </c>
      <c r="O192" s="58" t="str">
        <f t="shared" si="31"/>
        <v>OK</v>
      </c>
    </row>
    <row r="193" spans="1:15" ht="12" customHeight="1" x14ac:dyDescent="0.25">
      <c r="A193" s="54"/>
      <c r="B193" s="32">
        <v>2</v>
      </c>
      <c r="C193" s="32">
        <v>1136746</v>
      </c>
      <c r="D193" s="39">
        <v>45804</v>
      </c>
      <c r="E193" s="32" t="s">
        <v>15</v>
      </c>
      <c r="F193" s="32" t="str">
        <f t="shared" si="53"/>
        <v>M20</v>
      </c>
      <c r="G193" s="62" t="str">
        <f t="shared" si="54"/>
        <v>017</v>
      </c>
      <c r="H193" s="38" t="str">
        <f t="shared" si="58"/>
        <v>C1</v>
      </c>
      <c r="I193" s="38">
        <f t="shared" si="60"/>
        <v>1</v>
      </c>
      <c r="J193" s="37" t="s">
        <v>37</v>
      </c>
      <c r="K193" s="37">
        <v>48</v>
      </c>
      <c r="L193" s="117">
        <v>0.05</v>
      </c>
      <c r="M193" s="117">
        <v>4.6900000000000004</v>
      </c>
      <c r="N193" s="29">
        <f t="shared" si="44"/>
        <v>4.6400000000000006</v>
      </c>
      <c r="O193" s="58" t="str">
        <f t="shared" si="31"/>
        <v>OK</v>
      </c>
    </row>
    <row r="194" spans="1:15" ht="12" customHeight="1" x14ac:dyDescent="0.25">
      <c r="A194" s="54"/>
      <c r="B194" s="32">
        <v>2</v>
      </c>
      <c r="C194" s="32">
        <v>1136746</v>
      </c>
      <c r="D194" s="39">
        <v>45804</v>
      </c>
      <c r="E194" s="32" t="s">
        <v>15</v>
      </c>
      <c r="F194" s="32" t="str">
        <f t="shared" si="53"/>
        <v>M20</v>
      </c>
      <c r="G194" s="62" t="str">
        <f t="shared" si="54"/>
        <v>017</v>
      </c>
      <c r="H194" s="38" t="str">
        <f t="shared" si="58"/>
        <v>C1</v>
      </c>
      <c r="I194" s="38">
        <f t="shared" si="60"/>
        <v>1</v>
      </c>
      <c r="J194" s="37" t="s">
        <v>38</v>
      </c>
      <c r="K194" s="37">
        <v>48</v>
      </c>
      <c r="L194" s="117">
        <v>0.16</v>
      </c>
      <c r="M194" s="117">
        <v>4.7699999999999996</v>
      </c>
      <c r="N194" s="29">
        <f t="shared" si="44"/>
        <v>4.6099999999999994</v>
      </c>
      <c r="O194" s="58" t="str">
        <f t="shared" si="31"/>
        <v>OK</v>
      </c>
    </row>
    <row r="195" spans="1:15" ht="12" customHeight="1" x14ac:dyDescent="0.25">
      <c r="A195" s="54" t="s">
        <v>16</v>
      </c>
      <c r="B195" s="32">
        <v>2</v>
      </c>
      <c r="C195" s="32">
        <v>1113983</v>
      </c>
      <c r="D195" s="39">
        <v>45831</v>
      </c>
      <c r="E195" s="32" t="s">
        <v>15</v>
      </c>
      <c r="F195" s="32" t="s">
        <v>28</v>
      </c>
      <c r="G195" s="62" t="s">
        <v>51</v>
      </c>
      <c r="H195" s="38" t="s">
        <v>30</v>
      </c>
      <c r="I195" s="38">
        <v>1</v>
      </c>
      <c r="J195" s="37" t="s">
        <v>31</v>
      </c>
      <c r="K195" s="37">
        <v>1</v>
      </c>
      <c r="L195" s="117">
        <v>0.04</v>
      </c>
      <c r="M195" s="117">
        <v>4.66</v>
      </c>
      <c r="N195" s="29">
        <f t="shared" ref="N195:N226" si="61">+M195-L195</f>
        <v>4.62</v>
      </c>
      <c r="O195" s="58" t="str">
        <f t="shared" si="31"/>
        <v>OK</v>
      </c>
    </row>
    <row r="196" spans="1:15" ht="12" customHeight="1" x14ac:dyDescent="0.25">
      <c r="A196" s="54" t="s">
        <v>16</v>
      </c>
      <c r="B196" s="32">
        <v>2</v>
      </c>
      <c r="C196" s="32">
        <v>1113983</v>
      </c>
      <c r="D196" s="39">
        <v>45831</v>
      </c>
      <c r="E196" s="32" t="s">
        <v>15</v>
      </c>
      <c r="F196" s="32" t="str">
        <f t="shared" ref="F196:I198" si="62">F195</f>
        <v>M20</v>
      </c>
      <c r="G196" s="62" t="str">
        <f t="shared" si="62"/>
        <v>005</v>
      </c>
      <c r="H196" s="38" t="str">
        <f t="shared" si="62"/>
        <v>C1</v>
      </c>
      <c r="I196" s="38">
        <f t="shared" si="62"/>
        <v>1</v>
      </c>
      <c r="J196" s="37" t="s">
        <v>32</v>
      </c>
      <c r="K196" s="37">
        <v>1</v>
      </c>
      <c r="L196" s="117">
        <v>0.14000000000000001</v>
      </c>
      <c r="M196" s="117">
        <v>1.99</v>
      </c>
      <c r="N196" s="29">
        <f t="shared" si="61"/>
        <v>1.85</v>
      </c>
      <c r="O196" s="58" t="str">
        <f t="shared" ref="O196:O259" si="63">IF(N196&lt;=0,"Critico",IF(N196&lt;=0.2,"Cambio",IF(N196&lt;=1,"Seguimiento",IF(L196&gt;=1.6,"Reperfilado","OK"))))</f>
        <v>OK</v>
      </c>
    </row>
    <row r="197" spans="1:15" ht="12" customHeight="1" x14ac:dyDescent="0.25">
      <c r="A197" s="54" t="s">
        <v>16</v>
      </c>
      <c r="B197" s="32">
        <v>2</v>
      </c>
      <c r="C197" s="32">
        <v>1113983</v>
      </c>
      <c r="D197" s="39">
        <v>45831</v>
      </c>
      <c r="E197" s="32" t="s">
        <v>15</v>
      </c>
      <c r="F197" s="32" t="str">
        <f t="shared" si="62"/>
        <v>M20</v>
      </c>
      <c r="G197" s="62" t="str">
        <f t="shared" si="62"/>
        <v>005</v>
      </c>
      <c r="H197" s="38" t="str">
        <f t="shared" si="62"/>
        <v>C1</v>
      </c>
      <c r="I197" s="38">
        <f t="shared" si="62"/>
        <v>1</v>
      </c>
      <c r="J197" s="37" t="s">
        <v>33</v>
      </c>
      <c r="K197" s="37">
        <v>2</v>
      </c>
      <c r="L197" s="117">
        <v>0.06</v>
      </c>
      <c r="M197" s="117">
        <v>2.09</v>
      </c>
      <c r="N197" s="29">
        <f t="shared" si="61"/>
        <v>2.0299999999999998</v>
      </c>
      <c r="O197" s="58" t="str">
        <f t="shared" si="63"/>
        <v>OK</v>
      </c>
    </row>
    <row r="198" spans="1:15" ht="12" customHeight="1" x14ac:dyDescent="0.25">
      <c r="A198" s="54" t="s">
        <v>16</v>
      </c>
      <c r="B198" s="32">
        <v>2</v>
      </c>
      <c r="C198" s="32">
        <v>1113983</v>
      </c>
      <c r="D198" s="39">
        <v>45831</v>
      </c>
      <c r="E198" s="32" t="s">
        <v>15</v>
      </c>
      <c r="F198" s="32" t="str">
        <f t="shared" si="62"/>
        <v>M20</v>
      </c>
      <c r="G198" s="62" t="str">
        <f t="shared" si="62"/>
        <v>005</v>
      </c>
      <c r="H198" s="38" t="str">
        <f t="shared" si="62"/>
        <v>C1</v>
      </c>
      <c r="I198" s="38">
        <f t="shared" si="62"/>
        <v>1</v>
      </c>
      <c r="J198" s="37" t="s">
        <v>34</v>
      </c>
      <c r="K198" s="37">
        <v>2</v>
      </c>
      <c r="L198" s="117">
        <v>0.66</v>
      </c>
      <c r="M198" s="117">
        <v>3.24</v>
      </c>
      <c r="N198" s="29">
        <f t="shared" si="61"/>
        <v>2.58</v>
      </c>
      <c r="O198" s="58" t="str">
        <f t="shared" si="63"/>
        <v>OK</v>
      </c>
    </row>
    <row r="199" spans="1:15" ht="12" customHeight="1" x14ac:dyDescent="0.25">
      <c r="A199" s="54" t="s">
        <v>16</v>
      </c>
      <c r="B199" s="32">
        <v>2</v>
      </c>
      <c r="C199" s="32">
        <v>1113983</v>
      </c>
      <c r="D199" s="39">
        <v>45831</v>
      </c>
      <c r="E199" s="32" t="s">
        <v>15</v>
      </c>
      <c r="F199" s="32" t="str">
        <f t="shared" ref="F199:H202" si="64">F198</f>
        <v>M20</v>
      </c>
      <c r="G199" s="62" t="str">
        <f t="shared" si="64"/>
        <v>005</v>
      </c>
      <c r="H199" s="38" t="str">
        <f t="shared" si="64"/>
        <v>C1</v>
      </c>
      <c r="I199" s="38">
        <v>2</v>
      </c>
      <c r="J199" s="37" t="s">
        <v>35</v>
      </c>
      <c r="K199" s="37">
        <v>3</v>
      </c>
      <c r="L199" s="117">
        <v>0.17</v>
      </c>
      <c r="M199" s="117">
        <v>4.5599999999999996</v>
      </c>
      <c r="N199" s="29">
        <f t="shared" si="61"/>
        <v>4.3899999999999997</v>
      </c>
      <c r="O199" s="58" t="str">
        <f t="shared" si="63"/>
        <v>OK</v>
      </c>
    </row>
    <row r="200" spans="1:15" ht="12" customHeight="1" x14ac:dyDescent="0.25">
      <c r="A200" s="54" t="s">
        <v>16</v>
      </c>
      <c r="B200" s="32">
        <v>2</v>
      </c>
      <c r="C200" s="32">
        <v>1113983</v>
      </c>
      <c r="D200" s="39">
        <v>45831</v>
      </c>
      <c r="E200" s="32" t="s">
        <v>15</v>
      </c>
      <c r="F200" s="32" t="str">
        <f t="shared" si="64"/>
        <v>M20</v>
      </c>
      <c r="G200" s="62" t="str">
        <f t="shared" si="64"/>
        <v>005</v>
      </c>
      <c r="H200" s="38" t="str">
        <f t="shared" si="64"/>
        <v>C1</v>
      </c>
      <c r="I200" s="38">
        <f>I199</f>
        <v>2</v>
      </c>
      <c r="J200" s="37" t="s">
        <v>36</v>
      </c>
      <c r="K200" s="37">
        <v>3</v>
      </c>
      <c r="L200" s="117">
        <v>0.25</v>
      </c>
      <c r="M200" s="117">
        <v>3.59</v>
      </c>
      <c r="N200" s="29">
        <f t="shared" si="61"/>
        <v>3.34</v>
      </c>
      <c r="O200" s="58" t="str">
        <f t="shared" si="63"/>
        <v>OK</v>
      </c>
    </row>
    <row r="201" spans="1:15" ht="12" customHeight="1" x14ac:dyDescent="0.25">
      <c r="A201" s="54" t="s">
        <v>16</v>
      </c>
      <c r="B201" s="32">
        <v>2</v>
      </c>
      <c r="C201" s="32">
        <v>1113983</v>
      </c>
      <c r="D201" s="39">
        <v>45831</v>
      </c>
      <c r="E201" s="32" t="s">
        <v>15</v>
      </c>
      <c r="F201" s="32" t="str">
        <f t="shared" si="64"/>
        <v>M20</v>
      </c>
      <c r="G201" s="62" t="str">
        <f t="shared" si="64"/>
        <v>005</v>
      </c>
      <c r="H201" s="38" t="str">
        <f t="shared" si="64"/>
        <v>C1</v>
      </c>
      <c r="I201" s="38">
        <f>I200</f>
        <v>2</v>
      </c>
      <c r="J201" s="37" t="s">
        <v>37</v>
      </c>
      <c r="K201" s="37">
        <v>4</v>
      </c>
      <c r="L201" s="117">
        <v>0.26</v>
      </c>
      <c r="M201" s="117">
        <v>2.38</v>
      </c>
      <c r="N201" s="29">
        <f t="shared" si="61"/>
        <v>2.12</v>
      </c>
      <c r="O201" s="58" t="str">
        <f t="shared" si="63"/>
        <v>OK</v>
      </c>
    </row>
    <row r="202" spans="1:15" ht="12" customHeight="1" x14ac:dyDescent="0.25">
      <c r="A202" s="54" t="s">
        <v>16</v>
      </c>
      <c r="B202" s="32">
        <v>2</v>
      </c>
      <c r="C202" s="32">
        <v>1113983</v>
      </c>
      <c r="D202" s="39">
        <v>45831</v>
      </c>
      <c r="E202" s="32" t="s">
        <v>15</v>
      </c>
      <c r="F202" s="32" t="str">
        <f t="shared" si="64"/>
        <v>M20</v>
      </c>
      <c r="G202" s="62" t="str">
        <f t="shared" si="64"/>
        <v>005</v>
      </c>
      <c r="H202" s="38" t="str">
        <f t="shared" si="64"/>
        <v>C1</v>
      </c>
      <c r="I202" s="38">
        <f>I201</f>
        <v>2</v>
      </c>
      <c r="J202" s="37" t="s">
        <v>38</v>
      </c>
      <c r="K202" s="37">
        <v>4</v>
      </c>
      <c r="L202" s="117">
        <v>0.81</v>
      </c>
      <c r="M202" s="117">
        <v>3.66</v>
      </c>
      <c r="N202" s="29">
        <f t="shared" si="61"/>
        <v>2.85</v>
      </c>
      <c r="O202" s="58" t="str">
        <f t="shared" si="63"/>
        <v>OK</v>
      </c>
    </row>
    <row r="203" spans="1:15" ht="12" customHeight="1" x14ac:dyDescent="0.25">
      <c r="A203" s="54" t="s">
        <v>16</v>
      </c>
      <c r="B203" s="32">
        <v>2</v>
      </c>
      <c r="C203" s="32">
        <v>1113983</v>
      </c>
      <c r="D203" s="39">
        <v>45831</v>
      </c>
      <c r="E203" s="32" t="s">
        <v>15</v>
      </c>
      <c r="F203" s="32" t="str">
        <f t="shared" ref="F203:G210" si="65">F202</f>
        <v>M20</v>
      </c>
      <c r="G203" s="62" t="str">
        <f t="shared" si="65"/>
        <v>005</v>
      </c>
      <c r="H203" s="38" t="s">
        <v>39</v>
      </c>
      <c r="I203" s="38">
        <v>1</v>
      </c>
      <c r="J203" s="37" t="s">
        <v>31</v>
      </c>
      <c r="K203" s="37">
        <v>5</v>
      </c>
      <c r="L203" s="117">
        <v>0.23</v>
      </c>
      <c r="M203" s="117">
        <v>4.29</v>
      </c>
      <c r="N203" s="29">
        <f t="shared" si="61"/>
        <v>4.0599999999999996</v>
      </c>
      <c r="O203" s="58" t="str">
        <f t="shared" si="63"/>
        <v>OK</v>
      </c>
    </row>
    <row r="204" spans="1:15" ht="12" customHeight="1" x14ac:dyDescent="0.25">
      <c r="A204" s="54" t="s">
        <v>16</v>
      </c>
      <c r="B204" s="32">
        <v>2</v>
      </c>
      <c r="C204" s="32">
        <v>1113983</v>
      </c>
      <c r="D204" s="39">
        <v>45831</v>
      </c>
      <c r="E204" s="32" t="s">
        <v>15</v>
      </c>
      <c r="F204" s="32" t="str">
        <f t="shared" si="65"/>
        <v>M20</v>
      </c>
      <c r="G204" s="62" t="str">
        <f t="shared" si="65"/>
        <v>005</v>
      </c>
      <c r="H204" s="38" t="str">
        <f t="shared" ref="H204:I206" si="66">H203</f>
        <v>C2</v>
      </c>
      <c r="I204" s="38">
        <f t="shared" si="66"/>
        <v>1</v>
      </c>
      <c r="J204" s="37" t="s">
        <v>32</v>
      </c>
      <c r="K204" s="37">
        <v>5</v>
      </c>
      <c r="L204" s="117">
        <v>0.14000000000000001</v>
      </c>
      <c r="M204" s="117">
        <v>4.9400000000000004</v>
      </c>
      <c r="N204" s="29">
        <f t="shared" si="61"/>
        <v>4.8000000000000007</v>
      </c>
      <c r="O204" s="58" t="str">
        <f t="shared" si="63"/>
        <v>OK</v>
      </c>
    </row>
    <row r="205" spans="1:15" ht="12" customHeight="1" x14ac:dyDescent="0.25">
      <c r="A205" s="54" t="s">
        <v>16</v>
      </c>
      <c r="B205" s="32">
        <v>2</v>
      </c>
      <c r="C205" s="32">
        <v>1113983</v>
      </c>
      <c r="D205" s="39">
        <v>45831</v>
      </c>
      <c r="E205" s="32" t="s">
        <v>15</v>
      </c>
      <c r="F205" s="32" t="str">
        <f t="shared" si="65"/>
        <v>M20</v>
      </c>
      <c r="G205" s="62" t="str">
        <f t="shared" si="65"/>
        <v>005</v>
      </c>
      <c r="H205" s="38" t="str">
        <f t="shared" si="66"/>
        <v>C2</v>
      </c>
      <c r="I205" s="38">
        <f t="shared" si="66"/>
        <v>1</v>
      </c>
      <c r="J205" s="37" t="s">
        <v>33</v>
      </c>
      <c r="K205" s="37">
        <v>6</v>
      </c>
      <c r="L205" s="117">
        <v>0.62</v>
      </c>
      <c r="M205" s="117">
        <v>3.76</v>
      </c>
      <c r="N205" s="29">
        <f t="shared" si="61"/>
        <v>3.1399999999999997</v>
      </c>
      <c r="O205" s="58" t="str">
        <f t="shared" si="63"/>
        <v>OK</v>
      </c>
    </row>
    <row r="206" spans="1:15" ht="12" customHeight="1" x14ac:dyDescent="0.25">
      <c r="A206" s="54" t="s">
        <v>16</v>
      </c>
      <c r="B206" s="32">
        <v>2</v>
      </c>
      <c r="C206" s="32">
        <v>1113983</v>
      </c>
      <c r="D206" s="39">
        <v>45831</v>
      </c>
      <c r="E206" s="32" t="s">
        <v>15</v>
      </c>
      <c r="F206" s="32" t="str">
        <f t="shared" si="65"/>
        <v>M20</v>
      </c>
      <c r="G206" s="62" t="str">
        <f t="shared" si="65"/>
        <v>005</v>
      </c>
      <c r="H206" s="38" t="str">
        <f t="shared" si="66"/>
        <v>C2</v>
      </c>
      <c r="I206" s="38">
        <f t="shared" si="66"/>
        <v>1</v>
      </c>
      <c r="J206" s="37" t="s">
        <v>34</v>
      </c>
      <c r="K206" s="37">
        <v>6</v>
      </c>
      <c r="L206" s="117">
        <v>0.44</v>
      </c>
      <c r="M206" s="117">
        <v>3.13</v>
      </c>
      <c r="N206" s="29">
        <f t="shared" si="61"/>
        <v>2.69</v>
      </c>
      <c r="O206" s="58" t="str">
        <f t="shared" si="63"/>
        <v>OK</v>
      </c>
    </row>
    <row r="207" spans="1:15" ht="12" customHeight="1" x14ac:dyDescent="0.25">
      <c r="A207" s="54" t="s">
        <v>16</v>
      </c>
      <c r="B207" s="32">
        <v>2</v>
      </c>
      <c r="C207" s="32">
        <v>1113983</v>
      </c>
      <c r="D207" s="39">
        <v>45831</v>
      </c>
      <c r="E207" s="32" t="s">
        <v>15</v>
      </c>
      <c r="F207" s="32" t="str">
        <f t="shared" si="65"/>
        <v>M20</v>
      </c>
      <c r="G207" s="62" t="str">
        <f t="shared" si="65"/>
        <v>005</v>
      </c>
      <c r="H207" s="38" t="str">
        <f>H206</f>
        <v>C2</v>
      </c>
      <c r="I207" s="38">
        <v>2</v>
      </c>
      <c r="J207" s="37" t="s">
        <v>35</v>
      </c>
      <c r="K207" s="37">
        <v>7</v>
      </c>
      <c r="L207" s="117">
        <v>0.1</v>
      </c>
      <c r="M207" s="117">
        <v>4.91</v>
      </c>
      <c r="N207" s="29">
        <f t="shared" si="61"/>
        <v>4.8100000000000005</v>
      </c>
      <c r="O207" s="58" t="str">
        <f t="shared" si="63"/>
        <v>OK</v>
      </c>
    </row>
    <row r="208" spans="1:15" ht="12" customHeight="1" x14ac:dyDescent="0.25">
      <c r="A208" s="54" t="s">
        <v>16</v>
      </c>
      <c r="B208" s="32">
        <v>2</v>
      </c>
      <c r="C208" s="32">
        <v>1113983</v>
      </c>
      <c r="D208" s="39">
        <v>45831</v>
      </c>
      <c r="E208" s="32" t="s">
        <v>15</v>
      </c>
      <c r="F208" s="32" t="str">
        <f t="shared" si="65"/>
        <v>M20</v>
      </c>
      <c r="G208" s="62" t="str">
        <f t="shared" si="65"/>
        <v>005</v>
      </c>
      <c r="H208" s="38" t="str">
        <f>H207</f>
        <v>C2</v>
      </c>
      <c r="I208" s="38">
        <f>I207</f>
        <v>2</v>
      </c>
      <c r="J208" s="37" t="s">
        <v>36</v>
      </c>
      <c r="K208" s="37">
        <v>7</v>
      </c>
      <c r="L208" s="117">
        <v>0.12</v>
      </c>
      <c r="M208" s="117">
        <v>4.21</v>
      </c>
      <c r="N208" s="29">
        <f t="shared" si="61"/>
        <v>4.09</v>
      </c>
      <c r="O208" s="58" t="str">
        <f t="shared" si="63"/>
        <v>OK</v>
      </c>
    </row>
    <row r="209" spans="1:15" ht="12" customHeight="1" x14ac:dyDescent="0.25">
      <c r="A209" s="54" t="s">
        <v>16</v>
      </c>
      <c r="B209" s="32">
        <v>2</v>
      </c>
      <c r="C209" s="32">
        <v>1113983</v>
      </c>
      <c r="D209" s="39">
        <v>45831</v>
      </c>
      <c r="E209" s="32" t="s">
        <v>15</v>
      </c>
      <c r="F209" s="32" t="str">
        <f t="shared" si="65"/>
        <v>M20</v>
      </c>
      <c r="G209" s="62" t="str">
        <f t="shared" si="65"/>
        <v>005</v>
      </c>
      <c r="H209" s="38" t="str">
        <f>H208</f>
        <v>C2</v>
      </c>
      <c r="I209" s="38">
        <f>I208</f>
        <v>2</v>
      </c>
      <c r="J209" s="37" t="s">
        <v>37</v>
      </c>
      <c r="K209" s="37">
        <v>8</v>
      </c>
      <c r="L209" s="117">
        <v>0.37</v>
      </c>
      <c r="M209" s="117">
        <v>0.7</v>
      </c>
      <c r="N209" s="29">
        <f t="shared" si="61"/>
        <v>0.32999999999999996</v>
      </c>
      <c r="O209" s="58" t="str">
        <f t="shared" si="63"/>
        <v>Seguimiento</v>
      </c>
    </row>
    <row r="210" spans="1:15" ht="12" customHeight="1" x14ac:dyDescent="0.25">
      <c r="A210" s="54" t="s">
        <v>16</v>
      </c>
      <c r="B210" s="32">
        <v>2</v>
      </c>
      <c r="C210" s="32">
        <v>1113983</v>
      </c>
      <c r="D210" s="39">
        <v>45831</v>
      </c>
      <c r="E210" s="32" t="s">
        <v>15</v>
      </c>
      <c r="F210" s="32" t="str">
        <f t="shared" si="65"/>
        <v>M20</v>
      </c>
      <c r="G210" s="62" t="str">
        <f t="shared" si="65"/>
        <v>005</v>
      </c>
      <c r="H210" s="38" t="str">
        <f>H209</f>
        <v>C2</v>
      </c>
      <c r="I210" s="38">
        <f>I209</f>
        <v>2</v>
      </c>
      <c r="J210" s="37" t="s">
        <v>38</v>
      </c>
      <c r="K210" s="37">
        <v>8</v>
      </c>
      <c r="L210" s="117">
        <v>0.17</v>
      </c>
      <c r="M210" s="117">
        <v>1.68</v>
      </c>
      <c r="N210" s="29">
        <f t="shared" si="61"/>
        <v>1.51</v>
      </c>
      <c r="O210" s="58" t="str">
        <f t="shared" si="63"/>
        <v>OK</v>
      </c>
    </row>
    <row r="211" spans="1:15" ht="12" customHeight="1" x14ac:dyDescent="0.25">
      <c r="A211" s="54" t="s">
        <v>16</v>
      </c>
      <c r="B211" s="32">
        <v>2</v>
      </c>
      <c r="C211" s="32">
        <v>1113983</v>
      </c>
      <c r="D211" s="39">
        <v>45831</v>
      </c>
      <c r="E211" s="32" t="s">
        <v>15</v>
      </c>
      <c r="F211" s="32" t="s">
        <v>40</v>
      </c>
      <c r="G211" s="62" t="s">
        <v>52</v>
      </c>
      <c r="H211" s="38" t="s">
        <v>42</v>
      </c>
      <c r="I211" s="38">
        <v>1</v>
      </c>
      <c r="J211" s="37" t="s">
        <v>31</v>
      </c>
      <c r="K211" s="37">
        <v>9</v>
      </c>
      <c r="L211" s="117">
        <v>0.65</v>
      </c>
      <c r="M211" s="117">
        <v>4.3600000000000003</v>
      </c>
      <c r="N211" s="29">
        <f t="shared" si="61"/>
        <v>3.7100000000000004</v>
      </c>
      <c r="O211" s="58" t="str">
        <f t="shared" si="63"/>
        <v>OK</v>
      </c>
    </row>
    <row r="212" spans="1:15" ht="12" customHeight="1" x14ac:dyDescent="0.25">
      <c r="A212" s="54" t="s">
        <v>16</v>
      </c>
      <c r="B212" s="32">
        <v>2</v>
      </c>
      <c r="C212" s="32">
        <v>1113983</v>
      </c>
      <c r="D212" s="39">
        <v>45831</v>
      </c>
      <c r="E212" s="32" t="s">
        <v>15</v>
      </c>
      <c r="F212" s="32" t="str">
        <f t="shared" ref="F212:I214" si="67">F211</f>
        <v>M21</v>
      </c>
      <c r="G212" s="62" t="str">
        <f t="shared" si="67"/>
        <v>006</v>
      </c>
      <c r="H212" s="38" t="str">
        <f t="shared" si="67"/>
        <v>C3</v>
      </c>
      <c r="I212" s="38">
        <f t="shared" si="67"/>
        <v>1</v>
      </c>
      <c r="J212" s="37" t="s">
        <v>32</v>
      </c>
      <c r="K212" s="37">
        <v>9</v>
      </c>
      <c r="L212" s="117">
        <v>0.42</v>
      </c>
      <c r="M212" s="117">
        <v>3.01</v>
      </c>
      <c r="N212" s="29">
        <f t="shared" si="61"/>
        <v>2.59</v>
      </c>
      <c r="O212" s="58" t="str">
        <f t="shared" si="63"/>
        <v>OK</v>
      </c>
    </row>
    <row r="213" spans="1:15" ht="12" customHeight="1" x14ac:dyDescent="0.25">
      <c r="A213" s="54" t="s">
        <v>16</v>
      </c>
      <c r="B213" s="32">
        <v>2</v>
      </c>
      <c r="C213" s="32">
        <v>1113983</v>
      </c>
      <c r="D213" s="39">
        <v>45831</v>
      </c>
      <c r="E213" s="32" t="s">
        <v>15</v>
      </c>
      <c r="F213" s="32" t="str">
        <f t="shared" si="67"/>
        <v>M21</v>
      </c>
      <c r="G213" s="62" t="str">
        <f t="shared" si="67"/>
        <v>006</v>
      </c>
      <c r="H213" s="38" t="str">
        <f t="shared" si="67"/>
        <v>C3</v>
      </c>
      <c r="I213" s="38">
        <f t="shared" si="67"/>
        <v>1</v>
      </c>
      <c r="J213" s="37" t="s">
        <v>33</v>
      </c>
      <c r="K213" s="37">
        <v>10</v>
      </c>
      <c r="L213" s="117">
        <v>1.02</v>
      </c>
      <c r="M213" s="117">
        <v>4.74</v>
      </c>
      <c r="N213" s="29">
        <f t="shared" si="61"/>
        <v>3.72</v>
      </c>
      <c r="O213" s="58" t="str">
        <f t="shared" si="63"/>
        <v>OK</v>
      </c>
    </row>
    <row r="214" spans="1:15" ht="12" customHeight="1" x14ac:dyDescent="0.25">
      <c r="A214" s="54" t="s">
        <v>16</v>
      </c>
      <c r="B214" s="32">
        <v>2</v>
      </c>
      <c r="C214" s="32">
        <v>1113983</v>
      </c>
      <c r="D214" s="39">
        <v>45831</v>
      </c>
      <c r="E214" s="32" t="s">
        <v>15</v>
      </c>
      <c r="F214" s="32" t="str">
        <f t="shared" si="67"/>
        <v>M21</v>
      </c>
      <c r="G214" s="62" t="str">
        <f t="shared" si="67"/>
        <v>006</v>
      </c>
      <c r="H214" s="38" t="str">
        <f t="shared" si="67"/>
        <v>C3</v>
      </c>
      <c r="I214" s="38">
        <f t="shared" si="67"/>
        <v>1</v>
      </c>
      <c r="J214" s="37" t="s">
        <v>34</v>
      </c>
      <c r="K214" s="37">
        <v>10</v>
      </c>
      <c r="L214" s="117">
        <v>0.64</v>
      </c>
      <c r="M214" s="117">
        <v>3.14</v>
      </c>
      <c r="N214" s="29">
        <f t="shared" si="61"/>
        <v>2.5</v>
      </c>
      <c r="O214" s="58" t="str">
        <f t="shared" si="63"/>
        <v>OK</v>
      </c>
    </row>
    <row r="215" spans="1:15" ht="12" customHeight="1" x14ac:dyDescent="0.25">
      <c r="A215" s="54" t="s">
        <v>16</v>
      </c>
      <c r="B215" s="32">
        <v>2</v>
      </c>
      <c r="C215" s="32">
        <v>1113983</v>
      </c>
      <c r="D215" s="39">
        <v>45831</v>
      </c>
      <c r="E215" s="32" t="s">
        <v>15</v>
      </c>
      <c r="F215" s="32" t="str">
        <f t="shared" ref="F215:H218" si="68">F214</f>
        <v>M21</v>
      </c>
      <c r="G215" s="62" t="str">
        <f t="shared" si="68"/>
        <v>006</v>
      </c>
      <c r="H215" s="38" t="str">
        <f t="shared" si="68"/>
        <v>C3</v>
      </c>
      <c r="I215" s="38">
        <v>2</v>
      </c>
      <c r="J215" s="37" t="s">
        <v>35</v>
      </c>
      <c r="K215" s="37">
        <v>11</v>
      </c>
      <c r="L215" s="117">
        <v>0.13</v>
      </c>
      <c r="M215" s="117">
        <v>1.21</v>
      </c>
      <c r="N215" s="29">
        <f t="shared" si="61"/>
        <v>1.08</v>
      </c>
      <c r="O215" s="58" t="str">
        <f t="shared" si="63"/>
        <v>OK</v>
      </c>
    </row>
    <row r="216" spans="1:15" ht="12" customHeight="1" x14ac:dyDescent="0.25">
      <c r="A216" s="54" t="s">
        <v>16</v>
      </c>
      <c r="B216" s="32">
        <v>2</v>
      </c>
      <c r="C216" s="32">
        <v>1113983</v>
      </c>
      <c r="D216" s="39">
        <v>45831</v>
      </c>
      <c r="E216" s="32" t="s">
        <v>15</v>
      </c>
      <c r="F216" s="32" t="str">
        <f t="shared" si="68"/>
        <v>M21</v>
      </c>
      <c r="G216" s="62" t="str">
        <f t="shared" si="68"/>
        <v>006</v>
      </c>
      <c r="H216" s="38" t="str">
        <f t="shared" si="68"/>
        <v>C3</v>
      </c>
      <c r="I216" s="38">
        <f>I215</f>
        <v>2</v>
      </c>
      <c r="J216" s="37" t="s">
        <v>36</v>
      </c>
      <c r="K216" s="37">
        <v>11</v>
      </c>
      <c r="L216" s="117">
        <v>0.16</v>
      </c>
      <c r="M216" s="117">
        <v>1.33</v>
      </c>
      <c r="N216" s="29">
        <f t="shared" si="61"/>
        <v>1.1700000000000002</v>
      </c>
      <c r="O216" s="58" t="str">
        <f t="shared" si="63"/>
        <v>OK</v>
      </c>
    </row>
    <row r="217" spans="1:15" ht="12" customHeight="1" x14ac:dyDescent="0.25">
      <c r="A217" s="54" t="s">
        <v>16</v>
      </c>
      <c r="B217" s="32">
        <v>2</v>
      </c>
      <c r="C217" s="32">
        <v>1113983</v>
      </c>
      <c r="D217" s="39">
        <v>45831</v>
      </c>
      <c r="E217" s="32" t="s">
        <v>15</v>
      </c>
      <c r="F217" s="32" t="str">
        <f t="shared" si="68"/>
        <v>M21</v>
      </c>
      <c r="G217" s="62" t="str">
        <f t="shared" si="68"/>
        <v>006</v>
      </c>
      <c r="H217" s="38" t="str">
        <f t="shared" si="68"/>
        <v>C3</v>
      </c>
      <c r="I217" s="38">
        <f>I216</f>
        <v>2</v>
      </c>
      <c r="J217" s="37" t="s">
        <v>37</v>
      </c>
      <c r="K217" s="37">
        <v>12</v>
      </c>
      <c r="L217" s="117">
        <v>0.2</v>
      </c>
      <c r="M217" s="117">
        <v>1.99</v>
      </c>
      <c r="N217" s="29">
        <f t="shared" si="61"/>
        <v>1.79</v>
      </c>
      <c r="O217" s="58" t="str">
        <f t="shared" si="63"/>
        <v>OK</v>
      </c>
    </row>
    <row r="218" spans="1:15" ht="12" customHeight="1" x14ac:dyDescent="0.25">
      <c r="A218" s="54" t="s">
        <v>16</v>
      </c>
      <c r="B218" s="32">
        <v>2</v>
      </c>
      <c r="C218" s="32">
        <v>1113983</v>
      </c>
      <c r="D218" s="39">
        <v>45831</v>
      </c>
      <c r="E218" s="32" t="s">
        <v>15</v>
      </c>
      <c r="F218" s="32" t="str">
        <f t="shared" si="68"/>
        <v>M21</v>
      </c>
      <c r="G218" s="62" t="str">
        <f t="shared" si="68"/>
        <v>006</v>
      </c>
      <c r="H218" s="38" t="str">
        <f t="shared" si="68"/>
        <v>C3</v>
      </c>
      <c r="I218" s="38">
        <f>I217</f>
        <v>2</v>
      </c>
      <c r="J218" s="37" t="s">
        <v>38</v>
      </c>
      <c r="K218" s="37">
        <v>12</v>
      </c>
      <c r="L218" s="117">
        <v>1.06</v>
      </c>
      <c r="M218" s="117">
        <v>4.13</v>
      </c>
      <c r="N218" s="29">
        <f t="shared" si="61"/>
        <v>3.07</v>
      </c>
      <c r="O218" s="58" t="str">
        <f t="shared" si="63"/>
        <v>OK</v>
      </c>
    </row>
    <row r="219" spans="1:15" ht="12" customHeight="1" x14ac:dyDescent="0.25">
      <c r="A219" s="54" t="s">
        <v>16</v>
      </c>
      <c r="B219" s="32">
        <v>2</v>
      </c>
      <c r="C219" s="32">
        <v>1113983</v>
      </c>
      <c r="D219" s="39">
        <v>45831</v>
      </c>
      <c r="E219" s="32" t="s">
        <v>15</v>
      </c>
      <c r="F219" s="32" t="str">
        <f t="shared" ref="F219:G226" si="69">F218</f>
        <v>M21</v>
      </c>
      <c r="G219" s="62" t="str">
        <f t="shared" si="69"/>
        <v>006</v>
      </c>
      <c r="H219" s="38" t="s">
        <v>43</v>
      </c>
      <c r="I219" s="38">
        <v>1</v>
      </c>
      <c r="J219" s="37" t="s">
        <v>31</v>
      </c>
      <c r="K219" s="37">
        <v>13</v>
      </c>
      <c r="L219" s="117">
        <v>7.0000000000000007E-2</v>
      </c>
      <c r="M219" s="117">
        <v>4.79</v>
      </c>
      <c r="N219" s="29">
        <f t="shared" si="61"/>
        <v>4.72</v>
      </c>
      <c r="O219" s="58" t="str">
        <f t="shared" si="63"/>
        <v>OK</v>
      </c>
    </row>
    <row r="220" spans="1:15" ht="12" customHeight="1" x14ac:dyDescent="0.25">
      <c r="A220" s="54" t="s">
        <v>16</v>
      </c>
      <c r="B220" s="32">
        <v>2</v>
      </c>
      <c r="C220" s="32">
        <v>1113983</v>
      </c>
      <c r="D220" s="39">
        <v>45831</v>
      </c>
      <c r="E220" s="32" t="s">
        <v>15</v>
      </c>
      <c r="F220" s="32" t="str">
        <f t="shared" si="69"/>
        <v>M21</v>
      </c>
      <c r="G220" s="62" t="str">
        <f t="shared" si="69"/>
        <v>006</v>
      </c>
      <c r="H220" s="38" t="str">
        <f t="shared" ref="H220:I222" si="70">H219</f>
        <v>C4</v>
      </c>
      <c r="I220" s="38">
        <f t="shared" si="70"/>
        <v>1</v>
      </c>
      <c r="J220" s="37" t="s">
        <v>32</v>
      </c>
      <c r="K220" s="37">
        <v>13</v>
      </c>
      <c r="L220" s="117">
        <v>7.0000000000000007E-2</v>
      </c>
      <c r="M220" s="117">
        <v>4.8499999999999996</v>
      </c>
      <c r="N220" s="29">
        <f t="shared" si="61"/>
        <v>4.7799999999999994</v>
      </c>
      <c r="O220" s="58" t="str">
        <f t="shared" si="63"/>
        <v>OK</v>
      </c>
    </row>
    <row r="221" spans="1:15" ht="12" customHeight="1" x14ac:dyDescent="0.25">
      <c r="A221" s="54" t="s">
        <v>16</v>
      </c>
      <c r="B221" s="32">
        <v>2</v>
      </c>
      <c r="C221" s="32">
        <v>1113983</v>
      </c>
      <c r="D221" s="39">
        <v>45831</v>
      </c>
      <c r="E221" s="32" t="s">
        <v>15</v>
      </c>
      <c r="F221" s="32" t="str">
        <f t="shared" si="69"/>
        <v>M21</v>
      </c>
      <c r="G221" s="62" t="str">
        <f t="shared" si="69"/>
        <v>006</v>
      </c>
      <c r="H221" s="38" t="str">
        <f t="shared" si="70"/>
        <v>C4</v>
      </c>
      <c r="I221" s="38">
        <f t="shared" si="70"/>
        <v>1</v>
      </c>
      <c r="J221" s="37" t="s">
        <v>33</v>
      </c>
      <c r="K221" s="37">
        <v>14</v>
      </c>
      <c r="L221" s="117">
        <v>0.06</v>
      </c>
      <c r="M221" s="117">
        <v>5.01</v>
      </c>
      <c r="N221" s="29">
        <f t="shared" si="61"/>
        <v>4.95</v>
      </c>
      <c r="O221" s="58" t="str">
        <f t="shared" si="63"/>
        <v>OK</v>
      </c>
    </row>
    <row r="222" spans="1:15" ht="12" customHeight="1" x14ac:dyDescent="0.25">
      <c r="A222" s="54" t="s">
        <v>16</v>
      </c>
      <c r="B222" s="32">
        <v>2</v>
      </c>
      <c r="C222" s="32">
        <v>1113983</v>
      </c>
      <c r="D222" s="39">
        <v>45831</v>
      </c>
      <c r="E222" s="32" t="s">
        <v>15</v>
      </c>
      <c r="F222" s="32" t="str">
        <f t="shared" si="69"/>
        <v>M21</v>
      </c>
      <c r="G222" s="62" t="str">
        <f t="shared" si="69"/>
        <v>006</v>
      </c>
      <c r="H222" s="38" t="str">
        <f t="shared" si="70"/>
        <v>C4</v>
      </c>
      <c r="I222" s="38">
        <f t="shared" si="70"/>
        <v>1</v>
      </c>
      <c r="J222" s="37" t="s">
        <v>34</v>
      </c>
      <c r="K222" s="37">
        <v>14</v>
      </c>
      <c r="L222" s="117">
        <v>0.67</v>
      </c>
      <c r="M222" s="117">
        <v>2.76</v>
      </c>
      <c r="N222" s="29">
        <f t="shared" si="61"/>
        <v>2.09</v>
      </c>
      <c r="O222" s="58" t="str">
        <f t="shared" si="63"/>
        <v>OK</v>
      </c>
    </row>
    <row r="223" spans="1:15" ht="12" customHeight="1" x14ac:dyDescent="0.25">
      <c r="A223" s="54" t="s">
        <v>16</v>
      </c>
      <c r="B223" s="32">
        <v>2</v>
      </c>
      <c r="C223" s="32">
        <v>1113983</v>
      </c>
      <c r="D223" s="39">
        <v>45831</v>
      </c>
      <c r="E223" s="32" t="s">
        <v>15</v>
      </c>
      <c r="F223" s="32" t="str">
        <f t="shared" si="69"/>
        <v>M21</v>
      </c>
      <c r="G223" s="62" t="str">
        <f t="shared" si="69"/>
        <v>006</v>
      </c>
      <c r="H223" s="38" t="str">
        <f>H222</f>
        <v>C4</v>
      </c>
      <c r="I223" s="38">
        <v>2</v>
      </c>
      <c r="J223" s="37" t="s">
        <v>35</v>
      </c>
      <c r="K223" s="37">
        <v>15</v>
      </c>
      <c r="L223" s="117">
        <v>0.21</v>
      </c>
      <c r="M223" s="117">
        <v>1.66</v>
      </c>
      <c r="N223" s="29">
        <f t="shared" si="61"/>
        <v>1.45</v>
      </c>
      <c r="O223" s="58" t="str">
        <f t="shared" si="63"/>
        <v>OK</v>
      </c>
    </row>
    <row r="224" spans="1:15" ht="12" customHeight="1" x14ac:dyDescent="0.25">
      <c r="A224" s="54" t="s">
        <v>16</v>
      </c>
      <c r="B224" s="32">
        <v>2</v>
      </c>
      <c r="C224" s="32">
        <v>1113983</v>
      </c>
      <c r="D224" s="39">
        <v>45831</v>
      </c>
      <c r="E224" s="32" t="s">
        <v>15</v>
      </c>
      <c r="F224" s="32" t="str">
        <f t="shared" si="69"/>
        <v>M21</v>
      </c>
      <c r="G224" s="62" t="str">
        <f t="shared" si="69"/>
        <v>006</v>
      </c>
      <c r="H224" s="38" t="str">
        <f>H223</f>
        <v>C4</v>
      </c>
      <c r="I224" s="38">
        <f>I223</f>
        <v>2</v>
      </c>
      <c r="J224" s="37" t="s">
        <v>36</v>
      </c>
      <c r="K224" s="37">
        <v>15</v>
      </c>
      <c r="L224" s="117">
        <v>1.1200000000000001</v>
      </c>
      <c r="M224" s="117">
        <v>4.2699999999999996</v>
      </c>
      <c r="N224" s="29">
        <f t="shared" si="61"/>
        <v>3.1499999999999995</v>
      </c>
      <c r="O224" s="58" t="str">
        <f t="shared" si="63"/>
        <v>OK</v>
      </c>
    </row>
    <row r="225" spans="1:15" ht="12" customHeight="1" x14ac:dyDescent="0.25">
      <c r="A225" s="54" t="s">
        <v>16</v>
      </c>
      <c r="B225" s="32">
        <v>2</v>
      </c>
      <c r="C225" s="32">
        <v>1113983</v>
      </c>
      <c r="D225" s="39">
        <v>45831</v>
      </c>
      <c r="E225" s="32" t="s">
        <v>15</v>
      </c>
      <c r="F225" s="32" t="str">
        <f t="shared" si="69"/>
        <v>M21</v>
      </c>
      <c r="G225" s="62" t="str">
        <f t="shared" si="69"/>
        <v>006</v>
      </c>
      <c r="H225" s="38" t="str">
        <f>H224</f>
        <v>C4</v>
      </c>
      <c r="I225" s="38">
        <f>I224</f>
        <v>2</v>
      </c>
      <c r="J225" s="37" t="s">
        <v>37</v>
      </c>
      <c r="K225" s="37">
        <v>16</v>
      </c>
      <c r="L225" s="117">
        <v>1.24</v>
      </c>
      <c r="M225" s="117">
        <v>3.42</v>
      </c>
      <c r="N225" s="29">
        <f t="shared" si="61"/>
        <v>2.1799999999999997</v>
      </c>
      <c r="O225" s="58" t="str">
        <f t="shared" si="63"/>
        <v>OK</v>
      </c>
    </row>
    <row r="226" spans="1:15" ht="12" customHeight="1" x14ac:dyDescent="0.25">
      <c r="A226" s="54" t="s">
        <v>16</v>
      </c>
      <c r="B226" s="32">
        <v>2</v>
      </c>
      <c r="C226" s="32">
        <v>1113983</v>
      </c>
      <c r="D226" s="39">
        <v>45831</v>
      </c>
      <c r="E226" s="32" t="s">
        <v>15</v>
      </c>
      <c r="F226" s="32" t="str">
        <f t="shared" si="69"/>
        <v>M21</v>
      </c>
      <c r="G226" s="62" t="str">
        <f t="shared" si="69"/>
        <v>006</v>
      </c>
      <c r="H226" s="38" t="str">
        <f>H225</f>
        <v>C4</v>
      </c>
      <c r="I226" s="38">
        <f>I225</f>
        <v>2</v>
      </c>
      <c r="J226" s="37" t="s">
        <v>38</v>
      </c>
      <c r="K226" s="37">
        <v>16</v>
      </c>
      <c r="L226" s="117">
        <v>0.65</v>
      </c>
      <c r="M226" s="117">
        <v>2.0499999999999998</v>
      </c>
      <c r="N226" s="29">
        <f t="shared" si="61"/>
        <v>1.4</v>
      </c>
      <c r="O226" s="58" t="str">
        <f t="shared" si="63"/>
        <v>OK</v>
      </c>
    </row>
    <row r="227" spans="1:15" ht="12" customHeight="1" x14ac:dyDescent="0.25">
      <c r="A227" s="54" t="s">
        <v>16</v>
      </c>
      <c r="B227" s="32">
        <v>2</v>
      </c>
      <c r="C227" s="32">
        <v>1113983</v>
      </c>
      <c r="D227" s="39">
        <v>45831</v>
      </c>
      <c r="E227" s="32" t="s">
        <v>15</v>
      </c>
      <c r="F227" s="32" t="s">
        <v>44</v>
      </c>
      <c r="G227" s="62" t="s">
        <v>53</v>
      </c>
      <c r="H227" s="38" t="s">
        <v>46</v>
      </c>
      <c r="I227" s="38">
        <v>1</v>
      </c>
      <c r="J227" s="37" t="s">
        <v>31</v>
      </c>
      <c r="K227" s="37">
        <v>17</v>
      </c>
      <c r="L227" s="117">
        <v>0.38</v>
      </c>
      <c r="M227" s="117">
        <v>1.91</v>
      </c>
      <c r="N227" s="29">
        <f t="shared" ref="N227:N258" si="71">+M227-L227</f>
        <v>1.5299999999999998</v>
      </c>
      <c r="O227" s="58" t="str">
        <f t="shared" si="63"/>
        <v>OK</v>
      </c>
    </row>
    <row r="228" spans="1:15" ht="12" customHeight="1" x14ac:dyDescent="0.25">
      <c r="A228" s="54" t="s">
        <v>16</v>
      </c>
      <c r="B228" s="32">
        <v>2</v>
      </c>
      <c r="C228" s="32">
        <v>1113983</v>
      </c>
      <c r="D228" s="39">
        <v>45831</v>
      </c>
      <c r="E228" s="32" t="s">
        <v>15</v>
      </c>
      <c r="F228" s="32" t="str">
        <f t="shared" ref="F228:I230" si="72">F227</f>
        <v>M22</v>
      </c>
      <c r="G228" s="62" t="str">
        <f t="shared" si="72"/>
        <v>303</v>
      </c>
      <c r="H228" s="38" t="str">
        <f t="shared" si="72"/>
        <v>C5</v>
      </c>
      <c r="I228" s="38">
        <f t="shared" si="72"/>
        <v>1</v>
      </c>
      <c r="J228" s="37" t="s">
        <v>32</v>
      </c>
      <c r="K228" s="37">
        <v>17</v>
      </c>
      <c r="L228" s="117">
        <v>1.06</v>
      </c>
      <c r="M228" s="117">
        <v>4.03</v>
      </c>
      <c r="N228" s="29">
        <f t="shared" si="71"/>
        <v>2.97</v>
      </c>
      <c r="O228" s="58" t="str">
        <f t="shared" si="63"/>
        <v>OK</v>
      </c>
    </row>
    <row r="229" spans="1:15" ht="12" customHeight="1" x14ac:dyDescent="0.25">
      <c r="A229" s="54" t="s">
        <v>16</v>
      </c>
      <c r="B229" s="32">
        <v>2</v>
      </c>
      <c r="C229" s="32">
        <v>1113983</v>
      </c>
      <c r="D229" s="39">
        <v>45831</v>
      </c>
      <c r="E229" s="32" t="s">
        <v>15</v>
      </c>
      <c r="F229" s="32" t="str">
        <f t="shared" si="72"/>
        <v>M22</v>
      </c>
      <c r="G229" s="62" t="str">
        <f t="shared" si="72"/>
        <v>303</v>
      </c>
      <c r="H229" s="38" t="str">
        <f t="shared" si="72"/>
        <v>C5</v>
      </c>
      <c r="I229" s="38">
        <f t="shared" si="72"/>
        <v>1</v>
      </c>
      <c r="J229" s="37" t="s">
        <v>33</v>
      </c>
      <c r="K229" s="37">
        <v>18</v>
      </c>
      <c r="L229" s="117">
        <v>0.56999999999999995</v>
      </c>
      <c r="M229" s="117">
        <v>4.2699999999999996</v>
      </c>
      <c r="N229" s="29">
        <f t="shared" si="71"/>
        <v>3.6999999999999997</v>
      </c>
      <c r="O229" s="58" t="str">
        <f t="shared" si="63"/>
        <v>OK</v>
      </c>
    </row>
    <row r="230" spans="1:15" ht="12" customHeight="1" x14ac:dyDescent="0.25">
      <c r="A230" s="54" t="s">
        <v>16</v>
      </c>
      <c r="B230" s="32">
        <v>2</v>
      </c>
      <c r="C230" s="32">
        <v>1113983</v>
      </c>
      <c r="D230" s="39">
        <v>45831</v>
      </c>
      <c r="E230" s="32" t="s">
        <v>15</v>
      </c>
      <c r="F230" s="32" t="str">
        <f t="shared" si="72"/>
        <v>M22</v>
      </c>
      <c r="G230" s="62" t="str">
        <f t="shared" si="72"/>
        <v>303</v>
      </c>
      <c r="H230" s="38" t="str">
        <f t="shared" si="72"/>
        <v>C5</v>
      </c>
      <c r="I230" s="38">
        <f t="shared" si="72"/>
        <v>1</v>
      </c>
      <c r="J230" s="37" t="s">
        <v>34</v>
      </c>
      <c r="K230" s="37">
        <v>18</v>
      </c>
      <c r="L230" s="117">
        <v>0.62</v>
      </c>
      <c r="M230" s="117">
        <v>1.33</v>
      </c>
      <c r="N230" s="29">
        <f t="shared" si="71"/>
        <v>0.71000000000000008</v>
      </c>
      <c r="O230" s="58" t="str">
        <f t="shared" si="63"/>
        <v>Seguimiento</v>
      </c>
    </row>
    <row r="231" spans="1:15" ht="12" customHeight="1" x14ac:dyDescent="0.25">
      <c r="A231" s="54" t="s">
        <v>16</v>
      </c>
      <c r="B231" s="32">
        <v>2</v>
      </c>
      <c r="C231" s="32">
        <v>1113983</v>
      </c>
      <c r="D231" s="39">
        <v>45831</v>
      </c>
      <c r="E231" s="32" t="s">
        <v>15</v>
      </c>
      <c r="F231" s="32" t="str">
        <f t="shared" ref="F231:H234" si="73">F230</f>
        <v>M22</v>
      </c>
      <c r="G231" s="62" t="str">
        <f t="shared" si="73"/>
        <v>303</v>
      </c>
      <c r="H231" s="38" t="str">
        <f t="shared" si="73"/>
        <v>C5</v>
      </c>
      <c r="I231" s="38">
        <v>2</v>
      </c>
      <c r="J231" s="37" t="s">
        <v>35</v>
      </c>
      <c r="K231" s="37">
        <v>19</v>
      </c>
      <c r="L231" s="117">
        <v>0.65</v>
      </c>
      <c r="M231" s="117">
        <v>5.0999999999999996</v>
      </c>
      <c r="N231" s="29">
        <f t="shared" si="71"/>
        <v>4.4499999999999993</v>
      </c>
      <c r="O231" s="58" t="str">
        <f t="shared" si="63"/>
        <v>OK</v>
      </c>
    </row>
    <row r="232" spans="1:15" ht="12" customHeight="1" x14ac:dyDescent="0.25">
      <c r="A232" s="54" t="s">
        <v>16</v>
      </c>
      <c r="B232" s="32">
        <v>2</v>
      </c>
      <c r="C232" s="32">
        <v>1113983</v>
      </c>
      <c r="D232" s="39">
        <v>45831</v>
      </c>
      <c r="E232" s="32" t="s">
        <v>15</v>
      </c>
      <c r="F232" s="32" t="str">
        <f t="shared" si="73"/>
        <v>M22</v>
      </c>
      <c r="G232" s="62" t="str">
        <f t="shared" si="73"/>
        <v>303</v>
      </c>
      <c r="H232" s="38" t="str">
        <f t="shared" si="73"/>
        <v>C5</v>
      </c>
      <c r="I232" s="38">
        <f>I231</f>
        <v>2</v>
      </c>
      <c r="J232" s="37" t="s">
        <v>36</v>
      </c>
      <c r="K232" s="37">
        <v>19</v>
      </c>
      <c r="L232" s="117">
        <v>1.28</v>
      </c>
      <c r="M232" s="117">
        <v>4.7</v>
      </c>
      <c r="N232" s="29">
        <f t="shared" si="71"/>
        <v>3.42</v>
      </c>
      <c r="O232" s="58" t="str">
        <f t="shared" si="63"/>
        <v>OK</v>
      </c>
    </row>
    <row r="233" spans="1:15" ht="12" customHeight="1" x14ac:dyDescent="0.25">
      <c r="A233" s="54" t="s">
        <v>16</v>
      </c>
      <c r="B233" s="32">
        <v>2</v>
      </c>
      <c r="C233" s="32">
        <v>1113983</v>
      </c>
      <c r="D233" s="39">
        <v>45831</v>
      </c>
      <c r="E233" s="32" t="s">
        <v>15</v>
      </c>
      <c r="F233" s="32" t="str">
        <f t="shared" si="73"/>
        <v>M22</v>
      </c>
      <c r="G233" s="62" t="str">
        <f t="shared" si="73"/>
        <v>303</v>
      </c>
      <c r="H233" s="38" t="str">
        <f t="shared" si="73"/>
        <v>C5</v>
      </c>
      <c r="I233" s="38">
        <f>I232</f>
        <v>2</v>
      </c>
      <c r="J233" s="37" t="s">
        <v>37</v>
      </c>
      <c r="K233" s="37">
        <v>20</v>
      </c>
      <c r="L233" s="117">
        <v>0.25</v>
      </c>
      <c r="M233" s="117">
        <v>2</v>
      </c>
      <c r="N233" s="29">
        <f t="shared" si="71"/>
        <v>1.75</v>
      </c>
      <c r="O233" s="58" t="str">
        <f t="shared" si="63"/>
        <v>OK</v>
      </c>
    </row>
    <row r="234" spans="1:15" ht="12" customHeight="1" x14ac:dyDescent="0.25">
      <c r="A234" s="54" t="s">
        <v>16</v>
      </c>
      <c r="B234" s="32">
        <v>2</v>
      </c>
      <c r="C234" s="32">
        <v>1113983</v>
      </c>
      <c r="D234" s="39">
        <v>45831</v>
      </c>
      <c r="E234" s="32" t="s">
        <v>15</v>
      </c>
      <c r="F234" s="32" t="str">
        <f t="shared" si="73"/>
        <v>M22</v>
      </c>
      <c r="G234" s="62" t="str">
        <f t="shared" si="73"/>
        <v>303</v>
      </c>
      <c r="H234" s="38" t="str">
        <f t="shared" si="73"/>
        <v>C5</v>
      </c>
      <c r="I234" s="38">
        <f>I233</f>
        <v>2</v>
      </c>
      <c r="J234" s="37" t="s">
        <v>38</v>
      </c>
      <c r="K234" s="37">
        <v>20</v>
      </c>
      <c r="L234" s="117">
        <v>0.42</v>
      </c>
      <c r="M234" s="117">
        <v>4.6500000000000004</v>
      </c>
      <c r="N234" s="29">
        <f t="shared" si="71"/>
        <v>4.2300000000000004</v>
      </c>
      <c r="O234" s="58" t="str">
        <f t="shared" si="63"/>
        <v>OK</v>
      </c>
    </row>
    <row r="235" spans="1:15" ht="12" customHeight="1" x14ac:dyDescent="0.25">
      <c r="A235" s="54" t="s">
        <v>16</v>
      </c>
      <c r="B235" s="32">
        <v>2</v>
      </c>
      <c r="C235" s="32">
        <v>1113983</v>
      </c>
      <c r="D235" s="39">
        <v>45831</v>
      </c>
      <c r="E235" s="32" t="s">
        <v>15</v>
      </c>
      <c r="F235" s="32" t="str">
        <f t="shared" ref="F235:G242" si="74">F234</f>
        <v>M22</v>
      </c>
      <c r="G235" s="62" t="str">
        <f t="shared" si="74"/>
        <v>303</v>
      </c>
      <c r="H235" s="38" t="s">
        <v>47</v>
      </c>
      <c r="I235" s="38">
        <v>1</v>
      </c>
      <c r="J235" s="37" t="s">
        <v>31</v>
      </c>
      <c r="K235" s="37">
        <v>21</v>
      </c>
      <c r="L235" s="117">
        <v>0.74</v>
      </c>
      <c r="M235" s="117">
        <v>0.87</v>
      </c>
      <c r="N235" s="29">
        <f t="shared" si="71"/>
        <v>0.13</v>
      </c>
      <c r="O235" s="58" t="str">
        <f t="shared" si="63"/>
        <v>Cambio</v>
      </c>
    </row>
    <row r="236" spans="1:15" ht="12" customHeight="1" x14ac:dyDescent="0.25">
      <c r="A236" s="54" t="s">
        <v>16</v>
      </c>
      <c r="B236" s="32">
        <v>2</v>
      </c>
      <c r="C236" s="32">
        <v>1113983</v>
      </c>
      <c r="D236" s="39">
        <v>45831</v>
      </c>
      <c r="E236" s="32" t="s">
        <v>15</v>
      </c>
      <c r="F236" s="32" t="str">
        <f t="shared" si="74"/>
        <v>M22</v>
      </c>
      <c r="G236" s="62" t="str">
        <f t="shared" si="74"/>
        <v>303</v>
      </c>
      <c r="H236" s="38" t="str">
        <f t="shared" ref="H236:I238" si="75">H235</f>
        <v>C6</v>
      </c>
      <c r="I236" s="38">
        <f t="shared" si="75"/>
        <v>1</v>
      </c>
      <c r="J236" s="37" t="s">
        <v>32</v>
      </c>
      <c r="K236" s="37">
        <v>21</v>
      </c>
      <c r="L236" s="117">
        <v>0.6</v>
      </c>
      <c r="M236" s="117">
        <v>4.78</v>
      </c>
      <c r="N236" s="29">
        <f t="shared" si="71"/>
        <v>4.1800000000000006</v>
      </c>
      <c r="O236" s="58" t="str">
        <f t="shared" si="63"/>
        <v>OK</v>
      </c>
    </row>
    <row r="237" spans="1:15" ht="12" customHeight="1" x14ac:dyDescent="0.25">
      <c r="A237" s="54" t="s">
        <v>16</v>
      </c>
      <c r="B237" s="32">
        <v>2</v>
      </c>
      <c r="C237" s="32">
        <v>1113983</v>
      </c>
      <c r="D237" s="39">
        <v>45831</v>
      </c>
      <c r="E237" s="32" t="s">
        <v>15</v>
      </c>
      <c r="F237" s="32" t="str">
        <f t="shared" si="74"/>
        <v>M22</v>
      </c>
      <c r="G237" s="62" t="str">
        <f t="shared" si="74"/>
        <v>303</v>
      </c>
      <c r="H237" s="38" t="str">
        <f t="shared" si="75"/>
        <v>C6</v>
      </c>
      <c r="I237" s="38">
        <f t="shared" si="75"/>
        <v>1</v>
      </c>
      <c r="J237" s="37" t="s">
        <v>33</v>
      </c>
      <c r="K237" s="37">
        <v>22</v>
      </c>
      <c r="L237" s="117">
        <v>1.29</v>
      </c>
      <c r="M237" s="117">
        <v>2.52</v>
      </c>
      <c r="N237" s="29">
        <f t="shared" si="71"/>
        <v>1.23</v>
      </c>
      <c r="O237" s="58" t="str">
        <f t="shared" si="63"/>
        <v>OK</v>
      </c>
    </row>
    <row r="238" spans="1:15" ht="12" customHeight="1" x14ac:dyDescent="0.25">
      <c r="A238" s="54" t="s">
        <v>16</v>
      </c>
      <c r="B238" s="32">
        <v>2</v>
      </c>
      <c r="C238" s="32">
        <v>1113983</v>
      </c>
      <c r="D238" s="39">
        <v>45831</v>
      </c>
      <c r="E238" s="32" t="s">
        <v>15</v>
      </c>
      <c r="F238" s="32" t="str">
        <f t="shared" si="74"/>
        <v>M22</v>
      </c>
      <c r="G238" s="62" t="str">
        <f t="shared" si="74"/>
        <v>303</v>
      </c>
      <c r="H238" s="38" t="str">
        <f t="shared" si="75"/>
        <v>C6</v>
      </c>
      <c r="I238" s="38">
        <f t="shared" si="75"/>
        <v>1</v>
      </c>
      <c r="J238" s="37" t="s">
        <v>34</v>
      </c>
      <c r="K238" s="37">
        <v>22</v>
      </c>
      <c r="L238" s="117">
        <v>1.32</v>
      </c>
      <c r="M238" s="117">
        <v>2</v>
      </c>
      <c r="N238" s="29">
        <f t="shared" si="71"/>
        <v>0.67999999999999994</v>
      </c>
      <c r="O238" s="58" t="str">
        <f t="shared" si="63"/>
        <v>Seguimiento</v>
      </c>
    </row>
    <row r="239" spans="1:15" ht="12" customHeight="1" x14ac:dyDescent="0.25">
      <c r="A239" s="54" t="s">
        <v>16</v>
      </c>
      <c r="B239" s="32">
        <v>2</v>
      </c>
      <c r="C239" s="32">
        <v>1113983</v>
      </c>
      <c r="D239" s="39">
        <v>45831</v>
      </c>
      <c r="E239" s="32" t="s">
        <v>15</v>
      </c>
      <c r="F239" s="32" t="str">
        <f t="shared" si="74"/>
        <v>M22</v>
      </c>
      <c r="G239" s="62" t="str">
        <f t="shared" si="74"/>
        <v>303</v>
      </c>
      <c r="H239" s="38" t="str">
        <f>H238</f>
        <v>C6</v>
      </c>
      <c r="I239" s="38">
        <v>2</v>
      </c>
      <c r="J239" s="37" t="s">
        <v>35</v>
      </c>
      <c r="K239" s="37">
        <v>23</v>
      </c>
      <c r="L239" s="117">
        <v>1.07</v>
      </c>
      <c r="M239" s="117">
        <v>4.8499999999999996</v>
      </c>
      <c r="N239" s="29">
        <f t="shared" si="71"/>
        <v>3.7799999999999994</v>
      </c>
      <c r="O239" s="58" t="str">
        <f t="shared" si="63"/>
        <v>OK</v>
      </c>
    </row>
    <row r="240" spans="1:15" ht="12" customHeight="1" x14ac:dyDescent="0.25">
      <c r="A240" s="54" t="s">
        <v>16</v>
      </c>
      <c r="B240" s="32">
        <v>2</v>
      </c>
      <c r="C240" s="32">
        <v>1113983</v>
      </c>
      <c r="D240" s="39">
        <v>45831</v>
      </c>
      <c r="E240" s="32" t="s">
        <v>15</v>
      </c>
      <c r="F240" s="32" t="str">
        <f t="shared" si="74"/>
        <v>M22</v>
      </c>
      <c r="G240" s="62" t="str">
        <f t="shared" si="74"/>
        <v>303</v>
      </c>
      <c r="H240" s="38" t="str">
        <f>H239</f>
        <v>C6</v>
      </c>
      <c r="I240" s="38">
        <f>I239</f>
        <v>2</v>
      </c>
      <c r="J240" s="37" t="s">
        <v>36</v>
      </c>
      <c r="K240" s="37">
        <v>23</v>
      </c>
      <c r="L240" s="117">
        <v>0.56999999999999995</v>
      </c>
      <c r="M240" s="117">
        <v>4.93</v>
      </c>
      <c r="N240" s="29">
        <f t="shared" si="71"/>
        <v>4.3599999999999994</v>
      </c>
      <c r="O240" s="58" t="str">
        <f t="shared" si="63"/>
        <v>OK</v>
      </c>
    </row>
    <row r="241" spans="1:15" ht="12" customHeight="1" x14ac:dyDescent="0.25">
      <c r="A241" s="54" t="s">
        <v>16</v>
      </c>
      <c r="B241" s="32">
        <v>2</v>
      </c>
      <c r="C241" s="32">
        <v>1113983</v>
      </c>
      <c r="D241" s="39">
        <v>45831</v>
      </c>
      <c r="E241" s="32" t="s">
        <v>15</v>
      </c>
      <c r="F241" s="32" t="str">
        <f t="shared" si="74"/>
        <v>M22</v>
      </c>
      <c r="G241" s="62" t="str">
        <f t="shared" si="74"/>
        <v>303</v>
      </c>
      <c r="H241" s="38" t="str">
        <f>H240</f>
        <v>C6</v>
      </c>
      <c r="I241" s="38">
        <f>I240</f>
        <v>2</v>
      </c>
      <c r="J241" s="37" t="s">
        <v>37</v>
      </c>
      <c r="K241" s="37">
        <v>24</v>
      </c>
      <c r="L241" s="117">
        <v>1.65</v>
      </c>
      <c r="M241" s="117">
        <v>3.26</v>
      </c>
      <c r="N241" s="29">
        <f t="shared" si="71"/>
        <v>1.6099999999999999</v>
      </c>
      <c r="O241" s="58" t="str">
        <f t="shared" si="63"/>
        <v>Reperfilado</v>
      </c>
    </row>
    <row r="242" spans="1:15" ht="12" customHeight="1" x14ac:dyDescent="0.25">
      <c r="A242" s="54" t="s">
        <v>16</v>
      </c>
      <c r="B242" s="32">
        <v>2</v>
      </c>
      <c r="C242" s="32">
        <v>1113983</v>
      </c>
      <c r="D242" s="39">
        <v>45831</v>
      </c>
      <c r="E242" s="32" t="s">
        <v>15</v>
      </c>
      <c r="F242" s="32" t="str">
        <f t="shared" si="74"/>
        <v>M22</v>
      </c>
      <c r="G242" s="62" t="str">
        <f t="shared" si="74"/>
        <v>303</v>
      </c>
      <c r="H242" s="38" t="str">
        <f>H241</f>
        <v>C6</v>
      </c>
      <c r="I242" s="38">
        <f>I241</f>
        <v>2</v>
      </c>
      <c r="J242" s="37" t="s">
        <v>38</v>
      </c>
      <c r="K242" s="37">
        <v>24</v>
      </c>
      <c r="L242" s="117">
        <v>0.76</v>
      </c>
      <c r="M242" s="117">
        <v>4.71</v>
      </c>
      <c r="N242" s="29">
        <f t="shared" si="71"/>
        <v>3.95</v>
      </c>
      <c r="O242" s="58" t="str">
        <f t="shared" si="63"/>
        <v>OK</v>
      </c>
    </row>
    <row r="243" spans="1:15" ht="12" customHeight="1" x14ac:dyDescent="0.25">
      <c r="A243" s="54" t="s">
        <v>16</v>
      </c>
      <c r="B243" s="32">
        <v>2</v>
      </c>
      <c r="C243" s="32">
        <v>1113983</v>
      </c>
      <c r="D243" s="39">
        <v>45831</v>
      </c>
      <c r="E243" s="32" t="s">
        <v>15</v>
      </c>
      <c r="F243" s="32" t="s">
        <v>44</v>
      </c>
      <c r="G243" s="62" t="s">
        <v>54</v>
      </c>
      <c r="H243" s="38" t="s">
        <v>47</v>
      </c>
      <c r="I243" s="38">
        <v>2</v>
      </c>
      <c r="J243" s="37" t="s">
        <v>31</v>
      </c>
      <c r="K243" s="37">
        <v>25</v>
      </c>
      <c r="L243" s="117">
        <v>0.55000000000000004</v>
      </c>
      <c r="M243" s="117">
        <v>4.96</v>
      </c>
      <c r="N243" s="29">
        <f t="shared" si="71"/>
        <v>4.41</v>
      </c>
      <c r="O243" s="58" t="str">
        <f t="shared" si="63"/>
        <v>OK</v>
      </c>
    </row>
    <row r="244" spans="1:15" ht="12" customHeight="1" x14ac:dyDescent="0.25">
      <c r="A244" s="54" t="s">
        <v>16</v>
      </c>
      <c r="B244" s="32">
        <v>2</v>
      </c>
      <c r="C244" s="32">
        <v>1113983</v>
      </c>
      <c r="D244" s="39">
        <v>45831</v>
      </c>
      <c r="E244" s="32" t="s">
        <v>15</v>
      </c>
      <c r="F244" s="32" t="str">
        <f t="shared" ref="F244:I246" si="76">F243</f>
        <v>M22</v>
      </c>
      <c r="G244" s="62" t="str">
        <f t="shared" si="76"/>
        <v>305</v>
      </c>
      <c r="H244" s="38" t="str">
        <f t="shared" si="76"/>
        <v>C6</v>
      </c>
      <c r="I244" s="38">
        <f t="shared" si="76"/>
        <v>2</v>
      </c>
      <c r="J244" s="37" t="s">
        <v>32</v>
      </c>
      <c r="K244" s="37">
        <v>25</v>
      </c>
      <c r="L244" s="117">
        <v>0.64</v>
      </c>
      <c r="M244" s="117">
        <v>2.08</v>
      </c>
      <c r="N244" s="29">
        <f t="shared" si="71"/>
        <v>1.44</v>
      </c>
      <c r="O244" s="58" t="str">
        <f t="shared" si="63"/>
        <v>OK</v>
      </c>
    </row>
    <row r="245" spans="1:15" ht="12" customHeight="1" x14ac:dyDescent="0.25">
      <c r="A245" s="54" t="s">
        <v>16</v>
      </c>
      <c r="B245" s="32">
        <v>2</v>
      </c>
      <c r="C245" s="32">
        <v>1113983</v>
      </c>
      <c r="D245" s="39">
        <v>45831</v>
      </c>
      <c r="E245" s="32" t="s">
        <v>15</v>
      </c>
      <c r="F245" s="32" t="str">
        <f t="shared" si="76"/>
        <v>M22</v>
      </c>
      <c r="G245" s="62" t="str">
        <f t="shared" si="76"/>
        <v>305</v>
      </c>
      <c r="H245" s="38" t="str">
        <f t="shared" si="76"/>
        <v>C6</v>
      </c>
      <c r="I245" s="38">
        <f t="shared" si="76"/>
        <v>2</v>
      </c>
      <c r="J245" s="37" t="s">
        <v>33</v>
      </c>
      <c r="K245" s="37">
        <v>26</v>
      </c>
      <c r="L245" s="117">
        <v>0.73</v>
      </c>
      <c r="M245" s="117">
        <v>1.76</v>
      </c>
      <c r="N245" s="29">
        <f t="shared" si="71"/>
        <v>1.03</v>
      </c>
      <c r="O245" s="58" t="str">
        <f t="shared" si="63"/>
        <v>OK</v>
      </c>
    </row>
    <row r="246" spans="1:15" ht="12" customHeight="1" x14ac:dyDescent="0.25">
      <c r="A246" s="54" t="s">
        <v>16</v>
      </c>
      <c r="B246" s="32">
        <v>2</v>
      </c>
      <c r="C246" s="32">
        <v>1113983</v>
      </c>
      <c r="D246" s="39">
        <v>45831</v>
      </c>
      <c r="E246" s="32" t="s">
        <v>15</v>
      </c>
      <c r="F246" s="32" t="str">
        <f t="shared" si="76"/>
        <v>M22</v>
      </c>
      <c r="G246" s="62" t="str">
        <f t="shared" si="76"/>
        <v>305</v>
      </c>
      <c r="H246" s="38" t="str">
        <f t="shared" si="76"/>
        <v>C6</v>
      </c>
      <c r="I246" s="38">
        <f t="shared" si="76"/>
        <v>2</v>
      </c>
      <c r="J246" s="37" t="s">
        <v>34</v>
      </c>
      <c r="K246" s="37">
        <v>26</v>
      </c>
      <c r="L246" s="117">
        <v>0.78</v>
      </c>
      <c r="M246" s="117">
        <v>4.75</v>
      </c>
      <c r="N246" s="29">
        <f t="shared" si="71"/>
        <v>3.9699999999999998</v>
      </c>
      <c r="O246" s="58" t="str">
        <f t="shared" si="63"/>
        <v>OK</v>
      </c>
    </row>
    <row r="247" spans="1:15" ht="12" customHeight="1" x14ac:dyDescent="0.25">
      <c r="A247" s="54" t="s">
        <v>16</v>
      </c>
      <c r="B247" s="32">
        <v>2</v>
      </c>
      <c r="C247" s="32">
        <v>1113983</v>
      </c>
      <c r="D247" s="39">
        <v>45831</v>
      </c>
      <c r="E247" s="32" t="s">
        <v>15</v>
      </c>
      <c r="F247" s="32" t="str">
        <f t="shared" ref="F247:H250" si="77">F246</f>
        <v>M22</v>
      </c>
      <c r="G247" s="62" t="str">
        <f t="shared" si="77"/>
        <v>305</v>
      </c>
      <c r="H247" s="38" t="str">
        <f t="shared" si="77"/>
        <v>C6</v>
      </c>
      <c r="I247" s="38">
        <v>1</v>
      </c>
      <c r="J247" s="37" t="s">
        <v>35</v>
      </c>
      <c r="K247" s="37">
        <v>27</v>
      </c>
      <c r="L247" s="117">
        <v>1.1399999999999999</v>
      </c>
      <c r="M247" s="117">
        <v>4.87</v>
      </c>
      <c r="N247" s="29">
        <f t="shared" si="71"/>
        <v>3.7300000000000004</v>
      </c>
      <c r="O247" s="58" t="str">
        <f t="shared" si="63"/>
        <v>OK</v>
      </c>
    </row>
    <row r="248" spans="1:15" ht="12" customHeight="1" x14ac:dyDescent="0.25">
      <c r="A248" s="54" t="s">
        <v>16</v>
      </c>
      <c r="B248" s="32">
        <v>2</v>
      </c>
      <c r="C248" s="32">
        <v>1113983</v>
      </c>
      <c r="D248" s="39">
        <v>45831</v>
      </c>
      <c r="E248" s="32" t="s">
        <v>15</v>
      </c>
      <c r="F248" s="32" t="str">
        <f t="shared" si="77"/>
        <v>M22</v>
      </c>
      <c r="G248" s="62" t="str">
        <f t="shared" si="77"/>
        <v>305</v>
      </c>
      <c r="H248" s="38" t="str">
        <f t="shared" si="77"/>
        <v>C6</v>
      </c>
      <c r="I248" s="38">
        <f>I247</f>
        <v>1</v>
      </c>
      <c r="J248" s="37" t="s">
        <v>36</v>
      </c>
      <c r="K248" s="37">
        <v>27</v>
      </c>
      <c r="L248" s="117">
        <v>1.47</v>
      </c>
      <c r="M248" s="117">
        <v>4.91</v>
      </c>
      <c r="N248" s="29">
        <f t="shared" si="71"/>
        <v>3.4400000000000004</v>
      </c>
      <c r="O248" s="58" t="str">
        <f t="shared" si="63"/>
        <v>OK</v>
      </c>
    </row>
    <row r="249" spans="1:15" ht="12" customHeight="1" x14ac:dyDescent="0.25">
      <c r="A249" s="54" t="s">
        <v>16</v>
      </c>
      <c r="B249" s="32">
        <v>2</v>
      </c>
      <c r="C249" s="32">
        <v>1113983</v>
      </c>
      <c r="D249" s="39">
        <v>45831</v>
      </c>
      <c r="E249" s="32" t="s">
        <v>15</v>
      </c>
      <c r="F249" s="32" t="str">
        <f t="shared" si="77"/>
        <v>M22</v>
      </c>
      <c r="G249" s="62" t="str">
        <f t="shared" si="77"/>
        <v>305</v>
      </c>
      <c r="H249" s="38" t="str">
        <f t="shared" si="77"/>
        <v>C6</v>
      </c>
      <c r="I249" s="38">
        <f>I248</f>
        <v>1</v>
      </c>
      <c r="J249" s="37" t="s">
        <v>37</v>
      </c>
      <c r="K249" s="37">
        <v>28</v>
      </c>
      <c r="L249" s="117">
        <v>0.76</v>
      </c>
      <c r="M249" s="117">
        <v>4.6900000000000004</v>
      </c>
      <c r="N249" s="29">
        <f t="shared" si="71"/>
        <v>3.9300000000000006</v>
      </c>
      <c r="O249" s="58" t="str">
        <f t="shared" si="63"/>
        <v>OK</v>
      </c>
    </row>
    <row r="250" spans="1:15" ht="12" customHeight="1" x14ac:dyDescent="0.25">
      <c r="A250" s="54" t="s">
        <v>16</v>
      </c>
      <c r="B250" s="32">
        <v>2</v>
      </c>
      <c r="C250" s="32">
        <v>1113983</v>
      </c>
      <c r="D250" s="39">
        <v>45831</v>
      </c>
      <c r="E250" s="32" t="s">
        <v>15</v>
      </c>
      <c r="F250" s="32" t="str">
        <f t="shared" si="77"/>
        <v>M22</v>
      </c>
      <c r="G250" s="62" t="str">
        <f t="shared" si="77"/>
        <v>305</v>
      </c>
      <c r="H250" s="38" t="str">
        <f t="shared" si="77"/>
        <v>C6</v>
      </c>
      <c r="I250" s="38">
        <f>I249</f>
        <v>1</v>
      </c>
      <c r="J250" s="37" t="s">
        <v>38</v>
      </c>
      <c r="K250" s="37">
        <v>28</v>
      </c>
      <c r="L250" s="117">
        <v>0.56999999999999995</v>
      </c>
      <c r="M250" s="117">
        <v>5.0599999999999996</v>
      </c>
      <c r="N250" s="29">
        <f t="shared" si="71"/>
        <v>4.4899999999999993</v>
      </c>
      <c r="O250" s="58" t="str">
        <f t="shared" si="63"/>
        <v>OK</v>
      </c>
    </row>
    <row r="251" spans="1:15" ht="12" customHeight="1" x14ac:dyDescent="0.25">
      <c r="A251" s="54" t="s">
        <v>16</v>
      </c>
      <c r="B251" s="32">
        <v>2</v>
      </c>
      <c r="C251" s="32">
        <v>1113983</v>
      </c>
      <c r="D251" s="39">
        <v>45831</v>
      </c>
      <c r="E251" s="32" t="s">
        <v>15</v>
      </c>
      <c r="F251" s="32" t="str">
        <f t="shared" ref="F251:G258" si="78">F250</f>
        <v>M22</v>
      </c>
      <c r="G251" s="62" t="str">
        <f t="shared" si="78"/>
        <v>305</v>
      </c>
      <c r="H251" s="38" t="s">
        <v>46</v>
      </c>
      <c r="I251" s="38">
        <v>2</v>
      </c>
      <c r="J251" s="37" t="s">
        <v>31</v>
      </c>
      <c r="K251" s="37">
        <v>29</v>
      </c>
      <c r="L251" s="117">
        <v>0.64</v>
      </c>
      <c r="M251" s="117">
        <v>4.99</v>
      </c>
      <c r="N251" s="29">
        <f t="shared" si="71"/>
        <v>4.3500000000000005</v>
      </c>
      <c r="O251" s="58" t="str">
        <f t="shared" si="63"/>
        <v>OK</v>
      </c>
    </row>
    <row r="252" spans="1:15" ht="12" customHeight="1" x14ac:dyDescent="0.25">
      <c r="A252" s="54" t="s">
        <v>16</v>
      </c>
      <c r="B252" s="32">
        <v>2</v>
      </c>
      <c r="C252" s="32">
        <v>1113983</v>
      </c>
      <c r="D252" s="39">
        <v>45831</v>
      </c>
      <c r="E252" s="32" t="s">
        <v>15</v>
      </c>
      <c r="F252" s="32" t="str">
        <f t="shared" si="78"/>
        <v>M22</v>
      </c>
      <c r="G252" s="62" t="str">
        <f t="shared" si="78"/>
        <v>305</v>
      </c>
      <c r="H252" s="38" t="str">
        <f t="shared" ref="H252:I254" si="79">H251</f>
        <v>C5</v>
      </c>
      <c r="I252" s="38">
        <f t="shared" si="79"/>
        <v>2</v>
      </c>
      <c r="J252" s="37" t="s">
        <v>32</v>
      </c>
      <c r="K252" s="37">
        <v>29</v>
      </c>
      <c r="L252" s="117">
        <v>0.52</v>
      </c>
      <c r="M252" s="117">
        <v>1.51</v>
      </c>
      <c r="N252" s="29">
        <f t="shared" si="71"/>
        <v>0.99</v>
      </c>
      <c r="O252" s="58" t="str">
        <f t="shared" si="63"/>
        <v>Seguimiento</v>
      </c>
    </row>
    <row r="253" spans="1:15" ht="12" customHeight="1" x14ac:dyDescent="0.25">
      <c r="A253" s="54" t="s">
        <v>16</v>
      </c>
      <c r="B253" s="32">
        <v>2</v>
      </c>
      <c r="C253" s="32">
        <v>1113983</v>
      </c>
      <c r="D253" s="39">
        <v>45831</v>
      </c>
      <c r="E253" s="32" t="s">
        <v>15</v>
      </c>
      <c r="F253" s="32" t="str">
        <f t="shared" si="78"/>
        <v>M22</v>
      </c>
      <c r="G253" s="62" t="str">
        <f t="shared" si="78"/>
        <v>305</v>
      </c>
      <c r="H253" s="38" t="str">
        <f t="shared" si="79"/>
        <v>C5</v>
      </c>
      <c r="I253" s="38">
        <f t="shared" si="79"/>
        <v>2</v>
      </c>
      <c r="J253" s="37" t="s">
        <v>33</v>
      </c>
      <c r="K253" s="37">
        <v>30</v>
      </c>
      <c r="L253" s="117">
        <v>0.79</v>
      </c>
      <c r="M253" s="117">
        <v>1.84</v>
      </c>
      <c r="N253" s="29">
        <f t="shared" si="71"/>
        <v>1.05</v>
      </c>
      <c r="O253" s="58" t="str">
        <f t="shared" si="63"/>
        <v>OK</v>
      </c>
    </row>
    <row r="254" spans="1:15" ht="12" customHeight="1" x14ac:dyDescent="0.25">
      <c r="A254" s="54" t="s">
        <v>16</v>
      </c>
      <c r="B254" s="32">
        <v>2</v>
      </c>
      <c r="C254" s="32">
        <v>1113983</v>
      </c>
      <c r="D254" s="39">
        <v>45831</v>
      </c>
      <c r="E254" s="32" t="s">
        <v>15</v>
      </c>
      <c r="F254" s="32" t="str">
        <f t="shared" si="78"/>
        <v>M22</v>
      </c>
      <c r="G254" s="62" t="str">
        <f t="shared" si="78"/>
        <v>305</v>
      </c>
      <c r="H254" s="38" t="str">
        <f t="shared" si="79"/>
        <v>C5</v>
      </c>
      <c r="I254" s="38">
        <f t="shared" si="79"/>
        <v>2</v>
      </c>
      <c r="J254" s="37" t="s">
        <v>34</v>
      </c>
      <c r="K254" s="37">
        <v>30</v>
      </c>
      <c r="L254" s="117">
        <v>0.82</v>
      </c>
      <c r="M254" s="117">
        <v>1.92</v>
      </c>
      <c r="N254" s="29">
        <f t="shared" si="71"/>
        <v>1.1000000000000001</v>
      </c>
      <c r="O254" s="58" t="str">
        <f t="shared" si="63"/>
        <v>OK</v>
      </c>
    </row>
    <row r="255" spans="1:15" ht="12" customHeight="1" x14ac:dyDescent="0.25">
      <c r="A255" s="54" t="s">
        <v>16</v>
      </c>
      <c r="B255" s="32">
        <v>2</v>
      </c>
      <c r="C255" s="32">
        <v>1113983</v>
      </c>
      <c r="D255" s="39">
        <v>45831</v>
      </c>
      <c r="E255" s="32" t="s">
        <v>15</v>
      </c>
      <c r="F255" s="32" t="str">
        <f t="shared" si="78"/>
        <v>M22</v>
      </c>
      <c r="G255" s="62" t="str">
        <f t="shared" si="78"/>
        <v>305</v>
      </c>
      <c r="H255" s="38" t="str">
        <f>H254</f>
        <v>C5</v>
      </c>
      <c r="I255" s="38">
        <v>1</v>
      </c>
      <c r="J255" s="37" t="s">
        <v>35</v>
      </c>
      <c r="K255" s="37">
        <v>31</v>
      </c>
      <c r="L255" s="117">
        <v>0.44</v>
      </c>
      <c r="M255" s="117">
        <v>2.29</v>
      </c>
      <c r="N255" s="29">
        <f t="shared" si="71"/>
        <v>1.85</v>
      </c>
      <c r="O255" s="58" t="str">
        <f t="shared" si="63"/>
        <v>OK</v>
      </c>
    </row>
    <row r="256" spans="1:15" ht="12" customHeight="1" x14ac:dyDescent="0.25">
      <c r="A256" s="54" t="s">
        <v>16</v>
      </c>
      <c r="B256" s="32">
        <v>2</v>
      </c>
      <c r="C256" s="32">
        <v>1113983</v>
      </c>
      <c r="D256" s="39">
        <v>45831</v>
      </c>
      <c r="E256" s="32" t="s">
        <v>15</v>
      </c>
      <c r="F256" s="32" t="str">
        <f t="shared" si="78"/>
        <v>M22</v>
      </c>
      <c r="G256" s="62" t="str">
        <f t="shared" si="78"/>
        <v>305</v>
      </c>
      <c r="H256" s="38" t="str">
        <f>H255</f>
        <v>C5</v>
      </c>
      <c r="I256" s="38">
        <f>I255</f>
        <v>1</v>
      </c>
      <c r="J256" s="37" t="s">
        <v>36</v>
      </c>
      <c r="K256" s="37">
        <v>31</v>
      </c>
      <c r="L256" s="117">
        <v>1.34</v>
      </c>
      <c r="M256" s="117">
        <v>3.21</v>
      </c>
      <c r="N256" s="29">
        <f t="shared" si="71"/>
        <v>1.8699999999999999</v>
      </c>
      <c r="O256" s="58" t="str">
        <f t="shared" si="63"/>
        <v>OK</v>
      </c>
    </row>
    <row r="257" spans="1:15" ht="12" customHeight="1" x14ac:dyDescent="0.25">
      <c r="A257" s="54" t="s">
        <v>16</v>
      </c>
      <c r="B257" s="32">
        <v>2</v>
      </c>
      <c r="C257" s="32">
        <v>1113983</v>
      </c>
      <c r="D257" s="39">
        <v>45831</v>
      </c>
      <c r="E257" s="32" t="s">
        <v>15</v>
      </c>
      <c r="F257" s="32" t="str">
        <f t="shared" si="78"/>
        <v>M22</v>
      </c>
      <c r="G257" s="62" t="str">
        <f t="shared" si="78"/>
        <v>305</v>
      </c>
      <c r="H257" s="38" t="str">
        <f>H256</f>
        <v>C5</v>
      </c>
      <c r="I257" s="38">
        <f>I256</f>
        <v>1</v>
      </c>
      <c r="J257" s="37" t="s">
        <v>37</v>
      </c>
      <c r="K257" s="37">
        <v>32</v>
      </c>
      <c r="L257" s="117">
        <v>1.24</v>
      </c>
      <c r="M257" s="117">
        <v>2.54</v>
      </c>
      <c r="N257" s="29">
        <f t="shared" si="71"/>
        <v>1.3</v>
      </c>
      <c r="O257" s="58" t="str">
        <f t="shared" si="63"/>
        <v>OK</v>
      </c>
    </row>
    <row r="258" spans="1:15" ht="12" customHeight="1" x14ac:dyDescent="0.25">
      <c r="A258" s="54" t="s">
        <v>16</v>
      </c>
      <c r="B258" s="32">
        <v>2</v>
      </c>
      <c r="C258" s="32">
        <v>1113983</v>
      </c>
      <c r="D258" s="39">
        <v>45831</v>
      </c>
      <c r="E258" s="32" t="s">
        <v>15</v>
      </c>
      <c r="F258" s="32" t="str">
        <f t="shared" si="78"/>
        <v>M22</v>
      </c>
      <c r="G258" s="62" t="str">
        <f t="shared" si="78"/>
        <v>305</v>
      </c>
      <c r="H258" s="38" t="str">
        <f>H257</f>
        <v>C5</v>
      </c>
      <c r="I258" s="38">
        <f>I257</f>
        <v>1</v>
      </c>
      <c r="J258" s="37" t="s">
        <v>38</v>
      </c>
      <c r="K258" s="37">
        <v>32</v>
      </c>
      <c r="L258" s="117">
        <v>0.51</v>
      </c>
      <c r="M258" s="117">
        <v>1.96</v>
      </c>
      <c r="N258" s="29">
        <f t="shared" si="71"/>
        <v>1.45</v>
      </c>
      <c r="O258" s="58" t="str">
        <f t="shared" si="63"/>
        <v>OK</v>
      </c>
    </row>
    <row r="259" spans="1:15" ht="12" customHeight="1" x14ac:dyDescent="0.25">
      <c r="A259" s="54" t="s">
        <v>16</v>
      </c>
      <c r="B259" s="32">
        <v>2</v>
      </c>
      <c r="C259" s="32">
        <v>1113983</v>
      </c>
      <c r="D259" s="39">
        <v>45831</v>
      </c>
      <c r="E259" s="32" t="s">
        <v>15</v>
      </c>
      <c r="F259" s="32" t="s">
        <v>40</v>
      </c>
      <c r="G259" s="62" t="s">
        <v>57</v>
      </c>
      <c r="H259" s="38" t="s">
        <v>43</v>
      </c>
      <c r="I259" s="38">
        <v>2</v>
      </c>
      <c r="J259" s="37" t="s">
        <v>31</v>
      </c>
      <c r="K259" s="37">
        <v>33</v>
      </c>
      <c r="L259" s="117">
        <v>0.54</v>
      </c>
      <c r="M259" s="117">
        <v>1.82</v>
      </c>
      <c r="N259" s="29">
        <f t="shared" ref="N259:N290" si="80">+M259-L259</f>
        <v>1.28</v>
      </c>
      <c r="O259" s="58" t="str">
        <f t="shared" si="63"/>
        <v>OK</v>
      </c>
    </row>
    <row r="260" spans="1:15" ht="12" customHeight="1" x14ac:dyDescent="0.25">
      <c r="A260" s="54" t="s">
        <v>16</v>
      </c>
      <c r="B260" s="32">
        <v>2</v>
      </c>
      <c r="C260" s="32">
        <v>1113983</v>
      </c>
      <c r="D260" s="39">
        <v>45831</v>
      </c>
      <c r="E260" s="32" t="s">
        <v>15</v>
      </c>
      <c r="F260" s="32" t="str">
        <f t="shared" ref="F260:I262" si="81">F259</f>
        <v>M21</v>
      </c>
      <c r="G260" s="62" t="str">
        <f t="shared" si="81"/>
        <v>008</v>
      </c>
      <c r="H260" s="38" t="str">
        <f t="shared" si="81"/>
        <v>C4</v>
      </c>
      <c r="I260" s="38">
        <f t="shared" si="81"/>
        <v>2</v>
      </c>
      <c r="J260" s="37" t="s">
        <v>32</v>
      </c>
      <c r="K260" s="37">
        <v>33</v>
      </c>
      <c r="L260" s="117">
        <v>0.42</v>
      </c>
      <c r="M260" s="117">
        <v>1.42</v>
      </c>
      <c r="N260" s="29">
        <f t="shared" si="80"/>
        <v>1</v>
      </c>
      <c r="O260" s="58" t="str">
        <f t="shared" ref="O260:O323" si="82">IF(N260&lt;=0,"Critico",IF(N260&lt;=0.2,"Cambio",IF(N260&lt;=1,"Seguimiento",IF(L260&gt;=1.6,"Reperfilado","OK"))))</f>
        <v>Seguimiento</v>
      </c>
    </row>
    <row r="261" spans="1:15" ht="12" customHeight="1" x14ac:dyDescent="0.25">
      <c r="A261" s="54" t="s">
        <v>16</v>
      </c>
      <c r="B261" s="32">
        <v>2</v>
      </c>
      <c r="C261" s="32">
        <v>1113983</v>
      </c>
      <c r="D261" s="39">
        <v>45831</v>
      </c>
      <c r="E261" s="32" t="s">
        <v>15</v>
      </c>
      <c r="F261" s="32" t="str">
        <f t="shared" si="81"/>
        <v>M21</v>
      </c>
      <c r="G261" s="62" t="str">
        <f t="shared" si="81"/>
        <v>008</v>
      </c>
      <c r="H261" s="38" t="str">
        <f t="shared" si="81"/>
        <v>C4</v>
      </c>
      <c r="I261" s="38">
        <f t="shared" si="81"/>
        <v>2</v>
      </c>
      <c r="J261" s="37" t="s">
        <v>33</v>
      </c>
      <c r="K261" s="37">
        <v>34</v>
      </c>
      <c r="L261" s="117">
        <v>0.09</v>
      </c>
      <c r="M261" s="117">
        <v>4.9800000000000004</v>
      </c>
      <c r="N261" s="29">
        <f t="shared" si="80"/>
        <v>4.8900000000000006</v>
      </c>
      <c r="O261" s="58" t="str">
        <f t="shared" si="82"/>
        <v>OK</v>
      </c>
    </row>
    <row r="262" spans="1:15" ht="12" customHeight="1" x14ac:dyDescent="0.25">
      <c r="A262" s="54" t="s">
        <v>16</v>
      </c>
      <c r="B262" s="32">
        <v>2</v>
      </c>
      <c r="C262" s="32">
        <v>1113983</v>
      </c>
      <c r="D262" s="39">
        <v>45831</v>
      </c>
      <c r="E262" s="32" t="s">
        <v>15</v>
      </c>
      <c r="F262" s="32" t="str">
        <f t="shared" si="81"/>
        <v>M21</v>
      </c>
      <c r="G262" s="62" t="str">
        <f t="shared" si="81"/>
        <v>008</v>
      </c>
      <c r="H262" s="38" t="str">
        <f t="shared" si="81"/>
        <v>C4</v>
      </c>
      <c r="I262" s="38">
        <f t="shared" si="81"/>
        <v>2</v>
      </c>
      <c r="J262" s="37" t="s">
        <v>34</v>
      </c>
      <c r="K262" s="37">
        <v>34</v>
      </c>
      <c r="L262" s="117">
        <v>0.72</v>
      </c>
      <c r="M262" s="117">
        <v>2.15</v>
      </c>
      <c r="N262" s="29">
        <f t="shared" si="80"/>
        <v>1.43</v>
      </c>
      <c r="O262" s="58" t="str">
        <f t="shared" si="82"/>
        <v>OK</v>
      </c>
    </row>
    <row r="263" spans="1:15" ht="12" customHeight="1" x14ac:dyDescent="0.25">
      <c r="A263" s="54" t="s">
        <v>16</v>
      </c>
      <c r="B263" s="32">
        <v>2</v>
      </c>
      <c r="C263" s="32">
        <v>1113983</v>
      </c>
      <c r="D263" s="39">
        <v>45831</v>
      </c>
      <c r="E263" s="32" t="s">
        <v>15</v>
      </c>
      <c r="F263" s="32" t="str">
        <f t="shared" ref="F263:H266" si="83">F262</f>
        <v>M21</v>
      </c>
      <c r="G263" s="62" t="str">
        <f t="shared" si="83"/>
        <v>008</v>
      </c>
      <c r="H263" s="38" t="str">
        <f t="shared" si="83"/>
        <v>C4</v>
      </c>
      <c r="I263" s="38">
        <v>1</v>
      </c>
      <c r="J263" s="37" t="s">
        <v>35</v>
      </c>
      <c r="K263" s="37">
        <v>35</v>
      </c>
      <c r="L263" s="117">
        <v>0.19</v>
      </c>
      <c r="M263" s="117">
        <v>1.81</v>
      </c>
      <c r="N263" s="29">
        <f t="shared" si="80"/>
        <v>1.62</v>
      </c>
      <c r="O263" s="58" t="str">
        <f t="shared" si="82"/>
        <v>OK</v>
      </c>
    </row>
    <row r="264" spans="1:15" ht="12" customHeight="1" x14ac:dyDescent="0.25">
      <c r="A264" s="54" t="s">
        <v>16</v>
      </c>
      <c r="B264" s="32">
        <v>2</v>
      </c>
      <c r="C264" s="32">
        <v>1113983</v>
      </c>
      <c r="D264" s="39">
        <v>45831</v>
      </c>
      <c r="E264" s="32" t="s">
        <v>15</v>
      </c>
      <c r="F264" s="32" t="str">
        <f t="shared" si="83"/>
        <v>M21</v>
      </c>
      <c r="G264" s="62" t="str">
        <f t="shared" si="83"/>
        <v>008</v>
      </c>
      <c r="H264" s="38" t="str">
        <f t="shared" si="83"/>
        <v>C4</v>
      </c>
      <c r="I264" s="38">
        <f>I263</f>
        <v>1</v>
      </c>
      <c r="J264" s="37" t="s">
        <v>36</v>
      </c>
      <c r="K264" s="37">
        <v>35</v>
      </c>
      <c r="L264" s="117">
        <v>0.18</v>
      </c>
      <c r="M264" s="117">
        <v>1.29</v>
      </c>
      <c r="N264" s="29">
        <f t="shared" si="80"/>
        <v>1.1100000000000001</v>
      </c>
      <c r="O264" s="58" t="str">
        <f t="shared" si="82"/>
        <v>OK</v>
      </c>
    </row>
    <row r="265" spans="1:15" ht="12" customHeight="1" x14ac:dyDescent="0.25">
      <c r="A265" s="54" t="s">
        <v>16</v>
      </c>
      <c r="B265" s="32">
        <v>2</v>
      </c>
      <c r="C265" s="32">
        <v>1113983</v>
      </c>
      <c r="D265" s="39">
        <v>45831</v>
      </c>
      <c r="E265" s="32" t="s">
        <v>15</v>
      </c>
      <c r="F265" s="32" t="str">
        <f t="shared" si="83"/>
        <v>M21</v>
      </c>
      <c r="G265" s="62" t="str">
        <f t="shared" si="83"/>
        <v>008</v>
      </c>
      <c r="H265" s="38" t="str">
        <f t="shared" si="83"/>
        <v>C4</v>
      </c>
      <c r="I265" s="38">
        <f>I264</f>
        <v>1</v>
      </c>
      <c r="J265" s="37" t="s">
        <v>37</v>
      </c>
      <c r="K265" s="37">
        <v>36</v>
      </c>
      <c r="L265" s="117">
        <v>0.17</v>
      </c>
      <c r="M265" s="117">
        <v>1.24</v>
      </c>
      <c r="N265" s="29">
        <f t="shared" si="80"/>
        <v>1.07</v>
      </c>
      <c r="O265" s="58" t="str">
        <f t="shared" si="82"/>
        <v>OK</v>
      </c>
    </row>
    <row r="266" spans="1:15" ht="12" customHeight="1" x14ac:dyDescent="0.25">
      <c r="A266" s="54" t="s">
        <v>16</v>
      </c>
      <c r="B266" s="32">
        <v>2</v>
      </c>
      <c r="C266" s="32">
        <v>1113983</v>
      </c>
      <c r="D266" s="39">
        <v>45831</v>
      </c>
      <c r="E266" s="32" t="s">
        <v>15</v>
      </c>
      <c r="F266" s="32" t="str">
        <f t="shared" si="83"/>
        <v>M21</v>
      </c>
      <c r="G266" s="62" t="str">
        <f t="shared" si="83"/>
        <v>008</v>
      </c>
      <c r="H266" s="38" t="str">
        <f t="shared" si="83"/>
        <v>C4</v>
      </c>
      <c r="I266" s="38">
        <f>I265</f>
        <v>1</v>
      </c>
      <c r="J266" s="37" t="s">
        <v>38</v>
      </c>
      <c r="K266" s="37">
        <v>36</v>
      </c>
      <c r="L266" s="117">
        <v>0.12</v>
      </c>
      <c r="M266" s="117">
        <v>4.87</v>
      </c>
      <c r="N266" s="29">
        <f t="shared" si="80"/>
        <v>4.75</v>
      </c>
      <c r="O266" s="58" t="str">
        <f t="shared" si="82"/>
        <v>OK</v>
      </c>
    </row>
    <row r="267" spans="1:15" ht="12" customHeight="1" x14ac:dyDescent="0.25">
      <c r="A267" s="54" t="s">
        <v>16</v>
      </c>
      <c r="B267" s="32">
        <v>2</v>
      </c>
      <c r="C267" s="32">
        <v>1113983</v>
      </c>
      <c r="D267" s="39">
        <v>45831</v>
      </c>
      <c r="E267" s="32" t="s">
        <v>15</v>
      </c>
      <c r="F267" s="32" t="str">
        <f t="shared" ref="F267:G274" si="84">F266</f>
        <v>M21</v>
      </c>
      <c r="G267" s="62" t="str">
        <f t="shared" si="84"/>
        <v>008</v>
      </c>
      <c r="H267" s="38" t="s">
        <v>42</v>
      </c>
      <c r="I267" s="38">
        <v>2</v>
      </c>
      <c r="J267" s="37" t="s">
        <v>31</v>
      </c>
      <c r="K267" s="37">
        <v>37</v>
      </c>
      <c r="L267" s="117">
        <v>0.8</v>
      </c>
      <c r="M267" s="117">
        <v>3.4</v>
      </c>
      <c r="N267" s="29">
        <f t="shared" si="80"/>
        <v>2.5999999999999996</v>
      </c>
      <c r="O267" s="58" t="str">
        <f t="shared" si="82"/>
        <v>OK</v>
      </c>
    </row>
    <row r="268" spans="1:15" ht="12" customHeight="1" x14ac:dyDescent="0.25">
      <c r="A268" s="54" t="s">
        <v>16</v>
      </c>
      <c r="B268" s="32">
        <v>2</v>
      </c>
      <c r="C268" s="32">
        <v>1113983</v>
      </c>
      <c r="D268" s="39">
        <v>45831</v>
      </c>
      <c r="E268" s="32" t="s">
        <v>15</v>
      </c>
      <c r="F268" s="32" t="str">
        <f t="shared" si="84"/>
        <v>M21</v>
      </c>
      <c r="G268" s="62" t="str">
        <f t="shared" si="84"/>
        <v>008</v>
      </c>
      <c r="H268" s="38" t="str">
        <f t="shared" ref="H268:I270" si="85">H267</f>
        <v>C3</v>
      </c>
      <c r="I268" s="38">
        <f t="shared" si="85"/>
        <v>2</v>
      </c>
      <c r="J268" s="37" t="s">
        <v>32</v>
      </c>
      <c r="K268" s="37">
        <v>37</v>
      </c>
      <c r="L268" s="117">
        <v>0.32</v>
      </c>
      <c r="M268" s="117">
        <v>2.0099999999999998</v>
      </c>
      <c r="N268" s="29">
        <f t="shared" si="80"/>
        <v>1.6899999999999997</v>
      </c>
      <c r="O268" s="58" t="str">
        <f t="shared" si="82"/>
        <v>OK</v>
      </c>
    </row>
    <row r="269" spans="1:15" ht="12" customHeight="1" x14ac:dyDescent="0.25">
      <c r="A269" s="54" t="s">
        <v>16</v>
      </c>
      <c r="B269" s="32">
        <v>2</v>
      </c>
      <c r="C269" s="32">
        <v>1113983</v>
      </c>
      <c r="D269" s="39">
        <v>45831</v>
      </c>
      <c r="E269" s="32" t="s">
        <v>15</v>
      </c>
      <c r="F269" s="32" t="str">
        <f t="shared" si="84"/>
        <v>M21</v>
      </c>
      <c r="G269" s="62" t="str">
        <f t="shared" si="84"/>
        <v>008</v>
      </c>
      <c r="H269" s="38" t="str">
        <f t="shared" si="85"/>
        <v>C3</v>
      </c>
      <c r="I269" s="38">
        <f t="shared" si="85"/>
        <v>2</v>
      </c>
      <c r="J269" s="37" t="s">
        <v>33</v>
      </c>
      <c r="K269" s="37">
        <v>38</v>
      </c>
      <c r="L269" s="117">
        <v>0.13</v>
      </c>
      <c r="M269" s="117">
        <v>1.21</v>
      </c>
      <c r="N269" s="29">
        <f t="shared" si="80"/>
        <v>1.08</v>
      </c>
      <c r="O269" s="58" t="str">
        <f t="shared" si="82"/>
        <v>OK</v>
      </c>
    </row>
    <row r="270" spans="1:15" ht="12" customHeight="1" x14ac:dyDescent="0.25">
      <c r="A270" s="54" t="s">
        <v>16</v>
      </c>
      <c r="B270" s="32">
        <v>2</v>
      </c>
      <c r="C270" s="32">
        <v>1113983</v>
      </c>
      <c r="D270" s="39">
        <v>45831</v>
      </c>
      <c r="E270" s="32" t="s">
        <v>15</v>
      </c>
      <c r="F270" s="32" t="str">
        <f t="shared" si="84"/>
        <v>M21</v>
      </c>
      <c r="G270" s="62" t="str">
        <f t="shared" si="84"/>
        <v>008</v>
      </c>
      <c r="H270" s="38" t="str">
        <f t="shared" si="85"/>
        <v>C3</v>
      </c>
      <c r="I270" s="38">
        <f t="shared" si="85"/>
        <v>2</v>
      </c>
      <c r="J270" s="37" t="s">
        <v>34</v>
      </c>
      <c r="K270" s="37">
        <v>38</v>
      </c>
      <c r="L270" s="117">
        <v>1.07</v>
      </c>
      <c r="M270" s="117">
        <v>4.34</v>
      </c>
      <c r="N270" s="29">
        <f t="shared" si="80"/>
        <v>3.2699999999999996</v>
      </c>
      <c r="O270" s="58" t="str">
        <f t="shared" si="82"/>
        <v>OK</v>
      </c>
    </row>
    <row r="271" spans="1:15" ht="12" customHeight="1" x14ac:dyDescent="0.25">
      <c r="A271" s="54" t="s">
        <v>16</v>
      </c>
      <c r="B271" s="32">
        <v>2</v>
      </c>
      <c r="C271" s="32">
        <v>1113983</v>
      </c>
      <c r="D271" s="39">
        <v>45831</v>
      </c>
      <c r="E271" s="32" t="s">
        <v>15</v>
      </c>
      <c r="F271" s="32" t="str">
        <f t="shared" si="84"/>
        <v>M21</v>
      </c>
      <c r="G271" s="62" t="str">
        <f t="shared" si="84"/>
        <v>008</v>
      </c>
      <c r="H271" s="38" t="str">
        <f>H270</f>
        <v>C3</v>
      </c>
      <c r="I271" s="38">
        <v>1</v>
      </c>
      <c r="J271" s="37" t="s">
        <v>35</v>
      </c>
      <c r="K271" s="37">
        <v>39</v>
      </c>
      <c r="L271" s="117">
        <v>0.35</v>
      </c>
      <c r="M271" s="117">
        <v>2.89</v>
      </c>
      <c r="N271" s="29">
        <f t="shared" si="80"/>
        <v>2.54</v>
      </c>
      <c r="O271" s="58" t="str">
        <f t="shared" si="82"/>
        <v>OK</v>
      </c>
    </row>
    <row r="272" spans="1:15" ht="12" customHeight="1" x14ac:dyDescent="0.25">
      <c r="A272" s="54" t="s">
        <v>16</v>
      </c>
      <c r="B272" s="32">
        <v>2</v>
      </c>
      <c r="C272" s="32">
        <v>1113983</v>
      </c>
      <c r="D272" s="39">
        <v>45831</v>
      </c>
      <c r="E272" s="32" t="s">
        <v>15</v>
      </c>
      <c r="F272" s="32" t="str">
        <f t="shared" si="84"/>
        <v>M21</v>
      </c>
      <c r="G272" s="62" t="str">
        <f t="shared" si="84"/>
        <v>008</v>
      </c>
      <c r="H272" s="38" t="str">
        <f>H271</f>
        <v>C3</v>
      </c>
      <c r="I272" s="38">
        <f>I271</f>
        <v>1</v>
      </c>
      <c r="J272" s="37" t="s">
        <v>36</v>
      </c>
      <c r="K272" s="37">
        <v>39</v>
      </c>
      <c r="L272" s="117">
        <v>0.53</v>
      </c>
      <c r="M272" s="117">
        <v>3.4</v>
      </c>
      <c r="N272" s="29">
        <f t="shared" si="80"/>
        <v>2.87</v>
      </c>
      <c r="O272" s="58" t="str">
        <f t="shared" si="82"/>
        <v>OK</v>
      </c>
    </row>
    <row r="273" spans="1:15" ht="12" customHeight="1" x14ac:dyDescent="0.25">
      <c r="A273" s="54" t="s">
        <v>16</v>
      </c>
      <c r="B273" s="32">
        <v>2</v>
      </c>
      <c r="C273" s="32">
        <v>1113983</v>
      </c>
      <c r="D273" s="39">
        <v>45831</v>
      </c>
      <c r="E273" s="32" t="s">
        <v>15</v>
      </c>
      <c r="F273" s="32" t="str">
        <f t="shared" si="84"/>
        <v>M21</v>
      </c>
      <c r="G273" s="62" t="str">
        <f t="shared" si="84"/>
        <v>008</v>
      </c>
      <c r="H273" s="38" t="str">
        <f>H272</f>
        <v>C3</v>
      </c>
      <c r="I273" s="38">
        <f>I272</f>
        <v>1</v>
      </c>
      <c r="J273" s="37" t="s">
        <v>37</v>
      </c>
      <c r="K273" s="37">
        <v>40</v>
      </c>
      <c r="L273" s="117">
        <v>0.37</v>
      </c>
      <c r="M273" s="117">
        <v>2.81</v>
      </c>
      <c r="N273" s="29">
        <f t="shared" si="80"/>
        <v>2.44</v>
      </c>
      <c r="O273" s="58" t="str">
        <f t="shared" si="82"/>
        <v>OK</v>
      </c>
    </row>
    <row r="274" spans="1:15" ht="12" customHeight="1" x14ac:dyDescent="0.25">
      <c r="A274" s="54" t="s">
        <v>16</v>
      </c>
      <c r="B274" s="32">
        <v>2</v>
      </c>
      <c r="C274" s="32">
        <v>1113983</v>
      </c>
      <c r="D274" s="39">
        <v>45831</v>
      </c>
      <c r="E274" s="32" t="s">
        <v>15</v>
      </c>
      <c r="F274" s="32" t="str">
        <f t="shared" si="84"/>
        <v>M21</v>
      </c>
      <c r="G274" s="62" t="str">
        <f t="shared" si="84"/>
        <v>008</v>
      </c>
      <c r="H274" s="38" t="str">
        <f>H273</f>
        <v>C3</v>
      </c>
      <c r="I274" s="38">
        <f>I273</f>
        <v>1</v>
      </c>
      <c r="J274" s="37" t="s">
        <v>38</v>
      </c>
      <c r="K274" s="37">
        <v>40</v>
      </c>
      <c r="L274" s="117">
        <v>0.33</v>
      </c>
      <c r="M274" s="117">
        <v>1.9</v>
      </c>
      <c r="N274" s="29">
        <f t="shared" si="80"/>
        <v>1.5699999999999998</v>
      </c>
      <c r="O274" s="58" t="str">
        <f t="shared" si="82"/>
        <v>OK</v>
      </c>
    </row>
    <row r="275" spans="1:15" ht="12" customHeight="1" x14ac:dyDescent="0.25">
      <c r="A275" s="54" t="s">
        <v>16</v>
      </c>
      <c r="B275" s="32">
        <v>2</v>
      </c>
      <c r="C275" s="32">
        <v>1113983</v>
      </c>
      <c r="D275" s="39">
        <v>45831</v>
      </c>
      <c r="E275" s="32" t="s">
        <v>15</v>
      </c>
      <c r="F275" s="32" t="s">
        <v>28</v>
      </c>
      <c r="G275" s="62" t="s">
        <v>58</v>
      </c>
      <c r="H275" s="38" t="s">
        <v>39</v>
      </c>
      <c r="I275" s="38">
        <v>2</v>
      </c>
      <c r="J275" s="37" t="s">
        <v>31</v>
      </c>
      <c r="K275" s="37">
        <v>41</v>
      </c>
      <c r="L275" s="117">
        <v>0.5</v>
      </c>
      <c r="M275" s="117">
        <v>1.43</v>
      </c>
      <c r="N275" s="29">
        <f t="shared" si="80"/>
        <v>0.92999999999999994</v>
      </c>
      <c r="O275" s="58" t="str">
        <f t="shared" si="82"/>
        <v>Seguimiento</v>
      </c>
    </row>
    <row r="276" spans="1:15" ht="12" customHeight="1" x14ac:dyDescent="0.25">
      <c r="A276" s="54" t="s">
        <v>16</v>
      </c>
      <c r="B276" s="32">
        <v>2</v>
      </c>
      <c r="C276" s="32">
        <v>1113983</v>
      </c>
      <c r="D276" s="39">
        <v>45831</v>
      </c>
      <c r="E276" s="32" t="s">
        <v>15</v>
      </c>
      <c r="F276" s="32" t="str">
        <f t="shared" ref="F276:I278" si="86">F275</f>
        <v>M20</v>
      </c>
      <c r="G276" s="62" t="str">
        <f t="shared" si="86"/>
        <v>007</v>
      </c>
      <c r="H276" s="38" t="str">
        <f t="shared" si="86"/>
        <v>C2</v>
      </c>
      <c r="I276" s="38">
        <f t="shared" si="86"/>
        <v>2</v>
      </c>
      <c r="J276" s="37" t="s">
        <v>32</v>
      </c>
      <c r="K276" s="37">
        <v>41</v>
      </c>
      <c r="L276" s="117">
        <v>0.45</v>
      </c>
      <c r="M276" s="117">
        <v>4.07</v>
      </c>
      <c r="N276" s="29">
        <f t="shared" si="80"/>
        <v>3.62</v>
      </c>
      <c r="O276" s="58" t="str">
        <f t="shared" si="82"/>
        <v>OK</v>
      </c>
    </row>
    <row r="277" spans="1:15" ht="12" customHeight="1" x14ac:dyDescent="0.25">
      <c r="A277" s="54" t="s">
        <v>16</v>
      </c>
      <c r="B277" s="32">
        <v>2</v>
      </c>
      <c r="C277" s="32">
        <v>1113983</v>
      </c>
      <c r="D277" s="39">
        <v>45831</v>
      </c>
      <c r="E277" s="32" t="s">
        <v>15</v>
      </c>
      <c r="F277" s="32" t="str">
        <f t="shared" si="86"/>
        <v>M20</v>
      </c>
      <c r="G277" s="62" t="str">
        <f t="shared" si="86"/>
        <v>007</v>
      </c>
      <c r="H277" s="38" t="str">
        <f t="shared" si="86"/>
        <v>C2</v>
      </c>
      <c r="I277" s="38">
        <f t="shared" si="86"/>
        <v>2</v>
      </c>
      <c r="J277" s="37" t="s">
        <v>33</v>
      </c>
      <c r="K277" s="37">
        <v>42</v>
      </c>
      <c r="L277" s="117">
        <v>0.57999999999999996</v>
      </c>
      <c r="M277" s="117">
        <v>4.38</v>
      </c>
      <c r="N277" s="29">
        <f t="shared" si="80"/>
        <v>3.8</v>
      </c>
      <c r="O277" s="58" t="str">
        <f t="shared" si="82"/>
        <v>OK</v>
      </c>
    </row>
    <row r="278" spans="1:15" ht="12" customHeight="1" x14ac:dyDescent="0.25">
      <c r="A278" s="54" t="s">
        <v>16</v>
      </c>
      <c r="B278" s="32">
        <v>2</v>
      </c>
      <c r="C278" s="32">
        <v>1113983</v>
      </c>
      <c r="D278" s="39">
        <v>45831</v>
      </c>
      <c r="E278" s="32" t="s">
        <v>15</v>
      </c>
      <c r="F278" s="32" t="str">
        <f t="shared" si="86"/>
        <v>M20</v>
      </c>
      <c r="G278" s="62" t="str">
        <f t="shared" si="86"/>
        <v>007</v>
      </c>
      <c r="H278" s="38" t="str">
        <f t="shared" si="86"/>
        <v>C2</v>
      </c>
      <c r="I278" s="38">
        <f t="shared" si="86"/>
        <v>2</v>
      </c>
      <c r="J278" s="37" t="s">
        <v>34</v>
      </c>
      <c r="K278" s="37">
        <v>42</v>
      </c>
      <c r="L278" s="117">
        <v>0.85</v>
      </c>
      <c r="M278" s="117">
        <v>1.47</v>
      </c>
      <c r="N278" s="29">
        <f t="shared" si="80"/>
        <v>0.62</v>
      </c>
      <c r="O278" s="58" t="str">
        <f t="shared" si="82"/>
        <v>Seguimiento</v>
      </c>
    </row>
    <row r="279" spans="1:15" ht="12" customHeight="1" x14ac:dyDescent="0.25">
      <c r="A279" s="54" t="s">
        <v>16</v>
      </c>
      <c r="B279" s="32">
        <v>2</v>
      </c>
      <c r="C279" s="32">
        <v>1113983</v>
      </c>
      <c r="D279" s="39">
        <v>45831</v>
      </c>
      <c r="E279" s="32" t="s">
        <v>15</v>
      </c>
      <c r="F279" s="32" t="str">
        <f t="shared" ref="F279:H282" si="87">F278</f>
        <v>M20</v>
      </c>
      <c r="G279" s="62" t="str">
        <f t="shared" si="87"/>
        <v>007</v>
      </c>
      <c r="H279" s="38" t="str">
        <f t="shared" si="87"/>
        <v>C2</v>
      </c>
      <c r="I279" s="38">
        <v>1</v>
      </c>
      <c r="J279" s="37" t="s">
        <v>35</v>
      </c>
      <c r="K279" s="37">
        <v>43</v>
      </c>
      <c r="L279" s="117">
        <v>0.49</v>
      </c>
      <c r="M279" s="117">
        <v>4.33</v>
      </c>
      <c r="N279" s="29">
        <f t="shared" si="80"/>
        <v>3.84</v>
      </c>
      <c r="O279" s="58" t="str">
        <f t="shared" si="82"/>
        <v>OK</v>
      </c>
    </row>
    <row r="280" spans="1:15" ht="12" customHeight="1" x14ac:dyDescent="0.25">
      <c r="A280" s="54" t="s">
        <v>16</v>
      </c>
      <c r="B280" s="32">
        <v>2</v>
      </c>
      <c r="C280" s="32">
        <v>1113983</v>
      </c>
      <c r="D280" s="39">
        <v>45831</v>
      </c>
      <c r="E280" s="32" t="s">
        <v>15</v>
      </c>
      <c r="F280" s="32" t="str">
        <f t="shared" si="87"/>
        <v>M20</v>
      </c>
      <c r="G280" s="62" t="str">
        <f t="shared" si="87"/>
        <v>007</v>
      </c>
      <c r="H280" s="38" t="str">
        <f t="shared" si="87"/>
        <v>C2</v>
      </c>
      <c r="I280" s="38">
        <f>I279</f>
        <v>1</v>
      </c>
      <c r="J280" s="37" t="s">
        <v>36</v>
      </c>
      <c r="K280" s="37">
        <v>43</v>
      </c>
      <c r="L280" s="117">
        <v>0.1</v>
      </c>
      <c r="M280" s="117">
        <v>3.76</v>
      </c>
      <c r="N280" s="29">
        <f t="shared" si="80"/>
        <v>3.6599999999999997</v>
      </c>
      <c r="O280" s="58" t="str">
        <f t="shared" si="82"/>
        <v>OK</v>
      </c>
    </row>
    <row r="281" spans="1:15" ht="12" customHeight="1" x14ac:dyDescent="0.25">
      <c r="A281" s="54" t="s">
        <v>16</v>
      </c>
      <c r="B281" s="32">
        <v>2</v>
      </c>
      <c r="C281" s="32">
        <v>1113983</v>
      </c>
      <c r="D281" s="39">
        <v>45831</v>
      </c>
      <c r="E281" s="32" t="s">
        <v>15</v>
      </c>
      <c r="F281" s="32" t="str">
        <f t="shared" si="87"/>
        <v>M20</v>
      </c>
      <c r="G281" s="62" t="str">
        <f t="shared" si="87"/>
        <v>007</v>
      </c>
      <c r="H281" s="38" t="str">
        <f t="shared" si="87"/>
        <v>C2</v>
      </c>
      <c r="I281" s="38">
        <f>I280</f>
        <v>1</v>
      </c>
      <c r="J281" s="37" t="s">
        <v>37</v>
      </c>
      <c r="K281" s="37">
        <v>44</v>
      </c>
      <c r="L281" s="117">
        <v>0.21</v>
      </c>
      <c r="M281" s="117">
        <v>3.6</v>
      </c>
      <c r="N281" s="29">
        <f t="shared" si="80"/>
        <v>3.39</v>
      </c>
      <c r="O281" s="58" t="str">
        <f t="shared" si="82"/>
        <v>OK</v>
      </c>
    </row>
    <row r="282" spans="1:15" ht="12" customHeight="1" x14ac:dyDescent="0.25">
      <c r="A282" s="54" t="s">
        <v>16</v>
      </c>
      <c r="B282" s="32">
        <v>2</v>
      </c>
      <c r="C282" s="32">
        <v>1113983</v>
      </c>
      <c r="D282" s="39">
        <v>45831</v>
      </c>
      <c r="E282" s="32" t="s">
        <v>15</v>
      </c>
      <c r="F282" s="32" t="str">
        <f t="shared" si="87"/>
        <v>M20</v>
      </c>
      <c r="G282" s="62" t="str">
        <f t="shared" si="87"/>
        <v>007</v>
      </c>
      <c r="H282" s="38" t="str">
        <f t="shared" si="87"/>
        <v>C2</v>
      </c>
      <c r="I282" s="38">
        <f>I281</f>
        <v>1</v>
      </c>
      <c r="J282" s="37" t="s">
        <v>38</v>
      </c>
      <c r="K282" s="37">
        <v>44</v>
      </c>
      <c r="L282" s="117">
        <v>0.55000000000000004</v>
      </c>
      <c r="M282" s="117">
        <v>3.8</v>
      </c>
      <c r="N282" s="29">
        <f t="shared" si="80"/>
        <v>3.25</v>
      </c>
      <c r="O282" s="58" t="str">
        <f t="shared" si="82"/>
        <v>OK</v>
      </c>
    </row>
    <row r="283" spans="1:15" ht="12" customHeight="1" x14ac:dyDescent="0.25">
      <c r="A283" s="54" t="s">
        <v>16</v>
      </c>
      <c r="B283" s="32">
        <v>2</v>
      </c>
      <c r="C283" s="32">
        <v>1113983</v>
      </c>
      <c r="D283" s="39">
        <v>45831</v>
      </c>
      <c r="E283" s="32" t="s">
        <v>15</v>
      </c>
      <c r="F283" s="32" t="str">
        <f t="shared" ref="F283:G290" si="88">F282</f>
        <v>M20</v>
      </c>
      <c r="G283" s="62" t="str">
        <f t="shared" si="88"/>
        <v>007</v>
      </c>
      <c r="H283" s="38" t="s">
        <v>30</v>
      </c>
      <c r="I283" s="38">
        <v>2</v>
      </c>
      <c r="J283" s="37" t="s">
        <v>31</v>
      </c>
      <c r="K283" s="37">
        <v>45</v>
      </c>
      <c r="L283" s="117">
        <v>0.15</v>
      </c>
      <c r="M283" s="117">
        <v>4.7300000000000004</v>
      </c>
      <c r="N283" s="29">
        <f t="shared" si="80"/>
        <v>4.58</v>
      </c>
      <c r="O283" s="58" t="str">
        <f t="shared" si="82"/>
        <v>OK</v>
      </c>
    </row>
    <row r="284" spans="1:15" ht="12" customHeight="1" x14ac:dyDescent="0.25">
      <c r="A284" s="54" t="s">
        <v>16</v>
      </c>
      <c r="B284" s="32">
        <v>2</v>
      </c>
      <c r="C284" s="32">
        <v>1113983</v>
      </c>
      <c r="D284" s="39">
        <v>45831</v>
      </c>
      <c r="E284" s="32" t="s">
        <v>15</v>
      </c>
      <c r="F284" s="32" t="str">
        <f t="shared" si="88"/>
        <v>M20</v>
      </c>
      <c r="G284" s="62" t="str">
        <f t="shared" si="88"/>
        <v>007</v>
      </c>
      <c r="H284" s="38" t="str">
        <f t="shared" ref="H284:I286" si="89">H283</f>
        <v>C1</v>
      </c>
      <c r="I284" s="38">
        <f t="shared" si="89"/>
        <v>2</v>
      </c>
      <c r="J284" s="37" t="s">
        <v>32</v>
      </c>
      <c r="K284" s="37">
        <v>45</v>
      </c>
      <c r="L284" s="117">
        <v>0.1</v>
      </c>
      <c r="M284" s="117">
        <v>5.07</v>
      </c>
      <c r="N284" s="29">
        <f t="shared" si="80"/>
        <v>4.9700000000000006</v>
      </c>
      <c r="O284" s="58" t="str">
        <f t="shared" si="82"/>
        <v>OK</v>
      </c>
    </row>
    <row r="285" spans="1:15" ht="12" customHeight="1" x14ac:dyDescent="0.25">
      <c r="A285" s="54" t="s">
        <v>16</v>
      </c>
      <c r="B285" s="32">
        <v>2</v>
      </c>
      <c r="C285" s="32">
        <v>1113983</v>
      </c>
      <c r="D285" s="39">
        <v>45831</v>
      </c>
      <c r="E285" s="32" t="s">
        <v>15</v>
      </c>
      <c r="F285" s="32" t="str">
        <f t="shared" si="88"/>
        <v>M20</v>
      </c>
      <c r="G285" s="62" t="str">
        <f t="shared" si="88"/>
        <v>007</v>
      </c>
      <c r="H285" s="38" t="str">
        <f t="shared" si="89"/>
        <v>C1</v>
      </c>
      <c r="I285" s="38">
        <f t="shared" si="89"/>
        <v>2</v>
      </c>
      <c r="J285" s="37" t="s">
        <v>33</v>
      </c>
      <c r="K285" s="37">
        <v>46</v>
      </c>
      <c r="L285" s="117">
        <v>0.16</v>
      </c>
      <c r="M285" s="117">
        <v>2.5499999999999998</v>
      </c>
      <c r="N285" s="29">
        <f t="shared" si="80"/>
        <v>2.3899999999999997</v>
      </c>
      <c r="O285" s="58" t="str">
        <f t="shared" si="82"/>
        <v>OK</v>
      </c>
    </row>
    <row r="286" spans="1:15" ht="12" customHeight="1" x14ac:dyDescent="0.25">
      <c r="A286" s="54" t="s">
        <v>16</v>
      </c>
      <c r="B286" s="32">
        <v>2</v>
      </c>
      <c r="C286" s="32">
        <v>1113983</v>
      </c>
      <c r="D286" s="39">
        <v>45831</v>
      </c>
      <c r="E286" s="32" t="s">
        <v>15</v>
      </c>
      <c r="F286" s="32" t="str">
        <f t="shared" si="88"/>
        <v>M20</v>
      </c>
      <c r="G286" s="62" t="str">
        <f t="shared" si="88"/>
        <v>007</v>
      </c>
      <c r="H286" s="38" t="str">
        <f t="shared" si="89"/>
        <v>C1</v>
      </c>
      <c r="I286" s="38">
        <f t="shared" si="89"/>
        <v>2</v>
      </c>
      <c r="J286" s="37" t="s">
        <v>34</v>
      </c>
      <c r="K286" s="37">
        <v>46</v>
      </c>
      <c r="L286" s="117">
        <v>0.51</v>
      </c>
      <c r="M286" s="117">
        <v>1.06</v>
      </c>
      <c r="N286" s="29">
        <f t="shared" si="80"/>
        <v>0.55000000000000004</v>
      </c>
      <c r="O286" s="58" t="str">
        <f t="shared" si="82"/>
        <v>Seguimiento</v>
      </c>
    </row>
    <row r="287" spans="1:15" ht="12" customHeight="1" x14ac:dyDescent="0.25">
      <c r="A287" s="54" t="s">
        <v>16</v>
      </c>
      <c r="B287" s="32">
        <v>2</v>
      </c>
      <c r="C287" s="32">
        <v>1113983</v>
      </c>
      <c r="D287" s="39">
        <v>45831</v>
      </c>
      <c r="E287" s="32" t="s">
        <v>15</v>
      </c>
      <c r="F287" s="32" t="str">
        <f t="shared" si="88"/>
        <v>M20</v>
      </c>
      <c r="G287" s="62" t="str">
        <f t="shared" si="88"/>
        <v>007</v>
      </c>
      <c r="H287" s="38" t="str">
        <f>H286</f>
        <v>C1</v>
      </c>
      <c r="I287" s="38">
        <v>1</v>
      </c>
      <c r="J287" s="37" t="s">
        <v>35</v>
      </c>
      <c r="K287" s="37">
        <v>47</v>
      </c>
      <c r="L287" s="117">
        <v>0.27</v>
      </c>
      <c r="M287" s="117">
        <v>1.59</v>
      </c>
      <c r="N287" s="29">
        <f t="shared" si="80"/>
        <v>1.32</v>
      </c>
      <c r="O287" s="58" t="str">
        <f t="shared" si="82"/>
        <v>OK</v>
      </c>
    </row>
    <row r="288" spans="1:15" ht="12" customHeight="1" x14ac:dyDescent="0.25">
      <c r="A288" s="54" t="s">
        <v>16</v>
      </c>
      <c r="B288" s="32">
        <v>2</v>
      </c>
      <c r="C288" s="32">
        <v>1113983</v>
      </c>
      <c r="D288" s="39">
        <v>45831</v>
      </c>
      <c r="E288" s="32" t="s">
        <v>15</v>
      </c>
      <c r="F288" s="32" t="str">
        <f t="shared" si="88"/>
        <v>M20</v>
      </c>
      <c r="G288" s="62" t="str">
        <f t="shared" si="88"/>
        <v>007</v>
      </c>
      <c r="H288" s="38" t="str">
        <f>H287</f>
        <v>C1</v>
      </c>
      <c r="I288" s="38">
        <f>I287</f>
        <v>1</v>
      </c>
      <c r="J288" s="37" t="s">
        <v>36</v>
      </c>
      <c r="K288" s="37">
        <v>47</v>
      </c>
      <c r="L288" s="117">
        <v>0.67</v>
      </c>
      <c r="M288" s="117">
        <v>4.7300000000000004</v>
      </c>
      <c r="N288" s="29">
        <f t="shared" si="80"/>
        <v>4.0600000000000005</v>
      </c>
      <c r="O288" s="58" t="str">
        <f t="shared" si="82"/>
        <v>OK</v>
      </c>
    </row>
    <row r="289" spans="1:15" ht="12" customHeight="1" x14ac:dyDescent="0.25">
      <c r="A289" s="54" t="s">
        <v>16</v>
      </c>
      <c r="B289" s="32">
        <v>2</v>
      </c>
      <c r="C289" s="32">
        <v>1113983</v>
      </c>
      <c r="D289" s="39">
        <v>45831</v>
      </c>
      <c r="E289" s="32" t="s">
        <v>15</v>
      </c>
      <c r="F289" s="32" t="str">
        <f t="shared" si="88"/>
        <v>M20</v>
      </c>
      <c r="G289" s="62" t="str">
        <f t="shared" si="88"/>
        <v>007</v>
      </c>
      <c r="H289" s="38" t="str">
        <f>H288</f>
        <v>C1</v>
      </c>
      <c r="I289" s="38">
        <f>I288</f>
        <v>1</v>
      </c>
      <c r="J289" s="37" t="s">
        <v>37</v>
      </c>
      <c r="K289" s="37">
        <v>48</v>
      </c>
      <c r="L289" s="117">
        <v>7.0000000000000007E-2</v>
      </c>
      <c r="M289" s="117">
        <v>5.0199999999999996</v>
      </c>
      <c r="N289" s="29">
        <f t="shared" si="80"/>
        <v>4.9499999999999993</v>
      </c>
      <c r="O289" s="58" t="str">
        <f t="shared" si="82"/>
        <v>OK</v>
      </c>
    </row>
    <row r="290" spans="1:15" ht="12" customHeight="1" x14ac:dyDescent="0.25">
      <c r="A290" s="54" t="s">
        <v>16</v>
      </c>
      <c r="B290" s="32">
        <v>2</v>
      </c>
      <c r="C290" s="32">
        <v>1113983</v>
      </c>
      <c r="D290" s="39">
        <v>45831</v>
      </c>
      <c r="E290" s="32" t="s">
        <v>15</v>
      </c>
      <c r="F290" s="32" t="str">
        <f t="shared" si="88"/>
        <v>M20</v>
      </c>
      <c r="G290" s="62" t="str">
        <f t="shared" si="88"/>
        <v>007</v>
      </c>
      <c r="H290" s="38" t="str">
        <f>H289</f>
        <v>C1</v>
      </c>
      <c r="I290" s="38">
        <f>I289</f>
        <v>1</v>
      </c>
      <c r="J290" s="37" t="s">
        <v>38</v>
      </c>
      <c r="K290" s="37">
        <v>48</v>
      </c>
      <c r="L290" s="117">
        <v>0.08</v>
      </c>
      <c r="M290" s="117">
        <v>5.14</v>
      </c>
      <c r="N290" s="29">
        <f t="shared" si="80"/>
        <v>5.0599999999999996</v>
      </c>
      <c r="O290" s="58" t="str">
        <f t="shared" si="82"/>
        <v>OK</v>
      </c>
    </row>
    <row r="291" spans="1:15" ht="12" customHeight="1" x14ac:dyDescent="0.25">
      <c r="A291" s="54" t="s">
        <v>16</v>
      </c>
      <c r="B291" s="32">
        <v>2</v>
      </c>
      <c r="C291" s="32">
        <v>1144744</v>
      </c>
      <c r="D291" s="39">
        <v>45881</v>
      </c>
      <c r="E291" s="32" t="s">
        <v>15</v>
      </c>
      <c r="F291" s="32" t="s">
        <v>28</v>
      </c>
      <c r="G291" s="62" t="s">
        <v>51</v>
      </c>
      <c r="H291" s="38" t="s">
        <v>30</v>
      </c>
      <c r="I291" s="38">
        <v>1</v>
      </c>
      <c r="J291" s="37" t="s">
        <v>31</v>
      </c>
      <c r="K291" s="37">
        <v>1</v>
      </c>
      <c r="L291" s="117">
        <v>0.53</v>
      </c>
      <c r="M291" s="117">
        <v>2.69</v>
      </c>
      <c r="N291" s="29">
        <f t="shared" ref="N291:N322" si="90">+M291-L291</f>
        <v>2.16</v>
      </c>
      <c r="O291" s="58" t="str">
        <f t="shared" si="82"/>
        <v>OK</v>
      </c>
    </row>
    <row r="292" spans="1:15" ht="12" customHeight="1" x14ac:dyDescent="0.25">
      <c r="A292" s="54" t="s">
        <v>16</v>
      </c>
      <c r="B292" s="32">
        <v>2</v>
      </c>
      <c r="C292" s="32">
        <v>1144744</v>
      </c>
      <c r="D292" s="39">
        <v>45881</v>
      </c>
      <c r="E292" s="32" t="s">
        <v>15</v>
      </c>
      <c r="F292" s="32" t="str">
        <f t="shared" ref="F292:I294" si="91">F291</f>
        <v>M20</v>
      </c>
      <c r="G292" s="62" t="str">
        <f t="shared" si="91"/>
        <v>005</v>
      </c>
      <c r="H292" s="38" t="str">
        <f t="shared" si="91"/>
        <v>C1</v>
      </c>
      <c r="I292" s="38">
        <f t="shared" si="91"/>
        <v>1</v>
      </c>
      <c r="J292" s="37" t="s">
        <v>32</v>
      </c>
      <c r="K292" s="37">
        <v>1</v>
      </c>
      <c r="L292" s="117">
        <v>0.78</v>
      </c>
      <c r="M292" s="117">
        <v>3.28</v>
      </c>
      <c r="N292" s="29">
        <f t="shared" si="90"/>
        <v>2.5</v>
      </c>
      <c r="O292" s="58" t="str">
        <f t="shared" si="82"/>
        <v>OK</v>
      </c>
    </row>
    <row r="293" spans="1:15" ht="12" customHeight="1" x14ac:dyDescent="0.25">
      <c r="A293" s="54" t="s">
        <v>16</v>
      </c>
      <c r="B293" s="32">
        <v>2</v>
      </c>
      <c r="C293" s="32">
        <v>1144744</v>
      </c>
      <c r="D293" s="39">
        <v>45881</v>
      </c>
      <c r="E293" s="32" t="s">
        <v>15</v>
      </c>
      <c r="F293" s="32" t="str">
        <f t="shared" si="91"/>
        <v>M20</v>
      </c>
      <c r="G293" s="62" t="str">
        <f t="shared" si="91"/>
        <v>005</v>
      </c>
      <c r="H293" s="38" t="str">
        <f t="shared" si="91"/>
        <v>C1</v>
      </c>
      <c r="I293" s="38">
        <f t="shared" si="91"/>
        <v>1</v>
      </c>
      <c r="J293" s="37" t="s">
        <v>33</v>
      </c>
      <c r="K293" s="37">
        <v>2</v>
      </c>
      <c r="L293" s="117">
        <v>0.06</v>
      </c>
      <c r="M293" s="117">
        <v>4.42</v>
      </c>
      <c r="N293" s="29">
        <f t="shared" si="90"/>
        <v>4.3600000000000003</v>
      </c>
      <c r="O293" s="58" t="str">
        <f t="shared" si="82"/>
        <v>OK</v>
      </c>
    </row>
    <row r="294" spans="1:15" ht="12" customHeight="1" x14ac:dyDescent="0.25">
      <c r="A294" s="54" t="s">
        <v>16</v>
      </c>
      <c r="B294" s="32">
        <v>2</v>
      </c>
      <c r="C294" s="32">
        <v>1144744</v>
      </c>
      <c r="D294" s="39">
        <v>45881</v>
      </c>
      <c r="E294" s="32" t="s">
        <v>15</v>
      </c>
      <c r="F294" s="32" t="str">
        <f t="shared" si="91"/>
        <v>M20</v>
      </c>
      <c r="G294" s="62" t="str">
        <f t="shared" si="91"/>
        <v>005</v>
      </c>
      <c r="H294" s="38" t="str">
        <f t="shared" si="91"/>
        <v>C1</v>
      </c>
      <c r="I294" s="38">
        <f t="shared" si="91"/>
        <v>1</v>
      </c>
      <c r="J294" s="37" t="s">
        <v>34</v>
      </c>
      <c r="K294" s="37">
        <v>2</v>
      </c>
      <c r="L294" s="117">
        <v>0.05</v>
      </c>
      <c r="M294" s="117">
        <v>5.0599999999999996</v>
      </c>
      <c r="N294" s="29">
        <f t="shared" si="90"/>
        <v>5.01</v>
      </c>
      <c r="O294" s="58" t="str">
        <f t="shared" si="82"/>
        <v>OK</v>
      </c>
    </row>
    <row r="295" spans="1:15" ht="12" customHeight="1" x14ac:dyDescent="0.25">
      <c r="A295" s="54" t="s">
        <v>16</v>
      </c>
      <c r="B295" s="32">
        <v>2</v>
      </c>
      <c r="C295" s="32">
        <v>1144744</v>
      </c>
      <c r="D295" s="39">
        <v>45881</v>
      </c>
      <c r="E295" s="32" t="s">
        <v>15</v>
      </c>
      <c r="F295" s="32" t="str">
        <f t="shared" ref="F295:H298" si="92">F294</f>
        <v>M20</v>
      </c>
      <c r="G295" s="62" t="str">
        <f t="shared" si="92"/>
        <v>005</v>
      </c>
      <c r="H295" s="38" t="str">
        <f t="shared" si="92"/>
        <v>C1</v>
      </c>
      <c r="I295" s="38">
        <v>2</v>
      </c>
      <c r="J295" s="37" t="s">
        <v>35</v>
      </c>
      <c r="K295" s="37">
        <v>3</v>
      </c>
      <c r="L295" s="117">
        <v>0.12</v>
      </c>
      <c r="M295" s="117">
        <v>3.01</v>
      </c>
      <c r="N295" s="29">
        <f t="shared" si="90"/>
        <v>2.8899999999999997</v>
      </c>
      <c r="O295" s="58" t="str">
        <f t="shared" si="82"/>
        <v>OK</v>
      </c>
    </row>
    <row r="296" spans="1:15" ht="12" customHeight="1" x14ac:dyDescent="0.25">
      <c r="A296" s="54" t="s">
        <v>16</v>
      </c>
      <c r="B296" s="32">
        <v>2</v>
      </c>
      <c r="C296" s="32">
        <v>1144744</v>
      </c>
      <c r="D296" s="39">
        <v>45881</v>
      </c>
      <c r="E296" s="32" t="s">
        <v>15</v>
      </c>
      <c r="F296" s="32" t="str">
        <f t="shared" si="92"/>
        <v>M20</v>
      </c>
      <c r="G296" s="62" t="str">
        <f t="shared" si="92"/>
        <v>005</v>
      </c>
      <c r="H296" s="38" t="str">
        <f t="shared" si="92"/>
        <v>C1</v>
      </c>
      <c r="I296" s="38">
        <f>I295</f>
        <v>2</v>
      </c>
      <c r="J296" s="37" t="s">
        <v>36</v>
      </c>
      <c r="K296" s="37">
        <v>3</v>
      </c>
      <c r="L296" s="117">
        <v>0.78</v>
      </c>
      <c r="M296" s="117">
        <v>2.91</v>
      </c>
      <c r="N296" s="29">
        <f t="shared" si="90"/>
        <v>2.13</v>
      </c>
      <c r="O296" s="58" t="str">
        <f t="shared" si="82"/>
        <v>OK</v>
      </c>
    </row>
    <row r="297" spans="1:15" ht="12" customHeight="1" x14ac:dyDescent="0.25">
      <c r="A297" s="54" t="s">
        <v>16</v>
      </c>
      <c r="B297" s="32">
        <v>2</v>
      </c>
      <c r="C297" s="32">
        <v>1144744</v>
      </c>
      <c r="D297" s="39">
        <v>45881</v>
      </c>
      <c r="E297" s="32" t="s">
        <v>15</v>
      </c>
      <c r="F297" s="32" t="str">
        <f t="shared" si="92"/>
        <v>M20</v>
      </c>
      <c r="G297" s="62" t="str">
        <f t="shared" si="92"/>
        <v>005</v>
      </c>
      <c r="H297" s="38" t="str">
        <f t="shared" si="92"/>
        <v>C1</v>
      </c>
      <c r="I297" s="38">
        <f>I296</f>
        <v>2</v>
      </c>
      <c r="J297" s="37" t="s">
        <v>37</v>
      </c>
      <c r="K297" s="37">
        <v>4</v>
      </c>
      <c r="L297" s="117">
        <v>0.5</v>
      </c>
      <c r="M297" s="117">
        <v>3.01</v>
      </c>
      <c r="N297" s="29">
        <f t="shared" si="90"/>
        <v>2.5099999999999998</v>
      </c>
      <c r="O297" s="58" t="str">
        <f t="shared" si="82"/>
        <v>OK</v>
      </c>
    </row>
    <row r="298" spans="1:15" ht="12" customHeight="1" x14ac:dyDescent="0.25">
      <c r="A298" s="54" t="s">
        <v>16</v>
      </c>
      <c r="B298" s="32">
        <v>2</v>
      </c>
      <c r="C298" s="32">
        <v>1144744</v>
      </c>
      <c r="D298" s="39">
        <v>45881</v>
      </c>
      <c r="E298" s="32" t="s">
        <v>15</v>
      </c>
      <c r="F298" s="32" t="str">
        <f t="shared" si="92"/>
        <v>M20</v>
      </c>
      <c r="G298" s="62" t="str">
        <f t="shared" si="92"/>
        <v>005</v>
      </c>
      <c r="H298" s="38" t="str">
        <f t="shared" si="92"/>
        <v>C1</v>
      </c>
      <c r="I298" s="38">
        <f>I297</f>
        <v>2</v>
      </c>
      <c r="J298" s="37" t="s">
        <v>38</v>
      </c>
      <c r="K298" s="37">
        <v>4</v>
      </c>
      <c r="L298" s="117">
        <v>0.19</v>
      </c>
      <c r="M298" s="117">
        <v>1.92</v>
      </c>
      <c r="N298" s="29">
        <f t="shared" si="90"/>
        <v>1.73</v>
      </c>
      <c r="O298" s="58" t="str">
        <f t="shared" si="82"/>
        <v>OK</v>
      </c>
    </row>
    <row r="299" spans="1:15" ht="12" customHeight="1" x14ac:dyDescent="0.25">
      <c r="A299" s="54" t="s">
        <v>16</v>
      </c>
      <c r="B299" s="32">
        <v>2</v>
      </c>
      <c r="C299" s="32">
        <v>1144744</v>
      </c>
      <c r="D299" s="39">
        <v>45881</v>
      </c>
      <c r="E299" s="32" t="s">
        <v>15</v>
      </c>
      <c r="F299" s="32" t="str">
        <f t="shared" ref="F299:G306" si="93">F298</f>
        <v>M20</v>
      </c>
      <c r="G299" s="62" t="str">
        <f t="shared" si="93"/>
        <v>005</v>
      </c>
      <c r="H299" s="38" t="s">
        <v>39</v>
      </c>
      <c r="I299" s="38">
        <v>1</v>
      </c>
      <c r="J299" s="37" t="s">
        <v>31</v>
      </c>
      <c r="K299" s="37">
        <v>5</v>
      </c>
      <c r="L299" s="117">
        <v>0.36</v>
      </c>
      <c r="M299" s="117">
        <v>2.23</v>
      </c>
      <c r="N299" s="29">
        <f t="shared" si="90"/>
        <v>1.87</v>
      </c>
      <c r="O299" s="58" t="str">
        <f t="shared" si="82"/>
        <v>OK</v>
      </c>
    </row>
    <row r="300" spans="1:15" ht="12" customHeight="1" x14ac:dyDescent="0.25">
      <c r="A300" s="54" t="s">
        <v>16</v>
      </c>
      <c r="B300" s="32">
        <v>2</v>
      </c>
      <c r="C300" s="32">
        <v>1144744</v>
      </c>
      <c r="D300" s="39">
        <v>45881</v>
      </c>
      <c r="E300" s="32" t="s">
        <v>15</v>
      </c>
      <c r="F300" s="32" t="str">
        <f t="shared" si="93"/>
        <v>M20</v>
      </c>
      <c r="G300" s="62" t="str">
        <f t="shared" si="93"/>
        <v>005</v>
      </c>
      <c r="H300" s="38" t="str">
        <f t="shared" ref="H300:I302" si="94">H299</f>
        <v>C2</v>
      </c>
      <c r="I300" s="38">
        <f t="shared" si="94"/>
        <v>1</v>
      </c>
      <c r="J300" s="37" t="s">
        <v>32</v>
      </c>
      <c r="K300" s="37">
        <v>5</v>
      </c>
      <c r="L300" s="117">
        <v>0.18</v>
      </c>
      <c r="M300" s="117">
        <v>2.97</v>
      </c>
      <c r="N300" s="29">
        <f t="shared" si="90"/>
        <v>2.79</v>
      </c>
      <c r="O300" s="58" t="str">
        <f t="shared" si="82"/>
        <v>OK</v>
      </c>
    </row>
    <row r="301" spans="1:15" ht="12" customHeight="1" x14ac:dyDescent="0.25">
      <c r="A301" s="54" t="s">
        <v>16</v>
      </c>
      <c r="B301" s="32">
        <v>2</v>
      </c>
      <c r="C301" s="32">
        <v>1144744</v>
      </c>
      <c r="D301" s="39">
        <v>45881</v>
      </c>
      <c r="E301" s="32" t="s">
        <v>15</v>
      </c>
      <c r="F301" s="32" t="str">
        <f t="shared" si="93"/>
        <v>M20</v>
      </c>
      <c r="G301" s="62" t="str">
        <f t="shared" si="93"/>
        <v>005</v>
      </c>
      <c r="H301" s="38" t="str">
        <f t="shared" si="94"/>
        <v>C2</v>
      </c>
      <c r="I301" s="38">
        <f t="shared" si="94"/>
        <v>1</v>
      </c>
      <c r="J301" s="37" t="s">
        <v>33</v>
      </c>
      <c r="K301" s="37">
        <v>6</v>
      </c>
      <c r="L301" s="117">
        <v>0.42</v>
      </c>
      <c r="M301" s="117">
        <v>2.68</v>
      </c>
      <c r="N301" s="29">
        <f t="shared" si="90"/>
        <v>2.2600000000000002</v>
      </c>
      <c r="O301" s="58" t="str">
        <f t="shared" si="82"/>
        <v>OK</v>
      </c>
    </row>
    <row r="302" spans="1:15" ht="12" customHeight="1" x14ac:dyDescent="0.25">
      <c r="A302" s="54" t="s">
        <v>16</v>
      </c>
      <c r="B302" s="32">
        <v>2</v>
      </c>
      <c r="C302" s="32">
        <v>1144744</v>
      </c>
      <c r="D302" s="39">
        <v>45881</v>
      </c>
      <c r="E302" s="32" t="s">
        <v>15</v>
      </c>
      <c r="F302" s="32" t="str">
        <f t="shared" si="93"/>
        <v>M20</v>
      </c>
      <c r="G302" s="62" t="str">
        <f t="shared" si="93"/>
        <v>005</v>
      </c>
      <c r="H302" s="38" t="str">
        <f t="shared" si="94"/>
        <v>C2</v>
      </c>
      <c r="I302" s="38">
        <f t="shared" si="94"/>
        <v>1</v>
      </c>
      <c r="J302" s="37" t="s">
        <v>34</v>
      </c>
      <c r="K302" s="37">
        <v>6</v>
      </c>
      <c r="L302" s="117">
        <v>1.1000000000000001</v>
      </c>
      <c r="M302" s="117">
        <v>2.08</v>
      </c>
      <c r="N302" s="29">
        <f t="shared" si="90"/>
        <v>0.98</v>
      </c>
      <c r="O302" s="58" t="str">
        <f t="shared" si="82"/>
        <v>Seguimiento</v>
      </c>
    </row>
    <row r="303" spans="1:15" ht="12" customHeight="1" x14ac:dyDescent="0.25">
      <c r="A303" s="54" t="s">
        <v>16</v>
      </c>
      <c r="B303" s="32">
        <v>2</v>
      </c>
      <c r="C303" s="32">
        <v>1144744</v>
      </c>
      <c r="D303" s="39">
        <v>45881</v>
      </c>
      <c r="E303" s="32" t="s">
        <v>15</v>
      </c>
      <c r="F303" s="32" t="str">
        <f t="shared" si="93"/>
        <v>M20</v>
      </c>
      <c r="G303" s="62" t="str">
        <f t="shared" si="93"/>
        <v>005</v>
      </c>
      <c r="H303" s="38" t="str">
        <f>H302</f>
        <v>C2</v>
      </c>
      <c r="I303" s="38">
        <v>2</v>
      </c>
      <c r="J303" s="37" t="s">
        <v>35</v>
      </c>
      <c r="K303" s="37">
        <v>7</v>
      </c>
      <c r="L303" s="117">
        <v>0.96</v>
      </c>
      <c r="M303" s="117">
        <v>4.08</v>
      </c>
      <c r="N303" s="29">
        <f t="shared" si="90"/>
        <v>3.12</v>
      </c>
      <c r="O303" s="58" t="str">
        <f t="shared" si="82"/>
        <v>OK</v>
      </c>
    </row>
    <row r="304" spans="1:15" ht="12" customHeight="1" x14ac:dyDescent="0.25">
      <c r="A304" s="54" t="s">
        <v>16</v>
      </c>
      <c r="B304" s="32">
        <v>2</v>
      </c>
      <c r="C304" s="32">
        <v>1144744</v>
      </c>
      <c r="D304" s="39">
        <v>45881</v>
      </c>
      <c r="E304" s="32" t="s">
        <v>15</v>
      </c>
      <c r="F304" s="32" t="str">
        <f t="shared" si="93"/>
        <v>M20</v>
      </c>
      <c r="G304" s="62" t="str">
        <f t="shared" si="93"/>
        <v>005</v>
      </c>
      <c r="H304" s="38" t="str">
        <f>H303</f>
        <v>C2</v>
      </c>
      <c r="I304" s="38">
        <f>I303</f>
        <v>2</v>
      </c>
      <c r="J304" s="37" t="s">
        <v>36</v>
      </c>
      <c r="K304" s="37">
        <v>7</v>
      </c>
      <c r="L304" s="117">
        <v>0.91</v>
      </c>
      <c r="M304" s="117">
        <v>2.4300000000000002</v>
      </c>
      <c r="N304" s="29">
        <f t="shared" si="90"/>
        <v>1.52</v>
      </c>
      <c r="O304" s="58" t="str">
        <f t="shared" si="82"/>
        <v>OK</v>
      </c>
    </row>
    <row r="305" spans="1:15" ht="12" customHeight="1" x14ac:dyDescent="0.25">
      <c r="A305" s="54" t="s">
        <v>16</v>
      </c>
      <c r="B305" s="32">
        <v>2</v>
      </c>
      <c r="C305" s="32">
        <v>1144744</v>
      </c>
      <c r="D305" s="39">
        <v>45881</v>
      </c>
      <c r="E305" s="32" t="s">
        <v>15</v>
      </c>
      <c r="F305" s="32" t="str">
        <f t="shared" si="93"/>
        <v>M20</v>
      </c>
      <c r="G305" s="62" t="str">
        <f t="shared" si="93"/>
        <v>005</v>
      </c>
      <c r="H305" s="38" t="str">
        <f>H304</f>
        <v>C2</v>
      </c>
      <c r="I305" s="38">
        <f>I304</f>
        <v>2</v>
      </c>
      <c r="J305" s="37" t="s">
        <v>37</v>
      </c>
      <c r="K305" s="37">
        <v>8</v>
      </c>
      <c r="L305" s="117">
        <v>0.32</v>
      </c>
      <c r="M305" s="117">
        <v>2.99</v>
      </c>
      <c r="N305" s="29">
        <f t="shared" si="90"/>
        <v>2.6700000000000004</v>
      </c>
      <c r="O305" s="58" t="str">
        <f t="shared" si="82"/>
        <v>OK</v>
      </c>
    </row>
    <row r="306" spans="1:15" ht="12" customHeight="1" x14ac:dyDescent="0.25">
      <c r="A306" s="54" t="s">
        <v>16</v>
      </c>
      <c r="B306" s="32">
        <v>2</v>
      </c>
      <c r="C306" s="32">
        <v>1144744</v>
      </c>
      <c r="D306" s="39">
        <v>45881</v>
      </c>
      <c r="E306" s="32" t="s">
        <v>15</v>
      </c>
      <c r="F306" s="32" t="str">
        <f t="shared" si="93"/>
        <v>M20</v>
      </c>
      <c r="G306" s="62" t="str">
        <f t="shared" si="93"/>
        <v>005</v>
      </c>
      <c r="H306" s="38" t="str">
        <f>H305</f>
        <v>C2</v>
      </c>
      <c r="I306" s="38">
        <f>I305</f>
        <v>2</v>
      </c>
      <c r="J306" s="37" t="s">
        <v>38</v>
      </c>
      <c r="K306" s="37">
        <v>8</v>
      </c>
      <c r="L306" s="117">
        <v>0.12</v>
      </c>
      <c r="M306" s="117">
        <v>3.71</v>
      </c>
      <c r="N306" s="29">
        <f t="shared" si="90"/>
        <v>3.59</v>
      </c>
      <c r="O306" s="58" t="str">
        <f t="shared" si="82"/>
        <v>OK</v>
      </c>
    </row>
    <row r="307" spans="1:15" ht="12" customHeight="1" x14ac:dyDescent="0.25">
      <c r="A307" s="54" t="s">
        <v>16</v>
      </c>
      <c r="B307" s="32">
        <v>2</v>
      </c>
      <c r="C307" s="32">
        <v>1144744</v>
      </c>
      <c r="D307" s="39">
        <v>45881</v>
      </c>
      <c r="E307" s="32" t="s">
        <v>15</v>
      </c>
      <c r="F307" s="32" t="s">
        <v>40</v>
      </c>
      <c r="G307" s="62" t="s">
        <v>52</v>
      </c>
      <c r="H307" s="38" t="s">
        <v>42</v>
      </c>
      <c r="I307" s="38">
        <v>1</v>
      </c>
      <c r="J307" s="37" t="s">
        <v>31</v>
      </c>
      <c r="K307" s="37">
        <v>9</v>
      </c>
      <c r="L307" s="117">
        <v>1.1499999999999999</v>
      </c>
      <c r="M307" s="117">
        <v>3.78</v>
      </c>
      <c r="N307" s="29">
        <f t="shared" si="90"/>
        <v>2.63</v>
      </c>
      <c r="O307" s="58" t="str">
        <f t="shared" si="82"/>
        <v>OK</v>
      </c>
    </row>
    <row r="308" spans="1:15" ht="12" customHeight="1" x14ac:dyDescent="0.25">
      <c r="A308" s="54" t="s">
        <v>16</v>
      </c>
      <c r="B308" s="32">
        <v>2</v>
      </c>
      <c r="C308" s="32">
        <v>1144744</v>
      </c>
      <c r="D308" s="39">
        <v>45881</v>
      </c>
      <c r="E308" s="32" t="s">
        <v>15</v>
      </c>
      <c r="F308" s="32" t="str">
        <f t="shared" ref="F308:I310" si="95">F307</f>
        <v>M21</v>
      </c>
      <c r="G308" s="62" t="str">
        <f t="shared" si="95"/>
        <v>006</v>
      </c>
      <c r="H308" s="38" t="str">
        <f t="shared" si="95"/>
        <v>C3</v>
      </c>
      <c r="I308" s="38">
        <f t="shared" si="95"/>
        <v>1</v>
      </c>
      <c r="J308" s="37" t="s">
        <v>32</v>
      </c>
      <c r="K308" s="37">
        <v>9</v>
      </c>
      <c r="L308" s="117">
        <v>1</v>
      </c>
      <c r="M308" s="117">
        <v>3.4</v>
      </c>
      <c r="N308" s="29">
        <f t="shared" si="90"/>
        <v>2.4</v>
      </c>
      <c r="O308" s="58" t="str">
        <f t="shared" si="82"/>
        <v>OK</v>
      </c>
    </row>
    <row r="309" spans="1:15" ht="12" customHeight="1" x14ac:dyDescent="0.25">
      <c r="A309" s="54" t="s">
        <v>16</v>
      </c>
      <c r="B309" s="32">
        <v>2</v>
      </c>
      <c r="C309" s="32">
        <v>1144744</v>
      </c>
      <c r="D309" s="39">
        <v>45881</v>
      </c>
      <c r="E309" s="32" t="s">
        <v>15</v>
      </c>
      <c r="F309" s="32" t="str">
        <f t="shared" si="95"/>
        <v>M21</v>
      </c>
      <c r="G309" s="62" t="str">
        <f t="shared" si="95"/>
        <v>006</v>
      </c>
      <c r="H309" s="38" t="str">
        <f t="shared" si="95"/>
        <v>C3</v>
      </c>
      <c r="I309" s="38">
        <f t="shared" si="95"/>
        <v>1</v>
      </c>
      <c r="J309" s="37" t="s">
        <v>33</v>
      </c>
      <c r="K309" s="37">
        <v>10</v>
      </c>
      <c r="L309" s="117">
        <v>0.71</v>
      </c>
      <c r="M309" s="117">
        <v>3.44</v>
      </c>
      <c r="N309" s="29">
        <f t="shared" si="90"/>
        <v>2.73</v>
      </c>
      <c r="O309" s="58" t="str">
        <f t="shared" si="82"/>
        <v>OK</v>
      </c>
    </row>
    <row r="310" spans="1:15" ht="12" customHeight="1" x14ac:dyDescent="0.25">
      <c r="A310" s="54" t="s">
        <v>16</v>
      </c>
      <c r="B310" s="32">
        <v>2</v>
      </c>
      <c r="C310" s="32">
        <v>1144744</v>
      </c>
      <c r="D310" s="39">
        <v>45881</v>
      </c>
      <c r="E310" s="32" t="s">
        <v>15</v>
      </c>
      <c r="F310" s="32" t="str">
        <f t="shared" si="95"/>
        <v>M21</v>
      </c>
      <c r="G310" s="62" t="str">
        <f t="shared" si="95"/>
        <v>006</v>
      </c>
      <c r="H310" s="38" t="str">
        <f t="shared" si="95"/>
        <v>C3</v>
      </c>
      <c r="I310" s="38">
        <f t="shared" si="95"/>
        <v>1</v>
      </c>
      <c r="J310" s="37" t="s">
        <v>34</v>
      </c>
      <c r="K310" s="37">
        <v>10</v>
      </c>
      <c r="L310" s="117">
        <v>0.55000000000000004</v>
      </c>
      <c r="M310" s="117">
        <v>1.69</v>
      </c>
      <c r="N310" s="29">
        <f t="shared" si="90"/>
        <v>1.1399999999999999</v>
      </c>
      <c r="O310" s="58" t="str">
        <f t="shared" si="82"/>
        <v>OK</v>
      </c>
    </row>
    <row r="311" spans="1:15" ht="12" customHeight="1" x14ac:dyDescent="0.25">
      <c r="A311" s="54" t="s">
        <v>16</v>
      </c>
      <c r="B311" s="32">
        <v>2</v>
      </c>
      <c r="C311" s="32">
        <v>1144744</v>
      </c>
      <c r="D311" s="39">
        <v>45881</v>
      </c>
      <c r="E311" s="32" t="s">
        <v>15</v>
      </c>
      <c r="F311" s="32" t="str">
        <f t="shared" ref="F311:H314" si="96">F310</f>
        <v>M21</v>
      </c>
      <c r="G311" s="62" t="str">
        <f t="shared" si="96"/>
        <v>006</v>
      </c>
      <c r="H311" s="38" t="str">
        <f t="shared" si="96"/>
        <v>C3</v>
      </c>
      <c r="I311" s="38">
        <v>2</v>
      </c>
      <c r="J311" s="37" t="s">
        <v>35</v>
      </c>
      <c r="K311" s="37">
        <v>11</v>
      </c>
      <c r="L311" s="117">
        <v>0.21</v>
      </c>
      <c r="M311" s="117">
        <v>3.42</v>
      </c>
      <c r="N311" s="29">
        <f t="shared" si="90"/>
        <v>3.21</v>
      </c>
      <c r="O311" s="58" t="str">
        <f t="shared" si="82"/>
        <v>OK</v>
      </c>
    </row>
    <row r="312" spans="1:15" ht="12" customHeight="1" x14ac:dyDescent="0.25">
      <c r="A312" s="54" t="s">
        <v>16</v>
      </c>
      <c r="B312" s="32">
        <v>2</v>
      </c>
      <c r="C312" s="32">
        <v>1144744</v>
      </c>
      <c r="D312" s="39">
        <v>45881</v>
      </c>
      <c r="E312" s="32" t="s">
        <v>15</v>
      </c>
      <c r="F312" s="32" t="str">
        <f t="shared" si="96"/>
        <v>M21</v>
      </c>
      <c r="G312" s="62" t="str">
        <f t="shared" si="96"/>
        <v>006</v>
      </c>
      <c r="H312" s="38" t="str">
        <f t="shared" si="96"/>
        <v>C3</v>
      </c>
      <c r="I312" s="38">
        <f>I311</f>
        <v>2</v>
      </c>
      <c r="J312" s="37" t="s">
        <v>36</v>
      </c>
      <c r="K312" s="37">
        <v>11</v>
      </c>
      <c r="L312" s="117">
        <v>0.13</v>
      </c>
      <c r="M312" s="117">
        <v>3.17</v>
      </c>
      <c r="N312" s="29">
        <f t="shared" si="90"/>
        <v>3.04</v>
      </c>
      <c r="O312" s="58" t="str">
        <f t="shared" si="82"/>
        <v>OK</v>
      </c>
    </row>
    <row r="313" spans="1:15" ht="12" customHeight="1" x14ac:dyDescent="0.25">
      <c r="A313" s="54" t="s">
        <v>16</v>
      </c>
      <c r="B313" s="32">
        <v>2</v>
      </c>
      <c r="C313" s="32">
        <v>1144744</v>
      </c>
      <c r="D313" s="39">
        <v>45881</v>
      </c>
      <c r="E313" s="32" t="s">
        <v>15</v>
      </c>
      <c r="F313" s="32" t="str">
        <f t="shared" si="96"/>
        <v>M21</v>
      </c>
      <c r="G313" s="62" t="str">
        <f t="shared" si="96"/>
        <v>006</v>
      </c>
      <c r="H313" s="38" t="str">
        <f t="shared" si="96"/>
        <v>C3</v>
      </c>
      <c r="I313" s="38">
        <f>I312</f>
        <v>2</v>
      </c>
      <c r="J313" s="37" t="s">
        <v>37</v>
      </c>
      <c r="K313" s="37">
        <v>12</v>
      </c>
      <c r="L313" s="117">
        <v>1.1399999999999999</v>
      </c>
      <c r="M313" s="117">
        <v>4.07</v>
      </c>
      <c r="N313" s="29">
        <f t="shared" si="90"/>
        <v>2.9300000000000006</v>
      </c>
      <c r="O313" s="58" t="str">
        <f t="shared" si="82"/>
        <v>OK</v>
      </c>
    </row>
    <row r="314" spans="1:15" ht="12" customHeight="1" x14ac:dyDescent="0.25">
      <c r="A314" s="54" t="s">
        <v>16</v>
      </c>
      <c r="B314" s="32">
        <v>2</v>
      </c>
      <c r="C314" s="32">
        <v>1144744</v>
      </c>
      <c r="D314" s="39">
        <v>45881</v>
      </c>
      <c r="E314" s="32" t="s">
        <v>15</v>
      </c>
      <c r="F314" s="32" t="str">
        <f t="shared" si="96"/>
        <v>M21</v>
      </c>
      <c r="G314" s="62" t="str">
        <f t="shared" si="96"/>
        <v>006</v>
      </c>
      <c r="H314" s="38" t="str">
        <f t="shared" si="96"/>
        <v>C3</v>
      </c>
      <c r="I314" s="38">
        <f>I313</f>
        <v>2</v>
      </c>
      <c r="J314" s="37" t="s">
        <v>38</v>
      </c>
      <c r="K314" s="37">
        <v>12</v>
      </c>
      <c r="L314" s="117">
        <v>1.1299999999999999</v>
      </c>
      <c r="M314" s="117">
        <v>4.01</v>
      </c>
      <c r="N314" s="29">
        <f t="shared" si="90"/>
        <v>2.88</v>
      </c>
      <c r="O314" s="58" t="str">
        <f t="shared" si="82"/>
        <v>OK</v>
      </c>
    </row>
    <row r="315" spans="1:15" ht="12" customHeight="1" x14ac:dyDescent="0.25">
      <c r="A315" s="54" t="s">
        <v>16</v>
      </c>
      <c r="B315" s="32">
        <v>2</v>
      </c>
      <c r="C315" s="32">
        <v>1144744</v>
      </c>
      <c r="D315" s="39">
        <v>45881</v>
      </c>
      <c r="E315" s="32" t="s">
        <v>15</v>
      </c>
      <c r="F315" s="32" t="str">
        <f t="shared" ref="F315:G322" si="97">F314</f>
        <v>M21</v>
      </c>
      <c r="G315" s="62" t="str">
        <f t="shared" si="97"/>
        <v>006</v>
      </c>
      <c r="H315" s="38" t="s">
        <v>43</v>
      </c>
      <c r="I315" s="38">
        <v>1</v>
      </c>
      <c r="J315" s="37" t="s">
        <v>31</v>
      </c>
      <c r="K315" s="37">
        <v>13</v>
      </c>
      <c r="L315" s="117">
        <v>0.09</v>
      </c>
      <c r="M315" s="117">
        <v>4.91</v>
      </c>
      <c r="N315" s="29">
        <f t="shared" si="90"/>
        <v>4.82</v>
      </c>
      <c r="O315" s="58" t="str">
        <f t="shared" si="82"/>
        <v>OK</v>
      </c>
    </row>
    <row r="316" spans="1:15" ht="12" customHeight="1" x14ac:dyDescent="0.25">
      <c r="A316" s="54" t="s">
        <v>16</v>
      </c>
      <c r="B316" s="32">
        <v>2</v>
      </c>
      <c r="C316" s="32">
        <v>1144744</v>
      </c>
      <c r="D316" s="39">
        <v>45881</v>
      </c>
      <c r="E316" s="32" t="s">
        <v>15</v>
      </c>
      <c r="F316" s="32" t="str">
        <f t="shared" si="97"/>
        <v>M21</v>
      </c>
      <c r="G316" s="62" t="str">
        <f t="shared" si="97"/>
        <v>006</v>
      </c>
      <c r="H316" s="38" t="str">
        <f t="shared" ref="H316:I318" si="98">H315</f>
        <v>C4</v>
      </c>
      <c r="I316" s="38">
        <f t="shared" si="98"/>
        <v>1</v>
      </c>
      <c r="J316" s="37" t="s">
        <v>32</v>
      </c>
      <c r="K316" s="37">
        <v>13</v>
      </c>
      <c r="L316" s="117">
        <v>0.76</v>
      </c>
      <c r="M316" s="117">
        <v>3.05</v>
      </c>
      <c r="N316" s="29">
        <f t="shared" si="90"/>
        <v>2.29</v>
      </c>
      <c r="O316" s="58" t="str">
        <f t="shared" si="82"/>
        <v>OK</v>
      </c>
    </row>
    <row r="317" spans="1:15" ht="12" customHeight="1" x14ac:dyDescent="0.25">
      <c r="A317" s="54" t="s">
        <v>16</v>
      </c>
      <c r="B317" s="32">
        <v>2</v>
      </c>
      <c r="C317" s="32">
        <v>1144744</v>
      </c>
      <c r="D317" s="39">
        <v>45881</v>
      </c>
      <c r="E317" s="32" t="s">
        <v>15</v>
      </c>
      <c r="F317" s="32" t="str">
        <f t="shared" si="97"/>
        <v>M21</v>
      </c>
      <c r="G317" s="62" t="str">
        <f t="shared" si="97"/>
        <v>006</v>
      </c>
      <c r="H317" s="38" t="str">
        <f t="shared" si="98"/>
        <v>C4</v>
      </c>
      <c r="I317" s="38">
        <f t="shared" si="98"/>
        <v>1</v>
      </c>
      <c r="J317" s="37" t="s">
        <v>33</v>
      </c>
      <c r="K317" s="37">
        <v>14</v>
      </c>
      <c r="L317" s="117">
        <v>1.1299999999999999</v>
      </c>
      <c r="M317" s="117">
        <v>4.26</v>
      </c>
      <c r="N317" s="29">
        <f t="shared" si="90"/>
        <v>3.13</v>
      </c>
      <c r="O317" s="58" t="str">
        <f t="shared" si="82"/>
        <v>OK</v>
      </c>
    </row>
    <row r="318" spans="1:15" ht="12" customHeight="1" x14ac:dyDescent="0.25">
      <c r="A318" s="54" t="s">
        <v>16</v>
      </c>
      <c r="B318" s="32">
        <v>2</v>
      </c>
      <c r="C318" s="32">
        <v>1144744</v>
      </c>
      <c r="D318" s="39">
        <v>45881</v>
      </c>
      <c r="E318" s="32" t="s">
        <v>15</v>
      </c>
      <c r="F318" s="32" t="str">
        <f t="shared" si="97"/>
        <v>M21</v>
      </c>
      <c r="G318" s="62" t="str">
        <f t="shared" si="97"/>
        <v>006</v>
      </c>
      <c r="H318" s="38" t="str">
        <f t="shared" si="98"/>
        <v>C4</v>
      </c>
      <c r="I318" s="38">
        <f t="shared" si="98"/>
        <v>1</v>
      </c>
      <c r="J318" s="37" t="s">
        <v>34</v>
      </c>
      <c r="K318" s="37">
        <v>14</v>
      </c>
      <c r="L318" s="117">
        <v>0.08</v>
      </c>
      <c r="M318" s="117">
        <v>4.4000000000000004</v>
      </c>
      <c r="N318" s="29">
        <f t="shared" si="90"/>
        <v>4.32</v>
      </c>
      <c r="O318" s="58" t="str">
        <f t="shared" si="82"/>
        <v>OK</v>
      </c>
    </row>
    <row r="319" spans="1:15" ht="12" customHeight="1" x14ac:dyDescent="0.25">
      <c r="A319" s="54" t="s">
        <v>16</v>
      </c>
      <c r="B319" s="32">
        <v>2</v>
      </c>
      <c r="C319" s="32">
        <v>1144744</v>
      </c>
      <c r="D319" s="39">
        <v>45881</v>
      </c>
      <c r="E319" s="32" t="s">
        <v>15</v>
      </c>
      <c r="F319" s="32" t="str">
        <f t="shared" si="97"/>
        <v>M21</v>
      </c>
      <c r="G319" s="62" t="str">
        <f t="shared" si="97"/>
        <v>006</v>
      </c>
      <c r="H319" s="38" t="str">
        <f>H318</f>
        <v>C4</v>
      </c>
      <c r="I319" s="38">
        <v>2</v>
      </c>
      <c r="J319" s="37" t="s">
        <v>35</v>
      </c>
      <c r="K319" s="37">
        <v>15</v>
      </c>
      <c r="L319" s="117">
        <v>0.06</v>
      </c>
      <c r="M319" s="117">
        <v>4.92</v>
      </c>
      <c r="N319" s="29">
        <f t="shared" si="90"/>
        <v>4.8600000000000003</v>
      </c>
      <c r="O319" s="58" t="str">
        <f t="shared" si="82"/>
        <v>OK</v>
      </c>
    </row>
    <row r="320" spans="1:15" ht="12" customHeight="1" x14ac:dyDescent="0.25">
      <c r="A320" s="54" t="s">
        <v>16</v>
      </c>
      <c r="B320" s="32">
        <v>2</v>
      </c>
      <c r="C320" s="32">
        <v>1144744</v>
      </c>
      <c r="D320" s="39">
        <v>45881</v>
      </c>
      <c r="E320" s="32" t="s">
        <v>15</v>
      </c>
      <c r="F320" s="32" t="str">
        <f t="shared" si="97"/>
        <v>M21</v>
      </c>
      <c r="G320" s="62" t="str">
        <f t="shared" si="97"/>
        <v>006</v>
      </c>
      <c r="H320" s="38" t="str">
        <f>H319</f>
        <v>C4</v>
      </c>
      <c r="I320" s="38">
        <f>I319</f>
        <v>2</v>
      </c>
      <c r="J320" s="37" t="s">
        <v>36</v>
      </c>
      <c r="K320" s="37">
        <v>15</v>
      </c>
      <c r="L320" s="117">
        <v>1.38</v>
      </c>
      <c r="M320" s="117">
        <v>4.24</v>
      </c>
      <c r="N320" s="29">
        <f t="shared" si="90"/>
        <v>2.8600000000000003</v>
      </c>
      <c r="O320" s="58" t="str">
        <f t="shared" si="82"/>
        <v>OK</v>
      </c>
    </row>
    <row r="321" spans="1:15" ht="12" customHeight="1" x14ac:dyDescent="0.25">
      <c r="A321" s="54" t="s">
        <v>16</v>
      </c>
      <c r="B321" s="32">
        <v>2</v>
      </c>
      <c r="C321" s="32">
        <v>1144744</v>
      </c>
      <c r="D321" s="39">
        <v>45881</v>
      </c>
      <c r="E321" s="32" t="s">
        <v>15</v>
      </c>
      <c r="F321" s="32" t="str">
        <f t="shared" si="97"/>
        <v>M21</v>
      </c>
      <c r="G321" s="62" t="str">
        <f t="shared" si="97"/>
        <v>006</v>
      </c>
      <c r="H321" s="38" t="str">
        <f>H320</f>
        <v>C4</v>
      </c>
      <c r="I321" s="38">
        <f>I320</f>
        <v>2</v>
      </c>
      <c r="J321" s="37" t="s">
        <v>37</v>
      </c>
      <c r="K321" s="37">
        <v>16</v>
      </c>
      <c r="L321" s="117">
        <v>0.8</v>
      </c>
      <c r="M321" s="117">
        <v>3.52</v>
      </c>
      <c r="N321" s="29">
        <f t="shared" si="90"/>
        <v>2.7199999999999998</v>
      </c>
      <c r="O321" s="58" t="str">
        <f t="shared" si="82"/>
        <v>OK</v>
      </c>
    </row>
    <row r="322" spans="1:15" ht="12" customHeight="1" x14ac:dyDescent="0.25">
      <c r="A322" s="54" t="s">
        <v>16</v>
      </c>
      <c r="B322" s="32">
        <v>2</v>
      </c>
      <c r="C322" s="32">
        <v>1144744</v>
      </c>
      <c r="D322" s="39">
        <v>45881</v>
      </c>
      <c r="E322" s="32" t="s">
        <v>15</v>
      </c>
      <c r="F322" s="32" t="str">
        <f t="shared" si="97"/>
        <v>M21</v>
      </c>
      <c r="G322" s="62" t="str">
        <f t="shared" si="97"/>
        <v>006</v>
      </c>
      <c r="H322" s="38" t="str">
        <f>H321</f>
        <v>C4</v>
      </c>
      <c r="I322" s="38">
        <f>I321</f>
        <v>2</v>
      </c>
      <c r="J322" s="37" t="s">
        <v>38</v>
      </c>
      <c r="K322" s="37">
        <v>16</v>
      </c>
      <c r="L322" s="117">
        <v>0.39</v>
      </c>
      <c r="M322" s="117">
        <v>2.1</v>
      </c>
      <c r="N322" s="29">
        <f t="shared" si="90"/>
        <v>1.71</v>
      </c>
      <c r="O322" s="58" t="str">
        <f t="shared" si="82"/>
        <v>OK</v>
      </c>
    </row>
    <row r="323" spans="1:15" ht="12" customHeight="1" x14ac:dyDescent="0.25">
      <c r="A323" s="54" t="s">
        <v>16</v>
      </c>
      <c r="B323" s="32">
        <v>2</v>
      </c>
      <c r="C323" s="32">
        <v>1144744</v>
      </c>
      <c r="D323" s="39">
        <v>45881</v>
      </c>
      <c r="E323" s="32" t="s">
        <v>15</v>
      </c>
      <c r="F323" s="32" t="s">
        <v>44</v>
      </c>
      <c r="G323" s="62" t="s">
        <v>53</v>
      </c>
      <c r="H323" s="38" t="s">
        <v>46</v>
      </c>
      <c r="I323" s="38">
        <v>1</v>
      </c>
      <c r="J323" s="37" t="s">
        <v>31</v>
      </c>
      <c r="K323" s="37">
        <v>17</v>
      </c>
      <c r="L323" s="117">
        <v>0.19</v>
      </c>
      <c r="M323" s="117">
        <v>4.93</v>
      </c>
      <c r="N323" s="29">
        <f t="shared" ref="N323:N354" si="99">+M323-L323</f>
        <v>4.7399999999999993</v>
      </c>
      <c r="O323" s="58" t="str">
        <f t="shared" si="82"/>
        <v>OK</v>
      </c>
    </row>
    <row r="324" spans="1:15" ht="12" customHeight="1" x14ac:dyDescent="0.25">
      <c r="A324" s="54" t="s">
        <v>16</v>
      </c>
      <c r="B324" s="32">
        <v>2</v>
      </c>
      <c r="C324" s="32">
        <v>1144744</v>
      </c>
      <c r="D324" s="39">
        <v>45881</v>
      </c>
      <c r="E324" s="32" t="s">
        <v>15</v>
      </c>
      <c r="F324" s="32" t="str">
        <f t="shared" ref="F324:I326" si="100">F323</f>
        <v>M22</v>
      </c>
      <c r="G324" s="62" t="str">
        <f t="shared" si="100"/>
        <v>303</v>
      </c>
      <c r="H324" s="38" t="str">
        <f t="shared" si="100"/>
        <v>C5</v>
      </c>
      <c r="I324" s="38">
        <f t="shared" si="100"/>
        <v>1</v>
      </c>
      <c r="J324" s="37" t="s">
        <v>32</v>
      </c>
      <c r="K324" s="37">
        <v>17</v>
      </c>
      <c r="L324" s="117">
        <v>0.34</v>
      </c>
      <c r="M324" s="117">
        <v>4.99</v>
      </c>
      <c r="N324" s="29">
        <f t="shared" si="99"/>
        <v>4.6500000000000004</v>
      </c>
      <c r="O324" s="58" t="str">
        <f t="shared" ref="O324:O387" si="101">IF(N324&lt;=0,"Critico",IF(N324&lt;=0.2,"Cambio",IF(N324&lt;=1,"Seguimiento",IF(L324&gt;=1.6,"Reperfilado","OK"))))</f>
        <v>OK</v>
      </c>
    </row>
    <row r="325" spans="1:15" ht="12" customHeight="1" x14ac:dyDescent="0.25">
      <c r="A325" s="54" t="s">
        <v>16</v>
      </c>
      <c r="B325" s="32">
        <v>2</v>
      </c>
      <c r="C325" s="32">
        <v>1144744</v>
      </c>
      <c r="D325" s="39">
        <v>45881</v>
      </c>
      <c r="E325" s="32" t="s">
        <v>15</v>
      </c>
      <c r="F325" s="32" t="str">
        <f t="shared" si="100"/>
        <v>M22</v>
      </c>
      <c r="G325" s="62" t="str">
        <f t="shared" si="100"/>
        <v>303</v>
      </c>
      <c r="H325" s="38" t="str">
        <f t="shared" si="100"/>
        <v>C5</v>
      </c>
      <c r="I325" s="38">
        <f t="shared" si="100"/>
        <v>1</v>
      </c>
      <c r="J325" s="37" t="s">
        <v>33</v>
      </c>
      <c r="K325" s="37">
        <v>18</v>
      </c>
      <c r="L325" s="117">
        <v>1.4</v>
      </c>
      <c r="M325" s="117">
        <v>4.58</v>
      </c>
      <c r="N325" s="29">
        <f t="shared" si="99"/>
        <v>3.18</v>
      </c>
      <c r="O325" s="58" t="str">
        <f t="shared" si="101"/>
        <v>OK</v>
      </c>
    </row>
    <row r="326" spans="1:15" ht="12" customHeight="1" x14ac:dyDescent="0.25">
      <c r="A326" s="54" t="s">
        <v>16</v>
      </c>
      <c r="B326" s="32">
        <v>2</v>
      </c>
      <c r="C326" s="32">
        <v>1144744</v>
      </c>
      <c r="D326" s="39">
        <v>45881</v>
      </c>
      <c r="E326" s="32" t="s">
        <v>15</v>
      </c>
      <c r="F326" s="32" t="str">
        <f t="shared" si="100"/>
        <v>M22</v>
      </c>
      <c r="G326" s="62" t="str">
        <f t="shared" si="100"/>
        <v>303</v>
      </c>
      <c r="H326" s="38" t="str">
        <f t="shared" si="100"/>
        <v>C5</v>
      </c>
      <c r="I326" s="38">
        <f t="shared" si="100"/>
        <v>1</v>
      </c>
      <c r="J326" s="37" t="s">
        <v>34</v>
      </c>
      <c r="K326" s="37">
        <v>18</v>
      </c>
      <c r="L326" s="117">
        <v>0.7</v>
      </c>
      <c r="M326" s="117">
        <v>4.3099999999999996</v>
      </c>
      <c r="N326" s="29">
        <f t="shared" si="99"/>
        <v>3.6099999999999994</v>
      </c>
      <c r="O326" s="58" t="str">
        <f t="shared" si="101"/>
        <v>OK</v>
      </c>
    </row>
    <row r="327" spans="1:15" ht="12" customHeight="1" x14ac:dyDescent="0.25">
      <c r="A327" s="54" t="s">
        <v>16</v>
      </c>
      <c r="B327" s="32">
        <v>2</v>
      </c>
      <c r="C327" s="32">
        <v>1144744</v>
      </c>
      <c r="D327" s="39">
        <v>45881</v>
      </c>
      <c r="E327" s="32" t="s">
        <v>15</v>
      </c>
      <c r="F327" s="32" t="str">
        <f t="shared" ref="F327:H330" si="102">F326</f>
        <v>M22</v>
      </c>
      <c r="G327" s="62" t="str">
        <f t="shared" si="102"/>
        <v>303</v>
      </c>
      <c r="H327" s="38" t="str">
        <f t="shared" si="102"/>
        <v>C5</v>
      </c>
      <c r="I327" s="38">
        <v>2</v>
      </c>
      <c r="J327" s="37" t="s">
        <v>35</v>
      </c>
      <c r="K327" s="37">
        <v>19</v>
      </c>
      <c r="L327" s="117">
        <v>0.67</v>
      </c>
      <c r="M327" s="117">
        <v>4.3</v>
      </c>
      <c r="N327" s="29">
        <f t="shared" si="99"/>
        <v>3.63</v>
      </c>
      <c r="O327" s="58" t="str">
        <f t="shared" si="101"/>
        <v>OK</v>
      </c>
    </row>
    <row r="328" spans="1:15" ht="12" customHeight="1" x14ac:dyDescent="0.25">
      <c r="A328" s="54" t="s">
        <v>16</v>
      </c>
      <c r="B328" s="32">
        <v>2</v>
      </c>
      <c r="C328" s="32">
        <v>1144744</v>
      </c>
      <c r="D328" s="39">
        <v>45881</v>
      </c>
      <c r="E328" s="32" t="s">
        <v>15</v>
      </c>
      <c r="F328" s="32" t="str">
        <f t="shared" si="102"/>
        <v>M22</v>
      </c>
      <c r="G328" s="62" t="str">
        <f t="shared" si="102"/>
        <v>303</v>
      </c>
      <c r="H328" s="38" t="str">
        <f t="shared" si="102"/>
        <v>C5</v>
      </c>
      <c r="I328" s="38">
        <f>I327</f>
        <v>2</v>
      </c>
      <c r="J328" s="37" t="s">
        <v>36</v>
      </c>
      <c r="K328" s="37">
        <v>19</v>
      </c>
      <c r="L328" s="117">
        <v>1</v>
      </c>
      <c r="M328" s="117">
        <v>4.3</v>
      </c>
      <c r="N328" s="29">
        <f t="shared" si="99"/>
        <v>3.3</v>
      </c>
      <c r="O328" s="58" t="str">
        <f t="shared" si="101"/>
        <v>OK</v>
      </c>
    </row>
    <row r="329" spans="1:15" ht="12" customHeight="1" x14ac:dyDescent="0.25">
      <c r="A329" s="54" t="s">
        <v>16</v>
      </c>
      <c r="B329" s="32">
        <v>2</v>
      </c>
      <c r="C329" s="32">
        <v>1144744</v>
      </c>
      <c r="D329" s="39">
        <v>45881</v>
      </c>
      <c r="E329" s="32" t="s">
        <v>15</v>
      </c>
      <c r="F329" s="32" t="str">
        <f t="shared" si="102"/>
        <v>M22</v>
      </c>
      <c r="G329" s="62" t="str">
        <f t="shared" si="102"/>
        <v>303</v>
      </c>
      <c r="H329" s="38" t="str">
        <f t="shared" si="102"/>
        <v>C5</v>
      </c>
      <c r="I329" s="38">
        <f>I328</f>
        <v>2</v>
      </c>
      <c r="J329" s="37" t="s">
        <v>37</v>
      </c>
      <c r="K329" s="37">
        <v>20</v>
      </c>
      <c r="L329" s="117">
        <v>1.64</v>
      </c>
      <c r="M329" s="117">
        <v>4.78</v>
      </c>
      <c r="N329" s="29">
        <f t="shared" si="99"/>
        <v>3.1400000000000006</v>
      </c>
      <c r="O329" s="58" t="str">
        <f t="shared" si="101"/>
        <v>Reperfilado</v>
      </c>
    </row>
    <row r="330" spans="1:15" ht="12" customHeight="1" x14ac:dyDescent="0.25">
      <c r="A330" s="54" t="s">
        <v>16</v>
      </c>
      <c r="B330" s="32">
        <v>2</v>
      </c>
      <c r="C330" s="32">
        <v>1144744</v>
      </c>
      <c r="D330" s="39">
        <v>45881</v>
      </c>
      <c r="E330" s="32" t="s">
        <v>15</v>
      </c>
      <c r="F330" s="32" t="str">
        <f t="shared" si="102"/>
        <v>M22</v>
      </c>
      <c r="G330" s="62" t="str">
        <f t="shared" si="102"/>
        <v>303</v>
      </c>
      <c r="H330" s="38" t="str">
        <f t="shared" si="102"/>
        <v>C5</v>
      </c>
      <c r="I330" s="38">
        <f>I329</f>
        <v>2</v>
      </c>
      <c r="J330" s="37" t="s">
        <v>38</v>
      </c>
      <c r="K330" s="37">
        <v>20</v>
      </c>
      <c r="L330" s="117">
        <v>0.93</v>
      </c>
      <c r="M330" s="117">
        <v>4.75</v>
      </c>
      <c r="N330" s="29">
        <f t="shared" si="99"/>
        <v>3.82</v>
      </c>
      <c r="O330" s="58" t="str">
        <f t="shared" si="101"/>
        <v>OK</v>
      </c>
    </row>
    <row r="331" spans="1:15" ht="12" customHeight="1" x14ac:dyDescent="0.25">
      <c r="A331" s="54" t="s">
        <v>16</v>
      </c>
      <c r="B331" s="32">
        <v>2</v>
      </c>
      <c r="C331" s="32">
        <v>1144744</v>
      </c>
      <c r="D331" s="39">
        <v>45881</v>
      </c>
      <c r="E331" s="32" t="s">
        <v>15</v>
      </c>
      <c r="F331" s="32" t="str">
        <f t="shared" ref="F331:G338" si="103">F330</f>
        <v>M22</v>
      </c>
      <c r="G331" s="62" t="str">
        <f t="shared" si="103"/>
        <v>303</v>
      </c>
      <c r="H331" s="38" t="s">
        <v>47</v>
      </c>
      <c r="I331" s="38">
        <v>1</v>
      </c>
      <c r="J331" s="37" t="s">
        <v>31</v>
      </c>
      <c r="K331" s="37">
        <v>21</v>
      </c>
      <c r="L331" s="117">
        <v>1.39</v>
      </c>
      <c r="M331" s="117">
        <v>4.4800000000000004</v>
      </c>
      <c r="N331" s="29">
        <f t="shared" si="99"/>
        <v>3.0900000000000007</v>
      </c>
      <c r="O331" s="58" t="str">
        <f t="shared" si="101"/>
        <v>OK</v>
      </c>
    </row>
    <row r="332" spans="1:15" ht="12" customHeight="1" x14ac:dyDescent="0.25">
      <c r="A332" s="54" t="s">
        <v>16</v>
      </c>
      <c r="B332" s="32">
        <v>2</v>
      </c>
      <c r="C332" s="32">
        <v>1144744</v>
      </c>
      <c r="D332" s="39">
        <v>45881</v>
      </c>
      <c r="E332" s="32" t="s">
        <v>15</v>
      </c>
      <c r="F332" s="32" t="str">
        <f t="shared" si="103"/>
        <v>M22</v>
      </c>
      <c r="G332" s="62" t="str">
        <f t="shared" si="103"/>
        <v>303</v>
      </c>
      <c r="H332" s="38" t="str">
        <f t="shared" ref="H332:I334" si="104">H331</f>
        <v>C6</v>
      </c>
      <c r="I332" s="38">
        <f t="shared" si="104"/>
        <v>1</v>
      </c>
      <c r="J332" s="37" t="s">
        <v>32</v>
      </c>
      <c r="K332" s="37">
        <v>21</v>
      </c>
      <c r="L332" s="117">
        <v>0.79</v>
      </c>
      <c r="M332" s="117">
        <v>4.83</v>
      </c>
      <c r="N332" s="29">
        <f t="shared" si="99"/>
        <v>4.04</v>
      </c>
      <c r="O332" s="58" t="str">
        <f t="shared" si="101"/>
        <v>OK</v>
      </c>
    </row>
    <row r="333" spans="1:15" ht="12" customHeight="1" x14ac:dyDescent="0.25">
      <c r="A333" s="54" t="s">
        <v>16</v>
      </c>
      <c r="B333" s="32">
        <v>2</v>
      </c>
      <c r="C333" s="32">
        <v>1144744</v>
      </c>
      <c r="D333" s="39">
        <v>45881</v>
      </c>
      <c r="E333" s="32" t="s">
        <v>15</v>
      </c>
      <c r="F333" s="32" t="str">
        <f t="shared" si="103"/>
        <v>M22</v>
      </c>
      <c r="G333" s="62" t="str">
        <f t="shared" si="103"/>
        <v>303</v>
      </c>
      <c r="H333" s="38" t="str">
        <f t="shared" si="104"/>
        <v>C6</v>
      </c>
      <c r="I333" s="38">
        <f t="shared" si="104"/>
        <v>1</v>
      </c>
      <c r="J333" s="37" t="s">
        <v>33</v>
      </c>
      <c r="K333" s="37">
        <v>22</v>
      </c>
      <c r="L333" s="117">
        <v>1.22</v>
      </c>
      <c r="M333" s="117">
        <v>4.3099999999999996</v>
      </c>
      <c r="N333" s="29">
        <f t="shared" si="99"/>
        <v>3.09</v>
      </c>
      <c r="O333" s="58" t="str">
        <f t="shared" si="101"/>
        <v>OK</v>
      </c>
    </row>
    <row r="334" spans="1:15" ht="12" customHeight="1" x14ac:dyDescent="0.25">
      <c r="A334" s="54" t="s">
        <v>16</v>
      </c>
      <c r="B334" s="32">
        <v>2</v>
      </c>
      <c r="C334" s="32">
        <v>1144744</v>
      </c>
      <c r="D334" s="39">
        <v>45881</v>
      </c>
      <c r="E334" s="32" t="s">
        <v>15</v>
      </c>
      <c r="F334" s="32" t="str">
        <f t="shared" si="103"/>
        <v>M22</v>
      </c>
      <c r="G334" s="62" t="str">
        <f t="shared" si="103"/>
        <v>303</v>
      </c>
      <c r="H334" s="38" t="str">
        <f t="shared" si="104"/>
        <v>C6</v>
      </c>
      <c r="I334" s="38">
        <f t="shared" si="104"/>
        <v>1</v>
      </c>
      <c r="J334" s="37" t="s">
        <v>34</v>
      </c>
      <c r="K334" s="37">
        <v>22</v>
      </c>
      <c r="L334" s="117">
        <v>1.02</v>
      </c>
      <c r="M334" s="117">
        <v>4.13</v>
      </c>
      <c r="N334" s="29">
        <f t="shared" si="99"/>
        <v>3.11</v>
      </c>
      <c r="O334" s="58" t="str">
        <f t="shared" si="101"/>
        <v>OK</v>
      </c>
    </row>
    <row r="335" spans="1:15" ht="12" customHeight="1" x14ac:dyDescent="0.25">
      <c r="A335" s="54" t="s">
        <v>16</v>
      </c>
      <c r="B335" s="32">
        <v>2</v>
      </c>
      <c r="C335" s="32">
        <v>1144744</v>
      </c>
      <c r="D335" s="39">
        <v>45881</v>
      </c>
      <c r="E335" s="32" t="s">
        <v>15</v>
      </c>
      <c r="F335" s="32" t="str">
        <f t="shared" si="103"/>
        <v>M22</v>
      </c>
      <c r="G335" s="62" t="str">
        <f t="shared" si="103"/>
        <v>303</v>
      </c>
      <c r="H335" s="38" t="str">
        <f>H334</f>
        <v>C6</v>
      </c>
      <c r="I335" s="38">
        <v>2</v>
      </c>
      <c r="J335" s="37" t="s">
        <v>35</v>
      </c>
      <c r="K335" s="37">
        <v>23</v>
      </c>
      <c r="L335" s="117">
        <v>0.3</v>
      </c>
      <c r="M335" s="117">
        <v>4.83</v>
      </c>
      <c r="N335" s="29">
        <f t="shared" si="99"/>
        <v>4.53</v>
      </c>
      <c r="O335" s="58" t="str">
        <f t="shared" si="101"/>
        <v>OK</v>
      </c>
    </row>
    <row r="336" spans="1:15" ht="12" customHeight="1" x14ac:dyDescent="0.25">
      <c r="A336" s="54" t="s">
        <v>16</v>
      </c>
      <c r="B336" s="32">
        <v>2</v>
      </c>
      <c r="C336" s="32">
        <v>1144744</v>
      </c>
      <c r="D336" s="39">
        <v>45881</v>
      </c>
      <c r="E336" s="32" t="s">
        <v>15</v>
      </c>
      <c r="F336" s="32" t="str">
        <f t="shared" si="103"/>
        <v>M22</v>
      </c>
      <c r="G336" s="62" t="str">
        <f t="shared" si="103"/>
        <v>303</v>
      </c>
      <c r="H336" s="38" t="str">
        <f>H335</f>
        <v>C6</v>
      </c>
      <c r="I336" s="38">
        <f>I335</f>
        <v>2</v>
      </c>
      <c r="J336" s="37" t="s">
        <v>36</v>
      </c>
      <c r="K336" s="37">
        <v>23</v>
      </c>
      <c r="L336" s="117">
        <v>1.17</v>
      </c>
      <c r="M336" s="117">
        <v>4.68</v>
      </c>
      <c r="N336" s="29">
        <f t="shared" si="99"/>
        <v>3.51</v>
      </c>
      <c r="O336" s="58" t="str">
        <f t="shared" si="101"/>
        <v>OK</v>
      </c>
    </row>
    <row r="337" spans="1:15" ht="12" customHeight="1" x14ac:dyDescent="0.25">
      <c r="A337" s="54" t="s">
        <v>16</v>
      </c>
      <c r="B337" s="32">
        <v>2</v>
      </c>
      <c r="C337" s="32">
        <v>1144744</v>
      </c>
      <c r="D337" s="39">
        <v>45881</v>
      </c>
      <c r="E337" s="32" t="s">
        <v>15</v>
      </c>
      <c r="F337" s="32" t="str">
        <f t="shared" si="103"/>
        <v>M22</v>
      </c>
      <c r="G337" s="62" t="str">
        <f t="shared" si="103"/>
        <v>303</v>
      </c>
      <c r="H337" s="38" t="str">
        <f>H336</f>
        <v>C6</v>
      </c>
      <c r="I337" s="38">
        <f>I336</f>
        <v>2</v>
      </c>
      <c r="J337" s="37" t="s">
        <v>37</v>
      </c>
      <c r="K337" s="37">
        <v>24</v>
      </c>
      <c r="L337" s="117">
        <v>1.63</v>
      </c>
      <c r="M337" s="117">
        <v>4.5999999999999996</v>
      </c>
      <c r="N337" s="29">
        <f t="shared" si="99"/>
        <v>2.9699999999999998</v>
      </c>
      <c r="O337" s="58" t="str">
        <f t="shared" si="101"/>
        <v>Reperfilado</v>
      </c>
    </row>
    <row r="338" spans="1:15" ht="12" customHeight="1" x14ac:dyDescent="0.25">
      <c r="A338" s="54" t="s">
        <v>16</v>
      </c>
      <c r="B338" s="32">
        <v>2</v>
      </c>
      <c r="C338" s="32">
        <v>1144744</v>
      </c>
      <c r="D338" s="39">
        <v>45881</v>
      </c>
      <c r="E338" s="32" t="s">
        <v>15</v>
      </c>
      <c r="F338" s="32" t="str">
        <f t="shared" si="103"/>
        <v>M22</v>
      </c>
      <c r="G338" s="62" t="str">
        <f t="shared" si="103"/>
        <v>303</v>
      </c>
      <c r="H338" s="38" t="str">
        <f>H337</f>
        <v>C6</v>
      </c>
      <c r="I338" s="38">
        <f>I337</f>
        <v>2</v>
      </c>
      <c r="J338" s="37" t="s">
        <v>38</v>
      </c>
      <c r="K338" s="37">
        <v>24</v>
      </c>
      <c r="L338" s="117">
        <v>1.28</v>
      </c>
      <c r="M338" s="117">
        <v>3.74</v>
      </c>
      <c r="N338" s="29">
        <f t="shared" si="99"/>
        <v>2.46</v>
      </c>
      <c r="O338" s="58" t="str">
        <f t="shared" si="101"/>
        <v>OK</v>
      </c>
    </row>
    <row r="339" spans="1:15" ht="12" customHeight="1" x14ac:dyDescent="0.25">
      <c r="A339" s="54" t="s">
        <v>16</v>
      </c>
      <c r="B339" s="32">
        <v>2</v>
      </c>
      <c r="C339" s="32">
        <v>1144744</v>
      </c>
      <c r="D339" s="39">
        <v>45881</v>
      </c>
      <c r="E339" s="32" t="s">
        <v>15</v>
      </c>
      <c r="F339" s="32" t="s">
        <v>44</v>
      </c>
      <c r="G339" s="62" t="s">
        <v>54</v>
      </c>
      <c r="H339" s="38" t="s">
        <v>47</v>
      </c>
      <c r="I339" s="38">
        <v>2</v>
      </c>
      <c r="J339" s="37" t="s">
        <v>31</v>
      </c>
      <c r="K339" s="37">
        <v>25</v>
      </c>
      <c r="L339" s="117">
        <v>1.18</v>
      </c>
      <c r="M339" s="117">
        <v>4.37</v>
      </c>
      <c r="N339" s="29">
        <f t="shared" si="99"/>
        <v>3.1900000000000004</v>
      </c>
      <c r="O339" s="58" t="str">
        <f t="shared" si="101"/>
        <v>OK</v>
      </c>
    </row>
    <row r="340" spans="1:15" ht="12" customHeight="1" x14ac:dyDescent="0.25">
      <c r="A340" s="54" t="s">
        <v>16</v>
      </c>
      <c r="B340" s="32">
        <v>2</v>
      </c>
      <c r="C340" s="32">
        <v>1144744</v>
      </c>
      <c r="D340" s="39">
        <v>45881</v>
      </c>
      <c r="E340" s="32" t="s">
        <v>15</v>
      </c>
      <c r="F340" s="32" t="str">
        <f t="shared" ref="F340:I342" si="105">F339</f>
        <v>M22</v>
      </c>
      <c r="G340" s="62" t="str">
        <f t="shared" si="105"/>
        <v>305</v>
      </c>
      <c r="H340" s="38" t="str">
        <f t="shared" si="105"/>
        <v>C6</v>
      </c>
      <c r="I340" s="38">
        <f t="shared" si="105"/>
        <v>2</v>
      </c>
      <c r="J340" s="37" t="s">
        <v>32</v>
      </c>
      <c r="K340" s="37">
        <v>25</v>
      </c>
      <c r="L340" s="117">
        <v>1.27</v>
      </c>
      <c r="M340" s="117">
        <v>4.12</v>
      </c>
      <c r="N340" s="29">
        <f t="shared" si="99"/>
        <v>2.85</v>
      </c>
      <c r="O340" s="58" t="str">
        <f t="shared" si="101"/>
        <v>OK</v>
      </c>
    </row>
    <row r="341" spans="1:15" ht="12" customHeight="1" x14ac:dyDescent="0.25">
      <c r="A341" s="54" t="s">
        <v>16</v>
      </c>
      <c r="B341" s="32">
        <v>2</v>
      </c>
      <c r="C341" s="32">
        <v>1144744</v>
      </c>
      <c r="D341" s="39">
        <v>45881</v>
      </c>
      <c r="E341" s="32" t="s">
        <v>15</v>
      </c>
      <c r="F341" s="32" t="str">
        <f t="shared" si="105"/>
        <v>M22</v>
      </c>
      <c r="G341" s="62" t="str">
        <f t="shared" si="105"/>
        <v>305</v>
      </c>
      <c r="H341" s="38" t="str">
        <f t="shared" si="105"/>
        <v>C6</v>
      </c>
      <c r="I341" s="38">
        <f t="shared" si="105"/>
        <v>2</v>
      </c>
      <c r="J341" s="37" t="s">
        <v>33</v>
      </c>
      <c r="K341" s="37">
        <v>26</v>
      </c>
      <c r="L341" s="117">
        <v>1.57</v>
      </c>
      <c r="M341" s="117">
        <v>2.2000000000000002</v>
      </c>
      <c r="N341" s="29">
        <f t="shared" si="99"/>
        <v>0.63000000000000012</v>
      </c>
      <c r="O341" s="58" t="str">
        <f t="shared" si="101"/>
        <v>Seguimiento</v>
      </c>
    </row>
    <row r="342" spans="1:15" ht="12" customHeight="1" x14ac:dyDescent="0.25">
      <c r="A342" s="54" t="s">
        <v>16</v>
      </c>
      <c r="B342" s="32">
        <v>2</v>
      </c>
      <c r="C342" s="32">
        <v>1144744</v>
      </c>
      <c r="D342" s="39">
        <v>45881</v>
      </c>
      <c r="E342" s="32" t="s">
        <v>15</v>
      </c>
      <c r="F342" s="32" t="str">
        <f t="shared" si="105"/>
        <v>M22</v>
      </c>
      <c r="G342" s="62" t="str">
        <f t="shared" si="105"/>
        <v>305</v>
      </c>
      <c r="H342" s="38" t="str">
        <f t="shared" si="105"/>
        <v>C6</v>
      </c>
      <c r="I342" s="38">
        <f t="shared" si="105"/>
        <v>2</v>
      </c>
      <c r="J342" s="37" t="s">
        <v>34</v>
      </c>
      <c r="K342" s="37">
        <v>26</v>
      </c>
      <c r="L342" s="117">
        <v>0.57999999999999996</v>
      </c>
      <c r="M342" s="117">
        <v>1.68</v>
      </c>
      <c r="N342" s="29">
        <f t="shared" si="99"/>
        <v>1.1000000000000001</v>
      </c>
      <c r="O342" s="58" t="str">
        <f t="shared" si="101"/>
        <v>OK</v>
      </c>
    </row>
    <row r="343" spans="1:15" ht="12" customHeight="1" x14ac:dyDescent="0.25">
      <c r="A343" s="54" t="s">
        <v>16</v>
      </c>
      <c r="B343" s="32">
        <v>2</v>
      </c>
      <c r="C343" s="32">
        <v>1144744</v>
      </c>
      <c r="D343" s="39">
        <v>45881</v>
      </c>
      <c r="E343" s="32" t="s">
        <v>15</v>
      </c>
      <c r="F343" s="32" t="str">
        <f t="shared" ref="F343:H346" si="106">F342</f>
        <v>M22</v>
      </c>
      <c r="G343" s="62" t="str">
        <f t="shared" si="106"/>
        <v>305</v>
      </c>
      <c r="H343" s="38" t="str">
        <f t="shared" si="106"/>
        <v>C6</v>
      </c>
      <c r="I343" s="38">
        <v>1</v>
      </c>
      <c r="J343" s="37" t="s">
        <v>35</v>
      </c>
      <c r="K343" s="37">
        <v>27</v>
      </c>
      <c r="L343" s="117">
        <v>0.54</v>
      </c>
      <c r="M343" s="117">
        <v>4.38</v>
      </c>
      <c r="N343" s="29">
        <f t="shared" si="99"/>
        <v>3.84</v>
      </c>
      <c r="O343" s="58" t="str">
        <f t="shared" si="101"/>
        <v>OK</v>
      </c>
    </row>
    <row r="344" spans="1:15" ht="12" customHeight="1" x14ac:dyDescent="0.25">
      <c r="A344" s="54" t="s">
        <v>16</v>
      </c>
      <c r="B344" s="32">
        <v>2</v>
      </c>
      <c r="C344" s="32">
        <v>1144744</v>
      </c>
      <c r="D344" s="39">
        <v>45881</v>
      </c>
      <c r="E344" s="32" t="s">
        <v>15</v>
      </c>
      <c r="F344" s="32" t="str">
        <f t="shared" si="106"/>
        <v>M22</v>
      </c>
      <c r="G344" s="62" t="str">
        <f t="shared" si="106"/>
        <v>305</v>
      </c>
      <c r="H344" s="38" t="str">
        <f t="shared" si="106"/>
        <v>C6</v>
      </c>
      <c r="I344" s="38">
        <f>I343</f>
        <v>1</v>
      </c>
      <c r="J344" s="37" t="s">
        <v>36</v>
      </c>
      <c r="K344" s="37">
        <v>27</v>
      </c>
      <c r="L344" s="117">
        <v>0.43</v>
      </c>
      <c r="M344" s="117">
        <v>2.15</v>
      </c>
      <c r="N344" s="29">
        <f t="shared" si="99"/>
        <v>1.72</v>
      </c>
      <c r="O344" s="58" t="str">
        <f t="shared" si="101"/>
        <v>OK</v>
      </c>
    </row>
    <row r="345" spans="1:15" ht="12" customHeight="1" x14ac:dyDescent="0.25">
      <c r="A345" s="54" t="s">
        <v>16</v>
      </c>
      <c r="B345" s="32">
        <v>2</v>
      </c>
      <c r="C345" s="32">
        <v>1144744</v>
      </c>
      <c r="D345" s="39">
        <v>45881</v>
      </c>
      <c r="E345" s="32" t="s">
        <v>15</v>
      </c>
      <c r="F345" s="32" t="str">
        <f t="shared" si="106"/>
        <v>M22</v>
      </c>
      <c r="G345" s="62" t="str">
        <f t="shared" si="106"/>
        <v>305</v>
      </c>
      <c r="H345" s="38" t="str">
        <f t="shared" si="106"/>
        <v>C6</v>
      </c>
      <c r="I345" s="38">
        <f>I344</f>
        <v>1</v>
      </c>
      <c r="J345" s="37" t="s">
        <v>37</v>
      </c>
      <c r="K345" s="37">
        <v>28</v>
      </c>
      <c r="L345" s="117">
        <v>1.2</v>
      </c>
      <c r="M345" s="117">
        <v>2.48</v>
      </c>
      <c r="N345" s="29">
        <f t="shared" si="99"/>
        <v>1.28</v>
      </c>
      <c r="O345" s="58" t="str">
        <f t="shared" si="101"/>
        <v>OK</v>
      </c>
    </row>
    <row r="346" spans="1:15" ht="12" customHeight="1" x14ac:dyDescent="0.25">
      <c r="A346" s="54" t="s">
        <v>16</v>
      </c>
      <c r="B346" s="32">
        <v>2</v>
      </c>
      <c r="C346" s="32">
        <v>1144744</v>
      </c>
      <c r="D346" s="39">
        <v>45881</v>
      </c>
      <c r="E346" s="32" t="s">
        <v>15</v>
      </c>
      <c r="F346" s="32" t="str">
        <f t="shared" si="106"/>
        <v>M22</v>
      </c>
      <c r="G346" s="62" t="str">
        <f t="shared" si="106"/>
        <v>305</v>
      </c>
      <c r="H346" s="38" t="str">
        <f t="shared" si="106"/>
        <v>C6</v>
      </c>
      <c r="I346" s="38">
        <f>I345</f>
        <v>1</v>
      </c>
      <c r="J346" s="37" t="s">
        <v>38</v>
      </c>
      <c r="K346" s="37">
        <v>28</v>
      </c>
      <c r="L346" s="117">
        <v>0.64</v>
      </c>
      <c r="M346" s="117">
        <v>2.25</v>
      </c>
      <c r="N346" s="29">
        <f t="shared" si="99"/>
        <v>1.6099999999999999</v>
      </c>
      <c r="O346" s="58" t="str">
        <f t="shared" si="101"/>
        <v>OK</v>
      </c>
    </row>
    <row r="347" spans="1:15" ht="12" customHeight="1" x14ac:dyDescent="0.25">
      <c r="A347" s="54" t="s">
        <v>16</v>
      </c>
      <c r="B347" s="32">
        <v>2</v>
      </c>
      <c r="C347" s="32">
        <v>1144744</v>
      </c>
      <c r="D347" s="39">
        <v>45881</v>
      </c>
      <c r="E347" s="32" t="s">
        <v>15</v>
      </c>
      <c r="F347" s="32" t="str">
        <f t="shared" ref="F347:G354" si="107">F346</f>
        <v>M22</v>
      </c>
      <c r="G347" s="62" t="str">
        <f t="shared" si="107"/>
        <v>305</v>
      </c>
      <c r="H347" s="38" t="s">
        <v>46</v>
      </c>
      <c r="I347" s="38">
        <v>2</v>
      </c>
      <c r="J347" s="37" t="s">
        <v>31</v>
      </c>
      <c r="K347" s="37">
        <v>29</v>
      </c>
      <c r="L347" s="117">
        <v>0.61</v>
      </c>
      <c r="M347" s="117">
        <v>4.68</v>
      </c>
      <c r="N347" s="29">
        <f t="shared" si="99"/>
        <v>4.0699999999999994</v>
      </c>
      <c r="O347" s="58" t="str">
        <f t="shared" si="101"/>
        <v>OK</v>
      </c>
    </row>
    <row r="348" spans="1:15" ht="12" customHeight="1" x14ac:dyDescent="0.25">
      <c r="A348" s="54" t="s">
        <v>16</v>
      </c>
      <c r="B348" s="32">
        <v>2</v>
      </c>
      <c r="C348" s="32">
        <v>1144744</v>
      </c>
      <c r="D348" s="39">
        <v>45881</v>
      </c>
      <c r="E348" s="32" t="s">
        <v>15</v>
      </c>
      <c r="F348" s="32" t="str">
        <f t="shared" si="107"/>
        <v>M22</v>
      </c>
      <c r="G348" s="62" t="str">
        <f t="shared" si="107"/>
        <v>305</v>
      </c>
      <c r="H348" s="38" t="str">
        <f t="shared" ref="H348:I350" si="108">H347</f>
        <v>C5</v>
      </c>
      <c r="I348" s="38">
        <f t="shared" si="108"/>
        <v>2</v>
      </c>
      <c r="J348" s="37" t="s">
        <v>32</v>
      </c>
      <c r="K348" s="37">
        <v>29</v>
      </c>
      <c r="L348" s="117">
        <v>1.22</v>
      </c>
      <c r="M348" s="117">
        <v>4.1100000000000003</v>
      </c>
      <c r="N348" s="29">
        <f t="shared" si="99"/>
        <v>2.8900000000000006</v>
      </c>
      <c r="O348" s="58" t="str">
        <f t="shared" si="101"/>
        <v>OK</v>
      </c>
    </row>
    <row r="349" spans="1:15" ht="12" customHeight="1" x14ac:dyDescent="0.25">
      <c r="A349" s="54" t="s">
        <v>16</v>
      </c>
      <c r="B349" s="32">
        <v>2</v>
      </c>
      <c r="C349" s="32">
        <v>1144744</v>
      </c>
      <c r="D349" s="39">
        <v>45881</v>
      </c>
      <c r="E349" s="32" t="s">
        <v>15</v>
      </c>
      <c r="F349" s="32" t="str">
        <f t="shared" si="107"/>
        <v>M22</v>
      </c>
      <c r="G349" s="62" t="str">
        <f t="shared" si="107"/>
        <v>305</v>
      </c>
      <c r="H349" s="38" t="str">
        <f t="shared" si="108"/>
        <v>C5</v>
      </c>
      <c r="I349" s="38">
        <f t="shared" si="108"/>
        <v>2</v>
      </c>
      <c r="J349" s="37" t="s">
        <v>33</v>
      </c>
      <c r="K349" s="37">
        <v>30</v>
      </c>
      <c r="L349" s="117">
        <v>0.88</v>
      </c>
      <c r="M349" s="117">
        <v>4.67</v>
      </c>
      <c r="N349" s="29">
        <f t="shared" si="99"/>
        <v>3.79</v>
      </c>
      <c r="O349" s="58" t="str">
        <f t="shared" si="101"/>
        <v>OK</v>
      </c>
    </row>
    <row r="350" spans="1:15" ht="12" customHeight="1" x14ac:dyDescent="0.25">
      <c r="A350" s="54" t="s">
        <v>16</v>
      </c>
      <c r="B350" s="32">
        <v>2</v>
      </c>
      <c r="C350" s="32">
        <v>1144744</v>
      </c>
      <c r="D350" s="39">
        <v>45881</v>
      </c>
      <c r="E350" s="32" t="s">
        <v>15</v>
      </c>
      <c r="F350" s="32" t="str">
        <f t="shared" si="107"/>
        <v>M22</v>
      </c>
      <c r="G350" s="62" t="str">
        <f t="shared" si="107"/>
        <v>305</v>
      </c>
      <c r="H350" s="38" t="str">
        <f t="shared" si="108"/>
        <v>C5</v>
      </c>
      <c r="I350" s="38">
        <f t="shared" si="108"/>
        <v>2</v>
      </c>
      <c r="J350" s="37" t="s">
        <v>34</v>
      </c>
      <c r="K350" s="37">
        <v>30</v>
      </c>
      <c r="L350" s="117">
        <v>0.34</v>
      </c>
      <c r="M350" s="117">
        <v>2.62</v>
      </c>
      <c r="N350" s="29">
        <f t="shared" si="99"/>
        <v>2.2800000000000002</v>
      </c>
      <c r="O350" s="58" t="str">
        <f t="shared" si="101"/>
        <v>OK</v>
      </c>
    </row>
    <row r="351" spans="1:15" ht="12" customHeight="1" x14ac:dyDescent="0.25">
      <c r="A351" s="54" t="s">
        <v>16</v>
      </c>
      <c r="B351" s="32">
        <v>2</v>
      </c>
      <c r="C351" s="32">
        <v>1144744</v>
      </c>
      <c r="D351" s="39">
        <v>45881</v>
      </c>
      <c r="E351" s="32" t="s">
        <v>15</v>
      </c>
      <c r="F351" s="32" t="str">
        <f t="shared" si="107"/>
        <v>M22</v>
      </c>
      <c r="G351" s="62" t="str">
        <f t="shared" si="107"/>
        <v>305</v>
      </c>
      <c r="H351" s="38" t="str">
        <f>H350</f>
        <v>C5</v>
      </c>
      <c r="I351" s="38">
        <v>1</v>
      </c>
      <c r="J351" s="37" t="s">
        <v>35</v>
      </c>
      <c r="K351" s="37">
        <v>31</v>
      </c>
      <c r="L351" s="117">
        <v>1.1399999999999999</v>
      </c>
      <c r="M351" s="117">
        <v>4.7</v>
      </c>
      <c r="N351" s="29">
        <f t="shared" si="99"/>
        <v>3.5600000000000005</v>
      </c>
      <c r="O351" s="58" t="str">
        <f t="shared" si="101"/>
        <v>OK</v>
      </c>
    </row>
    <row r="352" spans="1:15" ht="12" customHeight="1" x14ac:dyDescent="0.25">
      <c r="A352" s="54" t="s">
        <v>16</v>
      </c>
      <c r="B352" s="32">
        <v>2</v>
      </c>
      <c r="C352" s="32">
        <v>1144744</v>
      </c>
      <c r="D352" s="39">
        <v>45881</v>
      </c>
      <c r="E352" s="32" t="s">
        <v>15</v>
      </c>
      <c r="F352" s="32" t="str">
        <f t="shared" si="107"/>
        <v>M22</v>
      </c>
      <c r="G352" s="62" t="str">
        <f t="shared" si="107"/>
        <v>305</v>
      </c>
      <c r="H352" s="38" t="str">
        <f>H351</f>
        <v>C5</v>
      </c>
      <c r="I352" s="38">
        <f>I351</f>
        <v>1</v>
      </c>
      <c r="J352" s="37" t="s">
        <v>36</v>
      </c>
      <c r="K352" s="37">
        <v>31</v>
      </c>
      <c r="L352" s="117">
        <v>0.67</v>
      </c>
      <c r="M352" s="117">
        <v>1.84</v>
      </c>
      <c r="N352" s="29">
        <f t="shared" si="99"/>
        <v>1.17</v>
      </c>
      <c r="O352" s="58" t="str">
        <f t="shared" si="101"/>
        <v>OK</v>
      </c>
    </row>
    <row r="353" spans="1:15" ht="12" customHeight="1" x14ac:dyDescent="0.25">
      <c r="A353" s="54" t="s">
        <v>16</v>
      </c>
      <c r="B353" s="32">
        <v>2</v>
      </c>
      <c r="C353" s="32">
        <v>1144744</v>
      </c>
      <c r="D353" s="39">
        <v>45881</v>
      </c>
      <c r="E353" s="32" t="s">
        <v>15</v>
      </c>
      <c r="F353" s="32" t="str">
        <f t="shared" si="107"/>
        <v>M22</v>
      </c>
      <c r="G353" s="62" t="str">
        <f t="shared" si="107"/>
        <v>305</v>
      </c>
      <c r="H353" s="38" t="str">
        <f>H352</f>
        <v>C5</v>
      </c>
      <c r="I353" s="38">
        <f>I352</f>
        <v>1</v>
      </c>
      <c r="J353" s="37" t="s">
        <v>37</v>
      </c>
      <c r="K353" s="37">
        <v>32</v>
      </c>
      <c r="L353" s="117">
        <v>0.48</v>
      </c>
      <c r="M353" s="117">
        <v>4.5599999999999996</v>
      </c>
      <c r="N353" s="29">
        <f t="shared" si="99"/>
        <v>4.08</v>
      </c>
      <c r="O353" s="58" t="str">
        <f t="shared" si="101"/>
        <v>OK</v>
      </c>
    </row>
    <row r="354" spans="1:15" ht="12" customHeight="1" x14ac:dyDescent="0.25">
      <c r="A354" s="54" t="s">
        <v>16</v>
      </c>
      <c r="B354" s="32">
        <v>2</v>
      </c>
      <c r="C354" s="32">
        <v>1144744</v>
      </c>
      <c r="D354" s="39">
        <v>45881</v>
      </c>
      <c r="E354" s="32" t="s">
        <v>15</v>
      </c>
      <c r="F354" s="32" t="str">
        <f t="shared" si="107"/>
        <v>M22</v>
      </c>
      <c r="G354" s="62" t="str">
        <f t="shared" si="107"/>
        <v>305</v>
      </c>
      <c r="H354" s="38" t="str">
        <f>H353</f>
        <v>C5</v>
      </c>
      <c r="I354" s="38">
        <f>I353</f>
        <v>1</v>
      </c>
      <c r="J354" s="37" t="s">
        <v>38</v>
      </c>
      <c r="K354" s="37">
        <v>32</v>
      </c>
      <c r="L354" s="117">
        <v>1.3</v>
      </c>
      <c r="M354" s="117">
        <v>4.0199999999999996</v>
      </c>
      <c r="N354" s="29">
        <f t="shared" si="99"/>
        <v>2.7199999999999998</v>
      </c>
      <c r="O354" s="58" t="str">
        <f t="shared" si="101"/>
        <v>OK</v>
      </c>
    </row>
    <row r="355" spans="1:15" ht="12" customHeight="1" x14ac:dyDescent="0.25">
      <c r="A355" s="54" t="s">
        <v>16</v>
      </c>
      <c r="B355" s="32">
        <v>2</v>
      </c>
      <c r="C355" s="32">
        <v>1144744</v>
      </c>
      <c r="D355" s="39">
        <v>45881</v>
      </c>
      <c r="E355" s="32" t="s">
        <v>15</v>
      </c>
      <c r="F355" s="32" t="s">
        <v>40</v>
      </c>
      <c r="G355" s="62" t="s">
        <v>57</v>
      </c>
      <c r="H355" s="38" t="s">
        <v>43</v>
      </c>
      <c r="I355" s="38">
        <v>2</v>
      </c>
      <c r="J355" s="37" t="s">
        <v>31</v>
      </c>
      <c r="K355" s="37">
        <v>33</v>
      </c>
      <c r="L355" s="117">
        <v>0.14000000000000001</v>
      </c>
      <c r="M355" s="117">
        <v>2.11</v>
      </c>
      <c r="N355" s="29">
        <f t="shared" ref="N355:N418" si="109">+M355-L355</f>
        <v>1.9699999999999998</v>
      </c>
      <c r="O355" s="58" t="str">
        <f t="shared" si="101"/>
        <v>OK</v>
      </c>
    </row>
    <row r="356" spans="1:15" ht="12" customHeight="1" x14ac:dyDescent="0.25">
      <c r="A356" s="54" t="s">
        <v>16</v>
      </c>
      <c r="B356" s="32">
        <v>2</v>
      </c>
      <c r="C356" s="32">
        <v>1144744</v>
      </c>
      <c r="D356" s="39">
        <v>45881</v>
      </c>
      <c r="E356" s="32" t="s">
        <v>15</v>
      </c>
      <c r="F356" s="32" t="str">
        <f t="shared" ref="F356:I358" si="110">F355</f>
        <v>M21</v>
      </c>
      <c r="G356" s="62" t="str">
        <f t="shared" si="110"/>
        <v>008</v>
      </c>
      <c r="H356" s="38" t="str">
        <f t="shared" si="110"/>
        <v>C4</v>
      </c>
      <c r="I356" s="38">
        <f t="shared" si="110"/>
        <v>2</v>
      </c>
      <c r="J356" s="37" t="s">
        <v>32</v>
      </c>
      <c r="K356" s="37">
        <v>33</v>
      </c>
      <c r="L356" s="117">
        <v>0.13</v>
      </c>
      <c r="M356" s="117">
        <v>1.78</v>
      </c>
      <c r="N356" s="29">
        <f t="shared" si="109"/>
        <v>1.65</v>
      </c>
      <c r="O356" s="58" t="str">
        <f t="shared" si="101"/>
        <v>OK</v>
      </c>
    </row>
    <row r="357" spans="1:15" ht="12" customHeight="1" x14ac:dyDescent="0.25">
      <c r="A357" s="54" t="s">
        <v>16</v>
      </c>
      <c r="B357" s="32">
        <v>2</v>
      </c>
      <c r="C357" s="32">
        <v>1144744</v>
      </c>
      <c r="D357" s="39">
        <v>45881</v>
      </c>
      <c r="E357" s="32" t="s">
        <v>15</v>
      </c>
      <c r="F357" s="32" t="str">
        <f t="shared" si="110"/>
        <v>M21</v>
      </c>
      <c r="G357" s="62" t="str">
        <f t="shared" si="110"/>
        <v>008</v>
      </c>
      <c r="H357" s="38" t="str">
        <f t="shared" si="110"/>
        <v>C4</v>
      </c>
      <c r="I357" s="38">
        <f t="shared" si="110"/>
        <v>2</v>
      </c>
      <c r="J357" s="37" t="s">
        <v>33</v>
      </c>
      <c r="K357" s="37">
        <v>34</v>
      </c>
      <c r="L357" s="117">
        <v>0.45</v>
      </c>
      <c r="M357" s="117">
        <v>2.83</v>
      </c>
      <c r="N357" s="29">
        <f t="shared" si="109"/>
        <v>2.38</v>
      </c>
      <c r="O357" s="58" t="str">
        <f t="shared" si="101"/>
        <v>OK</v>
      </c>
    </row>
    <row r="358" spans="1:15" ht="12" customHeight="1" x14ac:dyDescent="0.25">
      <c r="A358" s="54" t="s">
        <v>16</v>
      </c>
      <c r="B358" s="32">
        <v>2</v>
      </c>
      <c r="C358" s="32">
        <v>1144744</v>
      </c>
      <c r="D358" s="39">
        <v>45881</v>
      </c>
      <c r="E358" s="32" t="s">
        <v>15</v>
      </c>
      <c r="F358" s="32" t="str">
        <f t="shared" si="110"/>
        <v>M21</v>
      </c>
      <c r="G358" s="62" t="str">
        <f t="shared" si="110"/>
        <v>008</v>
      </c>
      <c r="H358" s="38" t="str">
        <f t="shared" si="110"/>
        <v>C4</v>
      </c>
      <c r="I358" s="38">
        <f t="shared" si="110"/>
        <v>2</v>
      </c>
      <c r="J358" s="37" t="s">
        <v>34</v>
      </c>
      <c r="K358" s="37">
        <v>34</v>
      </c>
      <c r="L358" s="117">
        <v>0.31</v>
      </c>
      <c r="M358" s="117">
        <v>2.56</v>
      </c>
      <c r="N358" s="29">
        <f t="shared" si="109"/>
        <v>2.25</v>
      </c>
      <c r="O358" s="58" t="str">
        <f t="shared" si="101"/>
        <v>OK</v>
      </c>
    </row>
    <row r="359" spans="1:15" ht="12" customHeight="1" x14ac:dyDescent="0.25">
      <c r="A359" s="54" t="s">
        <v>16</v>
      </c>
      <c r="B359" s="32">
        <v>2</v>
      </c>
      <c r="C359" s="32">
        <v>1144744</v>
      </c>
      <c r="D359" s="39">
        <v>45881</v>
      </c>
      <c r="E359" s="32" t="s">
        <v>15</v>
      </c>
      <c r="F359" s="32" t="str">
        <f t="shared" ref="F359:H362" si="111">F358</f>
        <v>M21</v>
      </c>
      <c r="G359" s="62" t="str">
        <f t="shared" si="111"/>
        <v>008</v>
      </c>
      <c r="H359" s="38" t="str">
        <f t="shared" si="111"/>
        <v>C4</v>
      </c>
      <c r="I359" s="38">
        <v>1</v>
      </c>
      <c r="J359" s="37" t="s">
        <v>35</v>
      </c>
      <c r="K359" s="37">
        <v>35</v>
      </c>
      <c r="L359" s="117">
        <v>0.38</v>
      </c>
      <c r="M359" s="117">
        <v>1.5</v>
      </c>
      <c r="N359" s="29">
        <f t="shared" si="109"/>
        <v>1.1200000000000001</v>
      </c>
      <c r="O359" s="58" t="str">
        <f t="shared" si="101"/>
        <v>OK</v>
      </c>
    </row>
    <row r="360" spans="1:15" ht="12" customHeight="1" x14ac:dyDescent="0.25">
      <c r="A360" s="54" t="s">
        <v>16</v>
      </c>
      <c r="B360" s="32">
        <v>2</v>
      </c>
      <c r="C360" s="32">
        <v>1144744</v>
      </c>
      <c r="D360" s="39">
        <v>45881</v>
      </c>
      <c r="E360" s="32" t="s">
        <v>15</v>
      </c>
      <c r="F360" s="32" t="str">
        <f t="shared" si="111"/>
        <v>M21</v>
      </c>
      <c r="G360" s="62" t="str">
        <f t="shared" si="111"/>
        <v>008</v>
      </c>
      <c r="H360" s="38" t="str">
        <f t="shared" si="111"/>
        <v>C4</v>
      </c>
      <c r="I360" s="38">
        <f>I359</f>
        <v>1</v>
      </c>
      <c r="J360" s="37" t="s">
        <v>36</v>
      </c>
      <c r="K360" s="37">
        <v>35</v>
      </c>
      <c r="L360" s="117">
        <v>0.97</v>
      </c>
      <c r="M360" s="117">
        <v>3.39</v>
      </c>
      <c r="N360" s="29">
        <f t="shared" si="109"/>
        <v>2.42</v>
      </c>
      <c r="O360" s="58" t="str">
        <f t="shared" si="101"/>
        <v>OK</v>
      </c>
    </row>
    <row r="361" spans="1:15" ht="12" customHeight="1" x14ac:dyDescent="0.25">
      <c r="A361" s="54" t="s">
        <v>16</v>
      </c>
      <c r="B361" s="32">
        <v>2</v>
      </c>
      <c r="C361" s="32">
        <v>1144744</v>
      </c>
      <c r="D361" s="39">
        <v>45881</v>
      </c>
      <c r="E361" s="32" t="s">
        <v>15</v>
      </c>
      <c r="F361" s="32" t="str">
        <f t="shared" si="111"/>
        <v>M21</v>
      </c>
      <c r="G361" s="62" t="str">
        <f t="shared" si="111"/>
        <v>008</v>
      </c>
      <c r="H361" s="38" t="str">
        <f t="shared" si="111"/>
        <v>C4</v>
      </c>
      <c r="I361" s="38">
        <f>I360</f>
        <v>1</v>
      </c>
      <c r="J361" s="37" t="s">
        <v>37</v>
      </c>
      <c r="K361" s="37">
        <v>36</v>
      </c>
      <c r="L361" s="117">
        <v>0.56000000000000005</v>
      </c>
      <c r="M361" s="117">
        <v>4.3899999999999997</v>
      </c>
      <c r="N361" s="29">
        <f t="shared" si="109"/>
        <v>3.8299999999999996</v>
      </c>
      <c r="O361" s="58" t="str">
        <f t="shared" si="101"/>
        <v>OK</v>
      </c>
    </row>
    <row r="362" spans="1:15" ht="12" customHeight="1" x14ac:dyDescent="0.25">
      <c r="A362" s="54" t="s">
        <v>16</v>
      </c>
      <c r="B362" s="32">
        <v>2</v>
      </c>
      <c r="C362" s="32">
        <v>1144744</v>
      </c>
      <c r="D362" s="39">
        <v>45881</v>
      </c>
      <c r="E362" s="32" t="s">
        <v>15</v>
      </c>
      <c r="F362" s="32" t="str">
        <f t="shared" si="111"/>
        <v>M21</v>
      </c>
      <c r="G362" s="62" t="str">
        <f t="shared" si="111"/>
        <v>008</v>
      </c>
      <c r="H362" s="38" t="str">
        <f t="shared" si="111"/>
        <v>C4</v>
      </c>
      <c r="I362" s="38">
        <f>I361</f>
        <v>1</v>
      </c>
      <c r="J362" s="37" t="s">
        <v>38</v>
      </c>
      <c r="K362" s="37">
        <v>36</v>
      </c>
      <c r="L362" s="117">
        <v>0.14000000000000001</v>
      </c>
      <c r="M362" s="117">
        <v>2.94</v>
      </c>
      <c r="N362" s="29">
        <f t="shared" si="109"/>
        <v>2.8</v>
      </c>
      <c r="O362" s="58" t="str">
        <f t="shared" si="101"/>
        <v>OK</v>
      </c>
    </row>
    <row r="363" spans="1:15" ht="12" customHeight="1" x14ac:dyDescent="0.25">
      <c r="A363" s="54" t="s">
        <v>16</v>
      </c>
      <c r="B363" s="32">
        <v>2</v>
      </c>
      <c r="C363" s="32">
        <v>1144744</v>
      </c>
      <c r="D363" s="39">
        <v>45881</v>
      </c>
      <c r="E363" s="32" t="s">
        <v>15</v>
      </c>
      <c r="F363" s="32" t="str">
        <f t="shared" ref="F363:G370" si="112">F362</f>
        <v>M21</v>
      </c>
      <c r="G363" s="62" t="str">
        <f t="shared" si="112"/>
        <v>008</v>
      </c>
      <c r="H363" s="38" t="s">
        <v>42</v>
      </c>
      <c r="I363" s="38">
        <v>2</v>
      </c>
      <c r="J363" s="37" t="s">
        <v>31</v>
      </c>
      <c r="K363" s="37">
        <v>37</v>
      </c>
      <c r="L363" s="117">
        <v>0.11</v>
      </c>
      <c r="M363" s="117">
        <v>4.4800000000000004</v>
      </c>
      <c r="N363" s="29">
        <f t="shared" si="109"/>
        <v>4.37</v>
      </c>
      <c r="O363" s="58" t="str">
        <f t="shared" si="101"/>
        <v>OK</v>
      </c>
    </row>
    <row r="364" spans="1:15" ht="12" customHeight="1" x14ac:dyDescent="0.25">
      <c r="A364" s="54" t="s">
        <v>16</v>
      </c>
      <c r="B364" s="32">
        <v>2</v>
      </c>
      <c r="C364" s="32">
        <v>1144744</v>
      </c>
      <c r="D364" s="39">
        <v>45881</v>
      </c>
      <c r="E364" s="32" t="s">
        <v>15</v>
      </c>
      <c r="F364" s="32" t="str">
        <f t="shared" si="112"/>
        <v>M21</v>
      </c>
      <c r="G364" s="62" t="str">
        <f t="shared" si="112"/>
        <v>008</v>
      </c>
      <c r="H364" s="38" t="str">
        <f t="shared" ref="H364:I366" si="113">H363</f>
        <v>C3</v>
      </c>
      <c r="I364" s="38">
        <f t="shared" si="113"/>
        <v>2</v>
      </c>
      <c r="J364" s="37" t="s">
        <v>32</v>
      </c>
      <c r="K364" s="37">
        <v>37</v>
      </c>
      <c r="L364" s="117">
        <v>0.15</v>
      </c>
      <c r="M364" s="117">
        <v>4.7300000000000004</v>
      </c>
      <c r="N364" s="29">
        <f t="shared" si="109"/>
        <v>4.58</v>
      </c>
      <c r="O364" s="58" t="str">
        <f t="shared" si="101"/>
        <v>OK</v>
      </c>
    </row>
    <row r="365" spans="1:15" ht="12" customHeight="1" x14ac:dyDescent="0.25">
      <c r="A365" s="54" t="s">
        <v>16</v>
      </c>
      <c r="B365" s="32">
        <v>2</v>
      </c>
      <c r="C365" s="32">
        <v>1144744</v>
      </c>
      <c r="D365" s="39">
        <v>45881</v>
      </c>
      <c r="E365" s="32" t="s">
        <v>15</v>
      </c>
      <c r="F365" s="32" t="str">
        <f t="shared" si="112"/>
        <v>M21</v>
      </c>
      <c r="G365" s="62" t="str">
        <f t="shared" si="112"/>
        <v>008</v>
      </c>
      <c r="H365" s="38" t="str">
        <f t="shared" si="113"/>
        <v>C3</v>
      </c>
      <c r="I365" s="38">
        <f t="shared" si="113"/>
        <v>2</v>
      </c>
      <c r="J365" s="37" t="s">
        <v>33</v>
      </c>
      <c r="K365" s="37">
        <v>38</v>
      </c>
      <c r="L365" s="117">
        <v>0.1</v>
      </c>
      <c r="M365" s="117">
        <v>4.54</v>
      </c>
      <c r="N365" s="29">
        <f t="shared" si="109"/>
        <v>4.4400000000000004</v>
      </c>
      <c r="O365" s="58" t="str">
        <f t="shared" si="101"/>
        <v>OK</v>
      </c>
    </row>
    <row r="366" spans="1:15" ht="12" customHeight="1" x14ac:dyDescent="0.25">
      <c r="A366" s="54" t="s">
        <v>16</v>
      </c>
      <c r="B366" s="32">
        <v>2</v>
      </c>
      <c r="C366" s="32">
        <v>1144744</v>
      </c>
      <c r="D366" s="39">
        <v>45881</v>
      </c>
      <c r="E366" s="32" t="s">
        <v>15</v>
      </c>
      <c r="F366" s="32" t="str">
        <f t="shared" si="112"/>
        <v>M21</v>
      </c>
      <c r="G366" s="62" t="str">
        <f t="shared" si="112"/>
        <v>008</v>
      </c>
      <c r="H366" s="38" t="str">
        <f t="shared" si="113"/>
        <v>C3</v>
      </c>
      <c r="I366" s="38">
        <f t="shared" si="113"/>
        <v>2</v>
      </c>
      <c r="J366" s="37" t="s">
        <v>34</v>
      </c>
      <c r="K366" s="37">
        <v>38</v>
      </c>
      <c r="L366" s="117">
        <v>0.21</v>
      </c>
      <c r="M366" s="117">
        <v>4.68</v>
      </c>
      <c r="N366" s="29">
        <f t="shared" si="109"/>
        <v>4.47</v>
      </c>
      <c r="O366" s="58" t="str">
        <f t="shared" si="101"/>
        <v>OK</v>
      </c>
    </row>
    <row r="367" spans="1:15" ht="12" customHeight="1" x14ac:dyDescent="0.25">
      <c r="A367" s="54" t="s">
        <v>16</v>
      </c>
      <c r="B367" s="32">
        <v>2</v>
      </c>
      <c r="C367" s="32">
        <v>1144744</v>
      </c>
      <c r="D367" s="39">
        <v>45881</v>
      </c>
      <c r="E367" s="32" t="s">
        <v>15</v>
      </c>
      <c r="F367" s="32" t="str">
        <f t="shared" si="112"/>
        <v>M21</v>
      </c>
      <c r="G367" s="62" t="str">
        <f t="shared" si="112"/>
        <v>008</v>
      </c>
      <c r="H367" s="38" t="str">
        <f>H366</f>
        <v>C3</v>
      </c>
      <c r="I367" s="38">
        <v>1</v>
      </c>
      <c r="J367" s="37" t="s">
        <v>35</v>
      </c>
      <c r="K367" s="37">
        <v>39</v>
      </c>
      <c r="L367" s="117">
        <v>0.27</v>
      </c>
      <c r="M367" s="117">
        <v>4.74</v>
      </c>
      <c r="N367" s="29">
        <f t="shared" si="109"/>
        <v>4.4700000000000006</v>
      </c>
      <c r="O367" s="58" t="str">
        <f t="shared" si="101"/>
        <v>OK</v>
      </c>
    </row>
    <row r="368" spans="1:15" ht="12" customHeight="1" x14ac:dyDescent="0.25">
      <c r="A368" s="54" t="s">
        <v>16</v>
      </c>
      <c r="B368" s="32">
        <v>2</v>
      </c>
      <c r="C368" s="32">
        <v>1144744</v>
      </c>
      <c r="D368" s="39">
        <v>45881</v>
      </c>
      <c r="E368" s="32" t="s">
        <v>15</v>
      </c>
      <c r="F368" s="32" t="str">
        <f t="shared" si="112"/>
        <v>M21</v>
      </c>
      <c r="G368" s="62" t="str">
        <f t="shared" si="112"/>
        <v>008</v>
      </c>
      <c r="H368" s="38" t="str">
        <f>H367</f>
        <v>C3</v>
      </c>
      <c r="I368" s="38">
        <f>I367</f>
        <v>1</v>
      </c>
      <c r="J368" s="37" t="s">
        <v>36</v>
      </c>
      <c r="K368" s="37">
        <v>39</v>
      </c>
      <c r="L368" s="117">
        <v>0.2</v>
      </c>
      <c r="M368" s="117">
        <v>4.7699999999999996</v>
      </c>
      <c r="N368" s="29">
        <f t="shared" si="109"/>
        <v>4.5699999999999994</v>
      </c>
      <c r="O368" s="58" t="str">
        <f t="shared" si="101"/>
        <v>OK</v>
      </c>
    </row>
    <row r="369" spans="1:15" ht="12" customHeight="1" x14ac:dyDescent="0.25">
      <c r="A369" s="54" t="s">
        <v>16</v>
      </c>
      <c r="B369" s="32">
        <v>2</v>
      </c>
      <c r="C369" s="32">
        <v>1144744</v>
      </c>
      <c r="D369" s="39">
        <v>45881</v>
      </c>
      <c r="E369" s="32" t="s">
        <v>15</v>
      </c>
      <c r="F369" s="32" t="str">
        <f t="shared" si="112"/>
        <v>M21</v>
      </c>
      <c r="G369" s="62" t="str">
        <f t="shared" si="112"/>
        <v>008</v>
      </c>
      <c r="H369" s="38" t="str">
        <f>H368</f>
        <v>C3</v>
      </c>
      <c r="I369" s="38">
        <f>I368</f>
        <v>1</v>
      </c>
      <c r="J369" s="37" t="s">
        <v>37</v>
      </c>
      <c r="K369" s="37">
        <v>40</v>
      </c>
      <c r="L369" s="117">
        <v>0.24</v>
      </c>
      <c r="M369" s="117">
        <v>4.43</v>
      </c>
      <c r="N369" s="29">
        <f t="shared" si="109"/>
        <v>4.1899999999999995</v>
      </c>
      <c r="O369" s="58" t="str">
        <f t="shared" si="101"/>
        <v>OK</v>
      </c>
    </row>
    <row r="370" spans="1:15" ht="12" customHeight="1" x14ac:dyDescent="0.25">
      <c r="A370" s="54" t="s">
        <v>16</v>
      </c>
      <c r="B370" s="32">
        <v>2</v>
      </c>
      <c r="C370" s="32">
        <v>1144744</v>
      </c>
      <c r="D370" s="39">
        <v>45881</v>
      </c>
      <c r="E370" s="32" t="s">
        <v>15</v>
      </c>
      <c r="F370" s="32" t="str">
        <f t="shared" si="112"/>
        <v>M21</v>
      </c>
      <c r="G370" s="62" t="str">
        <f t="shared" si="112"/>
        <v>008</v>
      </c>
      <c r="H370" s="38" t="str">
        <f>H369</f>
        <v>C3</v>
      </c>
      <c r="I370" s="38">
        <f>I369</f>
        <v>1</v>
      </c>
      <c r="J370" s="37" t="s">
        <v>38</v>
      </c>
      <c r="K370" s="37">
        <v>40</v>
      </c>
      <c r="L370" s="117">
        <v>0.22</v>
      </c>
      <c r="M370" s="117">
        <v>4.76</v>
      </c>
      <c r="N370" s="29">
        <f t="shared" si="109"/>
        <v>4.54</v>
      </c>
      <c r="O370" s="58" t="str">
        <f t="shared" si="101"/>
        <v>OK</v>
      </c>
    </row>
    <row r="371" spans="1:15" ht="12" customHeight="1" x14ac:dyDescent="0.25">
      <c r="A371" s="54" t="s">
        <v>16</v>
      </c>
      <c r="B371" s="32">
        <v>2</v>
      </c>
      <c r="C371" s="32">
        <v>1144744</v>
      </c>
      <c r="D371" s="39">
        <v>45881</v>
      </c>
      <c r="E371" s="32" t="s">
        <v>15</v>
      </c>
      <c r="F371" s="32" t="s">
        <v>28</v>
      </c>
      <c r="G371" s="62" t="s">
        <v>58</v>
      </c>
      <c r="H371" s="38" t="s">
        <v>39</v>
      </c>
      <c r="I371" s="38">
        <v>2</v>
      </c>
      <c r="J371" s="37" t="s">
        <v>31</v>
      </c>
      <c r="K371" s="37">
        <v>41</v>
      </c>
      <c r="L371" s="117">
        <v>0.27</v>
      </c>
      <c r="M371" s="117">
        <v>2.7</v>
      </c>
      <c r="N371" s="29">
        <f t="shared" si="109"/>
        <v>2.4300000000000002</v>
      </c>
      <c r="O371" s="58" t="str">
        <f t="shared" si="101"/>
        <v>OK</v>
      </c>
    </row>
    <row r="372" spans="1:15" ht="12" customHeight="1" x14ac:dyDescent="0.25">
      <c r="A372" s="54" t="s">
        <v>16</v>
      </c>
      <c r="B372" s="32">
        <v>2</v>
      </c>
      <c r="C372" s="32">
        <v>1144744</v>
      </c>
      <c r="D372" s="39">
        <v>45881</v>
      </c>
      <c r="E372" s="32" t="s">
        <v>15</v>
      </c>
      <c r="F372" s="32" t="str">
        <f t="shared" ref="F372:I374" si="114">F371</f>
        <v>M20</v>
      </c>
      <c r="G372" s="62" t="str">
        <f t="shared" si="114"/>
        <v>007</v>
      </c>
      <c r="H372" s="38" t="str">
        <f t="shared" si="114"/>
        <v>C2</v>
      </c>
      <c r="I372" s="38">
        <f t="shared" si="114"/>
        <v>2</v>
      </c>
      <c r="J372" s="37" t="s">
        <v>32</v>
      </c>
      <c r="K372" s="37">
        <v>41</v>
      </c>
      <c r="L372" s="117">
        <v>0.8</v>
      </c>
      <c r="M372" s="117">
        <v>3.38</v>
      </c>
      <c r="N372" s="29">
        <f t="shared" si="109"/>
        <v>2.58</v>
      </c>
      <c r="O372" s="58" t="str">
        <f t="shared" si="101"/>
        <v>OK</v>
      </c>
    </row>
    <row r="373" spans="1:15" ht="12" customHeight="1" x14ac:dyDescent="0.25">
      <c r="A373" s="54" t="s">
        <v>16</v>
      </c>
      <c r="B373" s="32">
        <v>2</v>
      </c>
      <c r="C373" s="32">
        <v>1144744</v>
      </c>
      <c r="D373" s="39">
        <v>45881</v>
      </c>
      <c r="E373" s="32" t="s">
        <v>15</v>
      </c>
      <c r="F373" s="32" t="str">
        <f t="shared" si="114"/>
        <v>M20</v>
      </c>
      <c r="G373" s="62" t="str">
        <f t="shared" si="114"/>
        <v>007</v>
      </c>
      <c r="H373" s="38" t="str">
        <f t="shared" si="114"/>
        <v>C2</v>
      </c>
      <c r="I373" s="38">
        <f t="shared" si="114"/>
        <v>2</v>
      </c>
      <c r="J373" s="37" t="s">
        <v>33</v>
      </c>
      <c r="K373" s="37">
        <v>42</v>
      </c>
      <c r="L373" s="117">
        <v>0.67</v>
      </c>
      <c r="M373" s="117">
        <v>3.48</v>
      </c>
      <c r="N373" s="29">
        <f t="shared" si="109"/>
        <v>2.81</v>
      </c>
      <c r="O373" s="58" t="str">
        <f t="shared" si="101"/>
        <v>OK</v>
      </c>
    </row>
    <row r="374" spans="1:15" ht="12" customHeight="1" x14ac:dyDescent="0.25">
      <c r="A374" s="54" t="s">
        <v>16</v>
      </c>
      <c r="B374" s="32">
        <v>2</v>
      </c>
      <c r="C374" s="32">
        <v>1144744</v>
      </c>
      <c r="D374" s="39">
        <v>45881</v>
      </c>
      <c r="E374" s="32" t="s">
        <v>15</v>
      </c>
      <c r="F374" s="32" t="str">
        <f t="shared" si="114"/>
        <v>M20</v>
      </c>
      <c r="G374" s="62" t="str">
        <f t="shared" si="114"/>
        <v>007</v>
      </c>
      <c r="H374" s="38" t="str">
        <f t="shared" si="114"/>
        <v>C2</v>
      </c>
      <c r="I374" s="38">
        <f t="shared" si="114"/>
        <v>2</v>
      </c>
      <c r="J374" s="37" t="s">
        <v>34</v>
      </c>
      <c r="K374" s="37">
        <v>42</v>
      </c>
      <c r="L374" s="117">
        <v>0.63</v>
      </c>
      <c r="M374" s="117">
        <v>1.63</v>
      </c>
      <c r="N374" s="29">
        <f t="shared" si="109"/>
        <v>0.99999999999999989</v>
      </c>
      <c r="O374" s="58" t="str">
        <f t="shared" si="101"/>
        <v>Seguimiento</v>
      </c>
    </row>
    <row r="375" spans="1:15" ht="12" customHeight="1" x14ac:dyDescent="0.25">
      <c r="A375" s="54" t="s">
        <v>16</v>
      </c>
      <c r="B375" s="32">
        <v>2</v>
      </c>
      <c r="C375" s="32">
        <v>1144744</v>
      </c>
      <c r="D375" s="39">
        <v>45881</v>
      </c>
      <c r="E375" s="32" t="s">
        <v>15</v>
      </c>
      <c r="F375" s="32" t="str">
        <f t="shared" ref="F375:H378" si="115">F374</f>
        <v>M20</v>
      </c>
      <c r="G375" s="62" t="str">
        <f t="shared" si="115"/>
        <v>007</v>
      </c>
      <c r="H375" s="38" t="str">
        <f t="shared" si="115"/>
        <v>C2</v>
      </c>
      <c r="I375" s="38">
        <v>1</v>
      </c>
      <c r="J375" s="37" t="s">
        <v>35</v>
      </c>
      <c r="K375" s="37">
        <v>43</v>
      </c>
      <c r="L375" s="117">
        <v>0.95</v>
      </c>
      <c r="M375" s="117">
        <v>3.36</v>
      </c>
      <c r="N375" s="29">
        <f t="shared" si="109"/>
        <v>2.41</v>
      </c>
      <c r="O375" s="58" t="str">
        <f t="shared" si="101"/>
        <v>OK</v>
      </c>
    </row>
    <row r="376" spans="1:15" ht="12" customHeight="1" x14ac:dyDescent="0.25">
      <c r="A376" s="54" t="s">
        <v>16</v>
      </c>
      <c r="B376" s="32">
        <v>2</v>
      </c>
      <c r="C376" s="32">
        <v>1144744</v>
      </c>
      <c r="D376" s="39">
        <v>45881</v>
      </c>
      <c r="E376" s="32" t="s">
        <v>15</v>
      </c>
      <c r="F376" s="32" t="str">
        <f t="shared" si="115"/>
        <v>M20</v>
      </c>
      <c r="G376" s="62" t="str">
        <f t="shared" si="115"/>
        <v>007</v>
      </c>
      <c r="H376" s="38" t="str">
        <f t="shared" si="115"/>
        <v>C2</v>
      </c>
      <c r="I376" s="38">
        <f>I375</f>
        <v>1</v>
      </c>
      <c r="J376" s="37" t="s">
        <v>36</v>
      </c>
      <c r="K376" s="37">
        <v>43</v>
      </c>
      <c r="L376" s="117">
        <v>0.51</v>
      </c>
      <c r="M376" s="117">
        <v>3.31</v>
      </c>
      <c r="N376" s="29">
        <f t="shared" si="109"/>
        <v>2.8</v>
      </c>
      <c r="O376" s="58" t="str">
        <f t="shared" si="101"/>
        <v>OK</v>
      </c>
    </row>
    <row r="377" spans="1:15" ht="12" customHeight="1" x14ac:dyDescent="0.25">
      <c r="A377" s="54" t="s">
        <v>16</v>
      </c>
      <c r="B377" s="32">
        <v>2</v>
      </c>
      <c r="C377" s="32">
        <v>1144744</v>
      </c>
      <c r="D377" s="39">
        <v>45881</v>
      </c>
      <c r="E377" s="32" t="s">
        <v>15</v>
      </c>
      <c r="F377" s="32" t="str">
        <f t="shared" si="115"/>
        <v>M20</v>
      </c>
      <c r="G377" s="62" t="str">
        <f t="shared" si="115"/>
        <v>007</v>
      </c>
      <c r="H377" s="38" t="str">
        <f t="shared" si="115"/>
        <v>C2</v>
      </c>
      <c r="I377" s="38">
        <f>I376</f>
        <v>1</v>
      </c>
      <c r="J377" s="37" t="s">
        <v>37</v>
      </c>
      <c r="K377" s="37">
        <v>44</v>
      </c>
      <c r="L377" s="117">
        <v>0.62</v>
      </c>
      <c r="M377" s="117">
        <v>3.19</v>
      </c>
      <c r="N377" s="29">
        <f t="shared" si="109"/>
        <v>2.57</v>
      </c>
      <c r="O377" s="58" t="str">
        <f t="shared" si="101"/>
        <v>OK</v>
      </c>
    </row>
    <row r="378" spans="1:15" ht="12" customHeight="1" x14ac:dyDescent="0.25">
      <c r="A378" s="54" t="s">
        <v>16</v>
      </c>
      <c r="B378" s="32">
        <v>2</v>
      </c>
      <c r="C378" s="32">
        <v>1144744</v>
      </c>
      <c r="D378" s="39">
        <v>45881</v>
      </c>
      <c r="E378" s="32" t="s">
        <v>15</v>
      </c>
      <c r="F378" s="32" t="str">
        <f t="shared" si="115"/>
        <v>M20</v>
      </c>
      <c r="G378" s="62" t="str">
        <f t="shared" si="115"/>
        <v>007</v>
      </c>
      <c r="H378" s="38" t="str">
        <f t="shared" si="115"/>
        <v>C2</v>
      </c>
      <c r="I378" s="38">
        <f>I377</f>
        <v>1</v>
      </c>
      <c r="J378" s="37" t="s">
        <v>38</v>
      </c>
      <c r="K378" s="37">
        <v>44</v>
      </c>
      <c r="L378" s="117">
        <v>0.22</v>
      </c>
      <c r="M378" s="117">
        <v>1.05</v>
      </c>
      <c r="N378" s="29">
        <f t="shared" si="109"/>
        <v>0.83000000000000007</v>
      </c>
      <c r="O378" s="58" t="str">
        <f t="shared" si="101"/>
        <v>Seguimiento</v>
      </c>
    </row>
    <row r="379" spans="1:15" ht="12" customHeight="1" x14ac:dyDescent="0.25">
      <c r="A379" s="54" t="s">
        <v>16</v>
      </c>
      <c r="B379" s="32">
        <v>2</v>
      </c>
      <c r="C379" s="32">
        <v>1144744</v>
      </c>
      <c r="D379" s="39">
        <v>45881</v>
      </c>
      <c r="E379" s="32" t="s">
        <v>15</v>
      </c>
      <c r="F379" s="32" t="str">
        <f t="shared" ref="F379:G386" si="116">F378</f>
        <v>M20</v>
      </c>
      <c r="G379" s="62" t="str">
        <f t="shared" si="116"/>
        <v>007</v>
      </c>
      <c r="H379" s="38" t="s">
        <v>30</v>
      </c>
      <c r="I379" s="38">
        <v>2</v>
      </c>
      <c r="J379" s="37" t="s">
        <v>31</v>
      </c>
      <c r="K379" s="37">
        <v>45</v>
      </c>
      <c r="L379" s="117">
        <v>0.1</v>
      </c>
      <c r="M379" s="117">
        <v>4.25</v>
      </c>
      <c r="N379" s="29">
        <f t="shared" si="109"/>
        <v>4.1500000000000004</v>
      </c>
      <c r="O379" s="58" t="str">
        <f t="shared" si="101"/>
        <v>OK</v>
      </c>
    </row>
    <row r="380" spans="1:15" ht="12" customHeight="1" x14ac:dyDescent="0.25">
      <c r="A380" s="54" t="s">
        <v>16</v>
      </c>
      <c r="B380" s="32">
        <v>2</v>
      </c>
      <c r="C380" s="32">
        <v>1144744</v>
      </c>
      <c r="D380" s="39">
        <v>45881</v>
      </c>
      <c r="E380" s="32" t="s">
        <v>15</v>
      </c>
      <c r="F380" s="32" t="str">
        <f t="shared" si="116"/>
        <v>M20</v>
      </c>
      <c r="G380" s="62" t="str">
        <f t="shared" si="116"/>
        <v>007</v>
      </c>
      <c r="H380" s="38" t="str">
        <f t="shared" ref="H380:I382" si="117">H379</f>
        <v>C1</v>
      </c>
      <c r="I380" s="38">
        <f t="shared" si="117"/>
        <v>2</v>
      </c>
      <c r="J380" s="37" t="s">
        <v>32</v>
      </c>
      <c r="K380" s="37">
        <v>45</v>
      </c>
      <c r="L380" s="117">
        <v>1.02</v>
      </c>
      <c r="M380" s="117">
        <v>2.71</v>
      </c>
      <c r="N380" s="29">
        <f t="shared" si="109"/>
        <v>1.69</v>
      </c>
      <c r="O380" s="58" t="str">
        <f t="shared" si="101"/>
        <v>OK</v>
      </c>
    </row>
    <row r="381" spans="1:15" ht="12" customHeight="1" x14ac:dyDescent="0.25">
      <c r="A381" s="54" t="s">
        <v>16</v>
      </c>
      <c r="B381" s="32">
        <v>2</v>
      </c>
      <c r="C381" s="32">
        <v>1144744</v>
      </c>
      <c r="D381" s="39">
        <v>45881</v>
      </c>
      <c r="E381" s="32" t="s">
        <v>15</v>
      </c>
      <c r="F381" s="32" t="str">
        <f t="shared" si="116"/>
        <v>M20</v>
      </c>
      <c r="G381" s="62" t="str">
        <f t="shared" si="116"/>
        <v>007</v>
      </c>
      <c r="H381" s="38" t="str">
        <f t="shared" si="117"/>
        <v>C1</v>
      </c>
      <c r="I381" s="38">
        <f t="shared" si="117"/>
        <v>2</v>
      </c>
      <c r="J381" s="37" t="s">
        <v>33</v>
      </c>
      <c r="K381" s="37">
        <v>46</v>
      </c>
      <c r="L381" s="117">
        <v>0.35</v>
      </c>
      <c r="M381" s="117">
        <v>2.37</v>
      </c>
      <c r="N381" s="29">
        <f t="shared" si="109"/>
        <v>2.02</v>
      </c>
      <c r="O381" s="58" t="str">
        <f t="shared" si="101"/>
        <v>OK</v>
      </c>
    </row>
    <row r="382" spans="1:15" ht="12" customHeight="1" x14ac:dyDescent="0.25">
      <c r="A382" s="54" t="s">
        <v>16</v>
      </c>
      <c r="B382" s="32">
        <v>2</v>
      </c>
      <c r="C382" s="32">
        <v>1144744</v>
      </c>
      <c r="D382" s="39">
        <v>45881</v>
      </c>
      <c r="E382" s="32" t="s">
        <v>15</v>
      </c>
      <c r="F382" s="32" t="str">
        <f t="shared" si="116"/>
        <v>M20</v>
      </c>
      <c r="G382" s="62" t="str">
        <f t="shared" si="116"/>
        <v>007</v>
      </c>
      <c r="H382" s="38" t="str">
        <f t="shared" si="117"/>
        <v>C1</v>
      </c>
      <c r="I382" s="38">
        <f t="shared" si="117"/>
        <v>2</v>
      </c>
      <c r="J382" s="37" t="s">
        <v>34</v>
      </c>
      <c r="K382" s="37">
        <v>46</v>
      </c>
      <c r="L382" s="117">
        <v>0.34</v>
      </c>
      <c r="M382" s="117">
        <v>2.76</v>
      </c>
      <c r="N382" s="29">
        <f t="shared" si="109"/>
        <v>2.42</v>
      </c>
      <c r="O382" s="58" t="str">
        <f t="shared" si="101"/>
        <v>OK</v>
      </c>
    </row>
    <row r="383" spans="1:15" ht="12" customHeight="1" x14ac:dyDescent="0.25">
      <c r="A383" s="54" t="s">
        <v>16</v>
      </c>
      <c r="B383" s="32">
        <v>2</v>
      </c>
      <c r="C383" s="32">
        <v>1144744</v>
      </c>
      <c r="D383" s="39">
        <v>45881</v>
      </c>
      <c r="E383" s="32" t="s">
        <v>15</v>
      </c>
      <c r="F383" s="32" t="str">
        <f t="shared" si="116"/>
        <v>M20</v>
      </c>
      <c r="G383" s="62" t="str">
        <f t="shared" si="116"/>
        <v>007</v>
      </c>
      <c r="H383" s="38" t="str">
        <f>H382</f>
        <v>C1</v>
      </c>
      <c r="I383" s="38">
        <v>1</v>
      </c>
      <c r="J383" s="37" t="s">
        <v>35</v>
      </c>
      <c r="K383" s="37">
        <v>47</v>
      </c>
      <c r="L383" s="117">
        <v>7.0000000000000007E-2</v>
      </c>
      <c r="M383" s="117">
        <v>4.9400000000000004</v>
      </c>
      <c r="N383" s="29">
        <f t="shared" si="109"/>
        <v>4.87</v>
      </c>
      <c r="O383" s="58" t="str">
        <f t="shared" si="101"/>
        <v>OK</v>
      </c>
    </row>
    <row r="384" spans="1:15" ht="12" customHeight="1" x14ac:dyDescent="0.25">
      <c r="A384" s="54" t="s">
        <v>16</v>
      </c>
      <c r="B384" s="32">
        <v>2</v>
      </c>
      <c r="C384" s="32">
        <v>1144744</v>
      </c>
      <c r="D384" s="39">
        <v>45881</v>
      </c>
      <c r="E384" s="32" t="s">
        <v>15</v>
      </c>
      <c r="F384" s="32" t="str">
        <f t="shared" si="116"/>
        <v>M20</v>
      </c>
      <c r="G384" s="62" t="str">
        <f t="shared" si="116"/>
        <v>007</v>
      </c>
      <c r="H384" s="38" t="str">
        <f>H383</f>
        <v>C1</v>
      </c>
      <c r="I384" s="38">
        <f>I383</f>
        <v>1</v>
      </c>
      <c r="J384" s="37" t="s">
        <v>36</v>
      </c>
      <c r="K384" s="37">
        <v>47</v>
      </c>
      <c r="L384" s="117">
        <v>0.93</v>
      </c>
      <c r="M384" s="117">
        <v>3.15</v>
      </c>
      <c r="N384" s="29">
        <f t="shared" si="109"/>
        <v>2.2199999999999998</v>
      </c>
      <c r="O384" s="58" t="str">
        <f t="shared" si="101"/>
        <v>OK</v>
      </c>
    </row>
    <row r="385" spans="1:15" ht="12" customHeight="1" x14ac:dyDescent="0.25">
      <c r="A385" s="54" t="s">
        <v>16</v>
      </c>
      <c r="B385" s="32">
        <v>2</v>
      </c>
      <c r="C385" s="32">
        <v>1144744</v>
      </c>
      <c r="D385" s="39">
        <v>45881</v>
      </c>
      <c r="E385" s="32" t="s">
        <v>15</v>
      </c>
      <c r="F385" s="32" t="str">
        <f t="shared" si="116"/>
        <v>M20</v>
      </c>
      <c r="G385" s="62" t="str">
        <f t="shared" si="116"/>
        <v>007</v>
      </c>
      <c r="H385" s="38" t="str">
        <f>H384</f>
        <v>C1</v>
      </c>
      <c r="I385" s="38">
        <f>I384</f>
        <v>1</v>
      </c>
      <c r="J385" s="37" t="s">
        <v>37</v>
      </c>
      <c r="K385" s="37">
        <v>48</v>
      </c>
      <c r="L385" s="117">
        <v>0.06</v>
      </c>
      <c r="M385" s="117">
        <v>4.9800000000000004</v>
      </c>
      <c r="N385" s="29">
        <f t="shared" si="109"/>
        <v>4.9200000000000008</v>
      </c>
      <c r="O385" s="58" t="str">
        <f t="shared" si="101"/>
        <v>OK</v>
      </c>
    </row>
    <row r="386" spans="1:15" ht="12" customHeight="1" x14ac:dyDescent="0.25">
      <c r="A386" s="54" t="s">
        <v>16</v>
      </c>
      <c r="B386" s="32">
        <v>2</v>
      </c>
      <c r="C386" s="32">
        <v>1144744</v>
      </c>
      <c r="D386" s="39">
        <v>45881</v>
      </c>
      <c r="E386" s="32" t="s">
        <v>15</v>
      </c>
      <c r="F386" s="32" t="str">
        <f t="shared" si="116"/>
        <v>M20</v>
      </c>
      <c r="G386" s="62" t="str">
        <f t="shared" si="116"/>
        <v>007</v>
      </c>
      <c r="H386" s="38" t="str">
        <f>H385</f>
        <v>C1</v>
      </c>
      <c r="I386" s="38">
        <f>I385</f>
        <v>1</v>
      </c>
      <c r="J386" s="37" t="s">
        <v>38</v>
      </c>
      <c r="K386" s="37">
        <v>48</v>
      </c>
      <c r="L386" s="117">
        <v>0.23</v>
      </c>
      <c r="M386" s="117">
        <v>4.8499999999999996</v>
      </c>
      <c r="N386" s="29">
        <f t="shared" si="109"/>
        <v>4.6199999999999992</v>
      </c>
      <c r="O386" s="58" t="str">
        <f t="shared" si="101"/>
        <v>OK</v>
      </c>
    </row>
    <row r="387" spans="1:15" ht="12" customHeight="1" x14ac:dyDescent="0.25">
      <c r="A387" s="32" t="s">
        <v>16</v>
      </c>
      <c r="B387" s="32">
        <v>2</v>
      </c>
      <c r="C387" s="32">
        <v>1185157</v>
      </c>
      <c r="D387" s="39">
        <v>46126</v>
      </c>
      <c r="E387" s="32" t="s">
        <v>15</v>
      </c>
      <c r="F387" s="32" t="s">
        <v>28</v>
      </c>
      <c r="G387" s="62" t="s">
        <v>51</v>
      </c>
      <c r="H387" s="38" t="s">
        <v>30</v>
      </c>
      <c r="I387" s="38">
        <v>1</v>
      </c>
      <c r="J387" s="37" t="s">
        <v>31</v>
      </c>
      <c r="K387" s="37">
        <v>1</v>
      </c>
      <c r="L387" s="117">
        <v>0.36</v>
      </c>
      <c r="M387" s="117">
        <v>2.87</v>
      </c>
      <c r="N387" s="29">
        <f t="shared" si="109"/>
        <v>2.5100000000000002</v>
      </c>
      <c r="O387" s="58" t="str">
        <f t="shared" si="101"/>
        <v>OK</v>
      </c>
    </row>
    <row r="388" spans="1:15" ht="12" customHeight="1" x14ac:dyDescent="0.25">
      <c r="A388" s="32" t="s">
        <v>16</v>
      </c>
      <c r="B388" s="32">
        <v>2</v>
      </c>
      <c r="C388" s="32">
        <v>1185157</v>
      </c>
      <c r="D388" s="39">
        <v>46126</v>
      </c>
      <c r="E388" s="32" t="s">
        <v>15</v>
      </c>
      <c r="F388" s="32" t="s">
        <v>28</v>
      </c>
      <c r="G388" s="62" t="s">
        <v>51</v>
      </c>
      <c r="H388" s="38" t="s">
        <v>30</v>
      </c>
      <c r="I388" s="38">
        <v>1</v>
      </c>
      <c r="J388" s="37" t="s">
        <v>32</v>
      </c>
      <c r="K388" s="37">
        <v>1</v>
      </c>
      <c r="L388" s="117">
        <v>0.5</v>
      </c>
      <c r="M388" s="117">
        <v>4.16</v>
      </c>
      <c r="N388" s="29">
        <f t="shared" si="109"/>
        <v>3.66</v>
      </c>
      <c r="O388" s="58" t="str">
        <f t="shared" ref="O388:O451" si="118">IF(N388&lt;=0,"Critico",IF(N388&lt;=0.2,"Cambio",IF(N388&lt;=1,"Seguimiento",IF(L388&gt;=1.6,"Reperfilado","OK"))))</f>
        <v>OK</v>
      </c>
    </row>
    <row r="389" spans="1:15" ht="12" customHeight="1" x14ac:dyDescent="0.25">
      <c r="A389" s="32" t="s">
        <v>16</v>
      </c>
      <c r="B389" s="32">
        <v>2</v>
      </c>
      <c r="C389" s="32">
        <v>1185157</v>
      </c>
      <c r="D389" s="39">
        <v>46126</v>
      </c>
      <c r="E389" s="32" t="s">
        <v>15</v>
      </c>
      <c r="F389" s="32" t="s">
        <v>28</v>
      </c>
      <c r="G389" s="62" t="s">
        <v>51</v>
      </c>
      <c r="H389" s="38" t="s">
        <v>30</v>
      </c>
      <c r="I389" s="38">
        <v>1</v>
      </c>
      <c r="J389" s="37" t="s">
        <v>33</v>
      </c>
      <c r="K389" s="37">
        <v>2</v>
      </c>
      <c r="L389" s="117">
        <v>0.79</v>
      </c>
      <c r="M389" s="117">
        <v>4.2699999999999996</v>
      </c>
      <c r="N389" s="29">
        <f t="shared" si="109"/>
        <v>3.4799999999999995</v>
      </c>
      <c r="O389" s="58" t="str">
        <f t="shared" si="118"/>
        <v>OK</v>
      </c>
    </row>
    <row r="390" spans="1:15" ht="12" customHeight="1" x14ac:dyDescent="0.25">
      <c r="A390" s="32" t="s">
        <v>16</v>
      </c>
      <c r="B390" s="32">
        <v>2</v>
      </c>
      <c r="C390" s="32">
        <v>1185157</v>
      </c>
      <c r="D390" s="39">
        <v>46126</v>
      </c>
      <c r="E390" s="32" t="s">
        <v>15</v>
      </c>
      <c r="F390" s="32" t="s">
        <v>28</v>
      </c>
      <c r="G390" s="62" t="s">
        <v>51</v>
      </c>
      <c r="H390" s="38" t="s">
        <v>30</v>
      </c>
      <c r="I390" s="38">
        <v>1</v>
      </c>
      <c r="J390" s="37" t="s">
        <v>34</v>
      </c>
      <c r="K390" s="37">
        <v>2</v>
      </c>
      <c r="L390" s="117">
        <v>0.25</v>
      </c>
      <c r="M390" s="117">
        <v>2.21</v>
      </c>
      <c r="N390" s="29">
        <f t="shared" si="109"/>
        <v>1.96</v>
      </c>
      <c r="O390" s="58" t="str">
        <f t="shared" si="118"/>
        <v>OK</v>
      </c>
    </row>
    <row r="391" spans="1:15" ht="12" customHeight="1" x14ac:dyDescent="0.25">
      <c r="A391" s="32" t="s">
        <v>16</v>
      </c>
      <c r="B391" s="32">
        <v>2</v>
      </c>
      <c r="C391" s="32">
        <v>1185157</v>
      </c>
      <c r="D391" s="39">
        <v>46126</v>
      </c>
      <c r="E391" s="32" t="s">
        <v>15</v>
      </c>
      <c r="F391" s="32" t="s">
        <v>28</v>
      </c>
      <c r="G391" s="62" t="s">
        <v>51</v>
      </c>
      <c r="H391" s="38" t="s">
        <v>30</v>
      </c>
      <c r="I391" s="38">
        <v>2</v>
      </c>
      <c r="J391" s="37" t="s">
        <v>35</v>
      </c>
      <c r="K391" s="37">
        <v>3</v>
      </c>
      <c r="L391" s="117">
        <v>0.91</v>
      </c>
      <c r="M391" s="117">
        <v>3.22</v>
      </c>
      <c r="N391" s="29">
        <f t="shared" si="109"/>
        <v>2.31</v>
      </c>
      <c r="O391" s="58" t="str">
        <f t="shared" si="118"/>
        <v>OK</v>
      </c>
    </row>
    <row r="392" spans="1:15" ht="12" customHeight="1" x14ac:dyDescent="0.25">
      <c r="A392" s="32" t="s">
        <v>16</v>
      </c>
      <c r="B392" s="32">
        <v>2</v>
      </c>
      <c r="C392" s="32">
        <v>1185157</v>
      </c>
      <c r="D392" s="39">
        <v>46126</v>
      </c>
      <c r="E392" s="32" t="s">
        <v>15</v>
      </c>
      <c r="F392" s="32" t="s">
        <v>28</v>
      </c>
      <c r="G392" s="62" t="s">
        <v>51</v>
      </c>
      <c r="H392" s="38" t="s">
        <v>30</v>
      </c>
      <c r="I392" s="38">
        <v>2</v>
      </c>
      <c r="J392" s="37" t="s">
        <v>36</v>
      </c>
      <c r="K392" s="37">
        <v>3</v>
      </c>
      <c r="L392" s="117">
        <v>0.41</v>
      </c>
      <c r="M392" s="117">
        <v>3.31</v>
      </c>
      <c r="N392" s="29">
        <f t="shared" si="109"/>
        <v>2.9</v>
      </c>
      <c r="O392" s="58" t="str">
        <f t="shared" si="118"/>
        <v>OK</v>
      </c>
    </row>
    <row r="393" spans="1:15" ht="12" customHeight="1" x14ac:dyDescent="0.25">
      <c r="A393" s="32" t="s">
        <v>16</v>
      </c>
      <c r="B393" s="32">
        <v>2</v>
      </c>
      <c r="C393" s="32">
        <v>1185157</v>
      </c>
      <c r="D393" s="39">
        <v>46126</v>
      </c>
      <c r="E393" s="32" t="s">
        <v>15</v>
      </c>
      <c r="F393" s="32" t="s">
        <v>28</v>
      </c>
      <c r="G393" s="62" t="s">
        <v>51</v>
      </c>
      <c r="H393" s="38" t="s">
        <v>30</v>
      </c>
      <c r="I393" s="38">
        <v>2</v>
      </c>
      <c r="J393" s="37" t="s">
        <v>37</v>
      </c>
      <c r="K393" s="37">
        <v>4</v>
      </c>
      <c r="L393" s="117">
        <v>0.94</v>
      </c>
      <c r="M393" s="117">
        <v>3.49</v>
      </c>
      <c r="N393" s="29">
        <f t="shared" si="109"/>
        <v>2.5500000000000003</v>
      </c>
      <c r="O393" s="58" t="str">
        <f t="shared" si="118"/>
        <v>OK</v>
      </c>
    </row>
    <row r="394" spans="1:15" ht="12" customHeight="1" x14ac:dyDescent="0.25">
      <c r="A394" s="32" t="s">
        <v>16</v>
      </c>
      <c r="B394" s="32">
        <v>2</v>
      </c>
      <c r="C394" s="32">
        <v>1185157</v>
      </c>
      <c r="D394" s="39">
        <v>46126</v>
      </c>
      <c r="E394" s="32" t="s">
        <v>15</v>
      </c>
      <c r="F394" s="32" t="s">
        <v>28</v>
      </c>
      <c r="G394" s="62" t="s">
        <v>51</v>
      </c>
      <c r="H394" s="38" t="s">
        <v>30</v>
      </c>
      <c r="I394" s="38">
        <v>2</v>
      </c>
      <c r="J394" s="37" t="s">
        <v>38</v>
      </c>
      <c r="K394" s="37">
        <v>4</v>
      </c>
      <c r="L394" s="117">
        <v>0.91</v>
      </c>
      <c r="M394" s="117">
        <v>3.83</v>
      </c>
      <c r="N394" s="29">
        <f t="shared" si="109"/>
        <v>2.92</v>
      </c>
      <c r="O394" s="58" t="str">
        <f t="shared" si="118"/>
        <v>OK</v>
      </c>
    </row>
    <row r="395" spans="1:15" ht="12" customHeight="1" x14ac:dyDescent="0.25">
      <c r="A395" s="32" t="s">
        <v>16</v>
      </c>
      <c r="B395" s="32">
        <v>2</v>
      </c>
      <c r="C395" s="32">
        <v>1185157</v>
      </c>
      <c r="D395" s="39">
        <v>46126</v>
      </c>
      <c r="E395" s="32" t="s">
        <v>15</v>
      </c>
      <c r="F395" s="32" t="s">
        <v>28</v>
      </c>
      <c r="G395" s="62" t="s">
        <v>51</v>
      </c>
      <c r="H395" s="38" t="s">
        <v>39</v>
      </c>
      <c r="I395" s="38">
        <v>1</v>
      </c>
      <c r="J395" s="37" t="s">
        <v>31</v>
      </c>
      <c r="K395" s="37">
        <v>5</v>
      </c>
      <c r="L395" s="117">
        <v>1.0900000000000001</v>
      </c>
      <c r="M395" s="117">
        <v>3.7</v>
      </c>
      <c r="N395" s="29">
        <f t="shared" si="109"/>
        <v>2.6100000000000003</v>
      </c>
      <c r="O395" s="58" t="str">
        <f t="shared" si="118"/>
        <v>OK</v>
      </c>
    </row>
    <row r="396" spans="1:15" ht="12" customHeight="1" x14ac:dyDescent="0.25">
      <c r="A396" s="32" t="s">
        <v>16</v>
      </c>
      <c r="B396" s="32">
        <v>2</v>
      </c>
      <c r="C396" s="32">
        <v>1185157</v>
      </c>
      <c r="D396" s="39">
        <v>46126</v>
      </c>
      <c r="E396" s="32" t="s">
        <v>15</v>
      </c>
      <c r="F396" s="32" t="s">
        <v>28</v>
      </c>
      <c r="G396" s="62" t="s">
        <v>51</v>
      </c>
      <c r="H396" s="38" t="s">
        <v>39</v>
      </c>
      <c r="I396" s="38">
        <v>1</v>
      </c>
      <c r="J396" s="37" t="s">
        <v>32</v>
      </c>
      <c r="K396" s="37">
        <v>5</v>
      </c>
      <c r="L396" s="117">
        <v>1.38</v>
      </c>
      <c r="M396" s="117">
        <v>3.75</v>
      </c>
      <c r="N396" s="29">
        <f t="shared" si="109"/>
        <v>2.37</v>
      </c>
      <c r="O396" s="58" t="str">
        <f t="shared" si="118"/>
        <v>OK</v>
      </c>
    </row>
    <row r="397" spans="1:15" ht="12" customHeight="1" x14ac:dyDescent="0.25">
      <c r="A397" s="32" t="s">
        <v>16</v>
      </c>
      <c r="B397" s="32">
        <v>2</v>
      </c>
      <c r="C397" s="32">
        <v>1185157</v>
      </c>
      <c r="D397" s="39">
        <v>46126</v>
      </c>
      <c r="E397" s="32" t="s">
        <v>15</v>
      </c>
      <c r="F397" s="32" t="s">
        <v>28</v>
      </c>
      <c r="G397" s="62" t="s">
        <v>51</v>
      </c>
      <c r="H397" s="38" t="s">
        <v>39</v>
      </c>
      <c r="I397" s="38">
        <v>1</v>
      </c>
      <c r="J397" s="37" t="s">
        <v>33</v>
      </c>
      <c r="K397" s="37">
        <v>6</v>
      </c>
      <c r="L397" s="117">
        <v>1.19</v>
      </c>
      <c r="M397" s="117">
        <v>4.55</v>
      </c>
      <c r="N397" s="29">
        <f t="shared" si="109"/>
        <v>3.36</v>
      </c>
      <c r="O397" s="58" t="str">
        <f t="shared" si="118"/>
        <v>OK</v>
      </c>
    </row>
    <row r="398" spans="1:15" ht="12" customHeight="1" x14ac:dyDescent="0.25">
      <c r="A398" s="32" t="s">
        <v>16</v>
      </c>
      <c r="B398" s="32">
        <v>2</v>
      </c>
      <c r="C398" s="32">
        <v>1185157</v>
      </c>
      <c r="D398" s="39">
        <v>46126</v>
      </c>
      <c r="E398" s="32" t="s">
        <v>15</v>
      </c>
      <c r="F398" s="32" t="s">
        <v>28</v>
      </c>
      <c r="G398" s="62" t="s">
        <v>51</v>
      </c>
      <c r="H398" s="38" t="s">
        <v>39</v>
      </c>
      <c r="I398" s="38">
        <v>1</v>
      </c>
      <c r="J398" s="37" t="s">
        <v>34</v>
      </c>
      <c r="K398" s="37">
        <v>6</v>
      </c>
      <c r="L398" s="117">
        <v>0.57999999999999996</v>
      </c>
      <c r="M398" s="117">
        <v>2.84</v>
      </c>
      <c r="N398" s="29">
        <f t="shared" si="109"/>
        <v>2.2599999999999998</v>
      </c>
      <c r="O398" s="58" t="str">
        <f t="shared" si="118"/>
        <v>OK</v>
      </c>
    </row>
    <row r="399" spans="1:15" ht="12" customHeight="1" x14ac:dyDescent="0.25">
      <c r="A399" s="32" t="s">
        <v>16</v>
      </c>
      <c r="B399" s="32">
        <v>2</v>
      </c>
      <c r="C399" s="32">
        <v>1185157</v>
      </c>
      <c r="D399" s="39">
        <v>46126</v>
      </c>
      <c r="E399" s="32" t="s">
        <v>15</v>
      </c>
      <c r="F399" s="32" t="s">
        <v>28</v>
      </c>
      <c r="G399" s="62" t="s">
        <v>51</v>
      </c>
      <c r="H399" s="38" t="s">
        <v>39</v>
      </c>
      <c r="I399" s="38">
        <v>2</v>
      </c>
      <c r="J399" s="37" t="s">
        <v>35</v>
      </c>
      <c r="K399" s="37">
        <v>7</v>
      </c>
      <c r="L399" s="117">
        <v>0.9</v>
      </c>
      <c r="M399" s="117">
        <v>3.84</v>
      </c>
      <c r="N399" s="29">
        <f t="shared" si="109"/>
        <v>2.94</v>
      </c>
      <c r="O399" s="58" t="str">
        <f t="shared" si="118"/>
        <v>OK</v>
      </c>
    </row>
    <row r="400" spans="1:15" ht="12" customHeight="1" x14ac:dyDescent="0.25">
      <c r="A400" s="32" t="s">
        <v>16</v>
      </c>
      <c r="B400" s="32">
        <v>2</v>
      </c>
      <c r="C400" s="32">
        <v>1185157</v>
      </c>
      <c r="D400" s="39">
        <v>46126</v>
      </c>
      <c r="E400" s="32" t="s">
        <v>15</v>
      </c>
      <c r="F400" s="32" t="s">
        <v>28</v>
      </c>
      <c r="G400" s="62" t="s">
        <v>51</v>
      </c>
      <c r="H400" s="38" t="s">
        <v>39</v>
      </c>
      <c r="I400" s="38">
        <v>2</v>
      </c>
      <c r="J400" s="37" t="s">
        <v>36</v>
      </c>
      <c r="K400" s="37">
        <v>7</v>
      </c>
      <c r="L400" s="117">
        <v>0.28000000000000003</v>
      </c>
      <c r="M400" s="117">
        <v>4.5</v>
      </c>
      <c r="N400" s="29">
        <f t="shared" si="109"/>
        <v>4.22</v>
      </c>
      <c r="O400" s="58" t="str">
        <f t="shared" si="118"/>
        <v>OK</v>
      </c>
    </row>
    <row r="401" spans="1:15" ht="12" customHeight="1" x14ac:dyDescent="0.25">
      <c r="A401" s="32" t="s">
        <v>16</v>
      </c>
      <c r="B401" s="32">
        <v>2</v>
      </c>
      <c r="C401" s="32">
        <v>1185157</v>
      </c>
      <c r="D401" s="39">
        <v>46126</v>
      </c>
      <c r="E401" s="32" t="s">
        <v>15</v>
      </c>
      <c r="F401" s="32" t="s">
        <v>28</v>
      </c>
      <c r="G401" s="62" t="s">
        <v>51</v>
      </c>
      <c r="H401" s="38" t="s">
        <v>39</v>
      </c>
      <c r="I401" s="38">
        <v>2</v>
      </c>
      <c r="J401" s="37" t="s">
        <v>37</v>
      </c>
      <c r="K401" s="37">
        <v>8</v>
      </c>
      <c r="L401" s="117">
        <v>0.47</v>
      </c>
      <c r="M401" s="117">
        <v>3.19</v>
      </c>
      <c r="N401" s="29">
        <f t="shared" si="109"/>
        <v>2.7199999999999998</v>
      </c>
      <c r="O401" s="58" t="str">
        <f t="shared" si="118"/>
        <v>OK</v>
      </c>
    </row>
    <row r="402" spans="1:15" ht="12" customHeight="1" x14ac:dyDescent="0.25">
      <c r="A402" s="32" t="s">
        <v>16</v>
      </c>
      <c r="B402" s="32">
        <v>2</v>
      </c>
      <c r="C402" s="32">
        <v>1185157</v>
      </c>
      <c r="D402" s="39">
        <v>46126</v>
      </c>
      <c r="E402" s="32" t="s">
        <v>15</v>
      </c>
      <c r="F402" s="32" t="s">
        <v>28</v>
      </c>
      <c r="G402" s="62" t="s">
        <v>51</v>
      </c>
      <c r="H402" s="38" t="s">
        <v>39</v>
      </c>
      <c r="I402" s="38">
        <v>2</v>
      </c>
      <c r="J402" s="37" t="s">
        <v>38</v>
      </c>
      <c r="K402" s="37">
        <v>8</v>
      </c>
      <c r="L402" s="117">
        <v>1.06</v>
      </c>
      <c r="M402" s="117">
        <v>4.08</v>
      </c>
      <c r="N402" s="29">
        <f t="shared" si="109"/>
        <v>3.02</v>
      </c>
      <c r="O402" s="58" t="str">
        <f t="shared" si="118"/>
        <v>OK</v>
      </c>
    </row>
    <row r="403" spans="1:15" ht="12" customHeight="1" x14ac:dyDescent="0.25">
      <c r="A403" s="32" t="s">
        <v>16</v>
      </c>
      <c r="B403" s="32">
        <v>2</v>
      </c>
      <c r="C403" s="32">
        <v>1185157</v>
      </c>
      <c r="D403" s="39">
        <v>46126</v>
      </c>
      <c r="E403" s="32" t="s">
        <v>15</v>
      </c>
      <c r="F403" s="32" t="s">
        <v>40</v>
      </c>
      <c r="G403" s="62" t="s">
        <v>52</v>
      </c>
      <c r="H403" s="38" t="s">
        <v>42</v>
      </c>
      <c r="I403" s="38">
        <v>1</v>
      </c>
      <c r="J403" s="37" t="s">
        <v>31</v>
      </c>
      <c r="K403" s="37">
        <v>9</v>
      </c>
      <c r="L403" s="117">
        <v>1.1399999999999999</v>
      </c>
      <c r="M403" s="117">
        <v>3.7</v>
      </c>
      <c r="N403" s="29">
        <f t="shared" si="109"/>
        <v>2.5600000000000005</v>
      </c>
      <c r="O403" s="58" t="str">
        <f t="shared" si="118"/>
        <v>OK</v>
      </c>
    </row>
    <row r="404" spans="1:15" ht="12" customHeight="1" x14ac:dyDescent="0.25">
      <c r="A404" s="32" t="s">
        <v>16</v>
      </c>
      <c r="B404" s="32">
        <v>2</v>
      </c>
      <c r="C404" s="32">
        <v>1185157</v>
      </c>
      <c r="D404" s="39">
        <v>46126</v>
      </c>
      <c r="E404" s="32" t="s">
        <v>15</v>
      </c>
      <c r="F404" s="32" t="s">
        <v>40</v>
      </c>
      <c r="G404" s="62" t="s">
        <v>52</v>
      </c>
      <c r="H404" s="38" t="s">
        <v>42</v>
      </c>
      <c r="I404" s="38">
        <v>1</v>
      </c>
      <c r="J404" s="37" t="s">
        <v>32</v>
      </c>
      <c r="K404" s="37">
        <v>9</v>
      </c>
      <c r="L404" s="117">
        <v>0.92</v>
      </c>
      <c r="M404" s="117">
        <v>3.08</v>
      </c>
      <c r="N404" s="29">
        <f t="shared" si="109"/>
        <v>2.16</v>
      </c>
      <c r="O404" s="58" t="str">
        <f t="shared" si="118"/>
        <v>OK</v>
      </c>
    </row>
    <row r="405" spans="1:15" ht="12" customHeight="1" x14ac:dyDescent="0.25">
      <c r="A405" s="32" t="s">
        <v>16</v>
      </c>
      <c r="B405" s="32">
        <v>2</v>
      </c>
      <c r="C405" s="32">
        <v>1185157</v>
      </c>
      <c r="D405" s="39">
        <v>46126</v>
      </c>
      <c r="E405" s="32" t="s">
        <v>15</v>
      </c>
      <c r="F405" s="32" t="s">
        <v>40</v>
      </c>
      <c r="G405" s="62" t="s">
        <v>52</v>
      </c>
      <c r="H405" s="38" t="s">
        <v>42</v>
      </c>
      <c r="I405" s="38">
        <v>1</v>
      </c>
      <c r="J405" s="37" t="s">
        <v>33</v>
      </c>
      <c r="K405" s="37">
        <v>10</v>
      </c>
      <c r="L405" s="117">
        <v>0.67</v>
      </c>
      <c r="M405" s="117">
        <v>3.2</v>
      </c>
      <c r="N405" s="29">
        <f t="shared" si="109"/>
        <v>2.5300000000000002</v>
      </c>
      <c r="O405" s="58" t="str">
        <f t="shared" si="118"/>
        <v>OK</v>
      </c>
    </row>
    <row r="406" spans="1:15" ht="12" customHeight="1" x14ac:dyDescent="0.25">
      <c r="A406" s="32" t="s">
        <v>16</v>
      </c>
      <c r="B406" s="32">
        <v>2</v>
      </c>
      <c r="C406" s="32">
        <v>1185157</v>
      </c>
      <c r="D406" s="39">
        <v>46126</v>
      </c>
      <c r="E406" s="32" t="s">
        <v>15</v>
      </c>
      <c r="F406" s="32" t="s">
        <v>40</v>
      </c>
      <c r="G406" s="62" t="s">
        <v>52</v>
      </c>
      <c r="H406" s="38" t="s">
        <v>42</v>
      </c>
      <c r="I406" s="38">
        <v>1</v>
      </c>
      <c r="J406" s="37" t="s">
        <v>34</v>
      </c>
      <c r="K406" s="37">
        <v>10</v>
      </c>
      <c r="L406" s="117">
        <v>0.55000000000000004</v>
      </c>
      <c r="M406" s="117">
        <v>1.4</v>
      </c>
      <c r="N406" s="29">
        <f t="shared" si="109"/>
        <v>0.84999999999999987</v>
      </c>
      <c r="O406" s="58" t="str">
        <f t="shared" si="118"/>
        <v>Seguimiento</v>
      </c>
    </row>
    <row r="407" spans="1:15" ht="12" customHeight="1" x14ac:dyDescent="0.25">
      <c r="A407" s="32" t="s">
        <v>16</v>
      </c>
      <c r="B407" s="32">
        <v>2</v>
      </c>
      <c r="C407" s="32">
        <v>1185157</v>
      </c>
      <c r="D407" s="39">
        <v>46126</v>
      </c>
      <c r="E407" s="32" t="s">
        <v>15</v>
      </c>
      <c r="F407" s="32" t="s">
        <v>40</v>
      </c>
      <c r="G407" s="62" t="s">
        <v>52</v>
      </c>
      <c r="H407" s="38" t="s">
        <v>42</v>
      </c>
      <c r="I407" s="38">
        <v>2</v>
      </c>
      <c r="J407" s="37" t="s">
        <v>35</v>
      </c>
      <c r="K407" s="37">
        <v>11</v>
      </c>
      <c r="L407" s="117">
        <v>0.24</v>
      </c>
      <c r="M407" s="117">
        <v>2.94</v>
      </c>
      <c r="N407" s="29">
        <f t="shared" si="109"/>
        <v>2.7</v>
      </c>
      <c r="O407" s="58" t="str">
        <f t="shared" si="118"/>
        <v>OK</v>
      </c>
    </row>
    <row r="408" spans="1:15" ht="12" customHeight="1" x14ac:dyDescent="0.25">
      <c r="A408" s="32" t="s">
        <v>16</v>
      </c>
      <c r="B408" s="32">
        <v>2</v>
      </c>
      <c r="C408" s="32">
        <v>1185157</v>
      </c>
      <c r="D408" s="39">
        <v>46126</v>
      </c>
      <c r="E408" s="32" t="s">
        <v>15</v>
      </c>
      <c r="F408" s="32" t="s">
        <v>40</v>
      </c>
      <c r="G408" s="62" t="s">
        <v>52</v>
      </c>
      <c r="H408" s="38" t="s">
        <v>42</v>
      </c>
      <c r="I408" s="38">
        <v>2</v>
      </c>
      <c r="J408" s="37" t="s">
        <v>36</v>
      </c>
      <c r="K408" s="37">
        <v>11</v>
      </c>
      <c r="L408" s="117">
        <v>0.14000000000000001</v>
      </c>
      <c r="M408" s="117">
        <v>2.79</v>
      </c>
      <c r="N408" s="29">
        <f t="shared" si="109"/>
        <v>2.65</v>
      </c>
      <c r="O408" s="58" t="str">
        <f t="shared" si="118"/>
        <v>OK</v>
      </c>
    </row>
    <row r="409" spans="1:15" ht="12" customHeight="1" x14ac:dyDescent="0.25">
      <c r="A409" s="32" t="s">
        <v>16</v>
      </c>
      <c r="B409" s="32">
        <v>2</v>
      </c>
      <c r="C409" s="32">
        <v>1185157</v>
      </c>
      <c r="D409" s="39">
        <v>46126</v>
      </c>
      <c r="E409" s="32" t="s">
        <v>15</v>
      </c>
      <c r="F409" s="32" t="s">
        <v>40</v>
      </c>
      <c r="G409" s="62" t="s">
        <v>52</v>
      </c>
      <c r="H409" s="38" t="s">
        <v>42</v>
      </c>
      <c r="I409" s="38">
        <v>2</v>
      </c>
      <c r="J409" s="37" t="s">
        <v>37</v>
      </c>
      <c r="K409" s="37">
        <v>12</v>
      </c>
      <c r="L409" s="117">
        <v>1.1000000000000001</v>
      </c>
      <c r="M409" s="117">
        <v>4.1900000000000004</v>
      </c>
      <c r="N409" s="29">
        <f t="shared" si="109"/>
        <v>3.0900000000000003</v>
      </c>
      <c r="O409" s="58" t="str">
        <f t="shared" si="118"/>
        <v>OK</v>
      </c>
    </row>
    <row r="410" spans="1:15" ht="12" customHeight="1" x14ac:dyDescent="0.25">
      <c r="A410" s="32" t="s">
        <v>16</v>
      </c>
      <c r="B410" s="32">
        <v>2</v>
      </c>
      <c r="C410" s="32">
        <v>1185157</v>
      </c>
      <c r="D410" s="39">
        <v>46126</v>
      </c>
      <c r="E410" s="32" t="s">
        <v>15</v>
      </c>
      <c r="F410" s="32" t="s">
        <v>40</v>
      </c>
      <c r="G410" s="62" t="s">
        <v>52</v>
      </c>
      <c r="H410" s="38" t="s">
        <v>42</v>
      </c>
      <c r="I410" s="38">
        <v>2</v>
      </c>
      <c r="J410" s="37" t="s">
        <v>38</v>
      </c>
      <c r="K410" s="37">
        <v>12</v>
      </c>
      <c r="L410" s="117">
        <v>1.1399999999999999</v>
      </c>
      <c r="M410" s="117">
        <v>3.91</v>
      </c>
      <c r="N410" s="29">
        <f t="shared" si="109"/>
        <v>2.7700000000000005</v>
      </c>
      <c r="O410" s="58" t="str">
        <f t="shared" si="118"/>
        <v>OK</v>
      </c>
    </row>
    <row r="411" spans="1:15" ht="12" customHeight="1" x14ac:dyDescent="0.25">
      <c r="A411" s="32" t="s">
        <v>16</v>
      </c>
      <c r="B411" s="32">
        <v>2</v>
      </c>
      <c r="C411" s="32">
        <v>1185157</v>
      </c>
      <c r="D411" s="39">
        <v>46126</v>
      </c>
      <c r="E411" s="32" t="s">
        <v>15</v>
      </c>
      <c r="F411" s="32" t="s">
        <v>40</v>
      </c>
      <c r="G411" s="62" t="s">
        <v>52</v>
      </c>
      <c r="H411" s="38" t="s">
        <v>43</v>
      </c>
      <c r="I411" s="38">
        <v>1</v>
      </c>
      <c r="J411" s="37" t="s">
        <v>31</v>
      </c>
      <c r="K411" s="37">
        <v>13</v>
      </c>
      <c r="L411" s="117">
        <v>0.1</v>
      </c>
      <c r="M411" s="117">
        <v>4.9000000000000004</v>
      </c>
      <c r="N411" s="29">
        <f t="shared" si="109"/>
        <v>4.8000000000000007</v>
      </c>
      <c r="O411" s="58" t="str">
        <f t="shared" si="118"/>
        <v>OK</v>
      </c>
    </row>
    <row r="412" spans="1:15" ht="12" customHeight="1" x14ac:dyDescent="0.25">
      <c r="A412" s="32" t="s">
        <v>16</v>
      </c>
      <c r="B412" s="32">
        <v>2</v>
      </c>
      <c r="C412" s="32">
        <v>1185157</v>
      </c>
      <c r="D412" s="39">
        <v>46126</v>
      </c>
      <c r="E412" s="32" t="s">
        <v>15</v>
      </c>
      <c r="F412" s="32" t="s">
        <v>40</v>
      </c>
      <c r="G412" s="62" t="s">
        <v>52</v>
      </c>
      <c r="H412" s="38" t="s">
        <v>43</v>
      </c>
      <c r="I412" s="38">
        <v>1</v>
      </c>
      <c r="J412" s="37" t="s">
        <v>32</v>
      </c>
      <c r="K412" s="37">
        <v>13</v>
      </c>
      <c r="L412" s="117">
        <v>0.75</v>
      </c>
      <c r="M412" s="117">
        <v>3.07</v>
      </c>
      <c r="N412" s="29">
        <f t="shared" si="109"/>
        <v>2.3199999999999998</v>
      </c>
      <c r="O412" s="58" t="str">
        <f t="shared" si="118"/>
        <v>OK</v>
      </c>
    </row>
    <row r="413" spans="1:15" ht="12" customHeight="1" x14ac:dyDescent="0.25">
      <c r="A413" s="32" t="s">
        <v>16</v>
      </c>
      <c r="B413" s="32">
        <v>2</v>
      </c>
      <c r="C413" s="32">
        <v>1185157</v>
      </c>
      <c r="D413" s="39">
        <v>46126</v>
      </c>
      <c r="E413" s="32" t="s">
        <v>15</v>
      </c>
      <c r="F413" s="32" t="s">
        <v>40</v>
      </c>
      <c r="G413" s="62" t="s">
        <v>52</v>
      </c>
      <c r="H413" s="38" t="s">
        <v>43</v>
      </c>
      <c r="I413" s="38">
        <v>1</v>
      </c>
      <c r="J413" s="37" t="s">
        <v>33</v>
      </c>
      <c r="K413" s="37">
        <v>14</v>
      </c>
      <c r="L413" s="117">
        <v>1.1200000000000001</v>
      </c>
      <c r="M413" s="117">
        <v>4.01</v>
      </c>
      <c r="N413" s="29">
        <f t="shared" si="109"/>
        <v>2.8899999999999997</v>
      </c>
      <c r="O413" s="58" t="str">
        <f t="shared" si="118"/>
        <v>OK</v>
      </c>
    </row>
    <row r="414" spans="1:15" ht="12" customHeight="1" x14ac:dyDescent="0.25">
      <c r="A414" s="32" t="s">
        <v>16</v>
      </c>
      <c r="B414" s="32">
        <v>2</v>
      </c>
      <c r="C414" s="32">
        <v>1185157</v>
      </c>
      <c r="D414" s="39">
        <v>46126</v>
      </c>
      <c r="E414" s="32" t="s">
        <v>15</v>
      </c>
      <c r="F414" s="32" t="s">
        <v>40</v>
      </c>
      <c r="G414" s="62" t="s">
        <v>52</v>
      </c>
      <c r="H414" s="38" t="s">
        <v>43</v>
      </c>
      <c r="I414" s="38">
        <v>1</v>
      </c>
      <c r="J414" s="37" t="s">
        <v>34</v>
      </c>
      <c r="K414" s="37">
        <v>14</v>
      </c>
      <c r="L414" s="117">
        <v>0.11</v>
      </c>
      <c r="M414" s="117">
        <v>3.59</v>
      </c>
      <c r="N414" s="29">
        <f t="shared" si="109"/>
        <v>3.48</v>
      </c>
      <c r="O414" s="58" t="str">
        <f t="shared" si="118"/>
        <v>OK</v>
      </c>
    </row>
    <row r="415" spans="1:15" ht="12" customHeight="1" x14ac:dyDescent="0.25">
      <c r="A415" s="32" t="s">
        <v>16</v>
      </c>
      <c r="B415" s="32">
        <v>2</v>
      </c>
      <c r="C415" s="32">
        <v>1185157</v>
      </c>
      <c r="D415" s="39">
        <v>46126</v>
      </c>
      <c r="E415" s="32" t="s">
        <v>15</v>
      </c>
      <c r="F415" s="32" t="s">
        <v>40</v>
      </c>
      <c r="G415" s="62" t="s">
        <v>52</v>
      </c>
      <c r="H415" s="38" t="s">
        <v>43</v>
      </c>
      <c r="I415" s="38">
        <v>2</v>
      </c>
      <c r="J415" s="37" t="s">
        <v>35</v>
      </c>
      <c r="K415" s="37">
        <v>15</v>
      </c>
      <c r="L415" s="117">
        <v>0.08</v>
      </c>
      <c r="M415" s="117">
        <v>4.92</v>
      </c>
      <c r="N415" s="29">
        <f t="shared" si="109"/>
        <v>4.84</v>
      </c>
      <c r="O415" s="58" t="str">
        <f t="shared" si="118"/>
        <v>OK</v>
      </c>
    </row>
    <row r="416" spans="1:15" ht="12" customHeight="1" x14ac:dyDescent="0.25">
      <c r="A416" s="32" t="s">
        <v>16</v>
      </c>
      <c r="B416" s="32">
        <v>2</v>
      </c>
      <c r="C416" s="32">
        <v>1185157</v>
      </c>
      <c r="D416" s="39">
        <v>46126</v>
      </c>
      <c r="E416" s="32" t="s">
        <v>15</v>
      </c>
      <c r="F416" s="32" t="s">
        <v>40</v>
      </c>
      <c r="G416" s="62" t="s">
        <v>52</v>
      </c>
      <c r="H416" s="38" t="s">
        <v>43</v>
      </c>
      <c r="I416" s="38">
        <v>2</v>
      </c>
      <c r="J416" s="37" t="s">
        <v>36</v>
      </c>
      <c r="K416" s="37">
        <v>15</v>
      </c>
      <c r="L416" s="117">
        <v>1.38</v>
      </c>
      <c r="M416" s="117">
        <v>4.41</v>
      </c>
      <c r="N416" s="29">
        <f t="shared" si="109"/>
        <v>3.0300000000000002</v>
      </c>
      <c r="O416" s="58" t="str">
        <f t="shared" si="118"/>
        <v>OK</v>
      </c>
    </row>
    <row r="417" spans="1:15" ht="12" customHeight="1" x14ac:dyDescent="0.25">
      <c r="A417" s="32" t="s">
        <v>16</v>
      </c>
      <c r="B417" s="32">
        <v>2</v>
      </c>
      <c r="C417" s="32">
        <v>1185157</v>
      </c>
      <c r="D417" s="39">
        <v>46126</v>
      </c>
      <c r="E417" s="32" t="s">
        <v>15</v>
      </c>
      <c r="F417" s="32" t="s">
        <v>40</v>
      </c>
      <c r="G417" s="62" t="s">
        <v>52</v>
      </c>
      <c r="H417" s="38" t="s">
        <v>43</v>
      </c>
      <c r="I417" s="38">
        <v>2</v>
      </c>
      <c r="J417" s="37" t="s">
        <v>37</v>
      </c>
      <c r="K417" s="37">
        <v>16</v>
      </c>
      <c r="L417" s="117">
        <v>0.8</v>
      </c>
      <c r="M417" s="117">
        <v>3.07</v>
      </c>
      <c r="N417" s="29">
        <f t="shared" si="109"/>
        <v>2.2699999999999996</v>
      </c>
      <c r="O417" s="58" t="str">
        <f t="shared" si="118"/>
        <v>OK</v>
      </c>
    </row>
    <row r="418" spans="1:15" ht="12" customHeight="1" x14ac:dyDescent="0.25">
      <c r="A418" s="32" t="s">
        <v>16</v>
      </c>
      <c r="B418" s="32">
        <v>2</v>
      </c>
      <c r="C418" s="32">
        <v>1185157</v>
      </c>
      <c r="D418" s="39">
        <v>46126</v>
      </c>
      <c r="E418" s="32" t="s">
        <v>15</v>
      </c>
      <c r="F418" s="32" t="s">
        <v>40</v>
      </c>
      <c r="G418" s="62" t="s">
        <v>52</v>
      </c>
      <c r="H418" s="38" t="s">
        <v>43</v>
      </c>
      <c r="I418" s="38">
        <v>2</v>
      </c>
      <c r="J418" s="37" t="s">
        <v>38</v>
      </c>
      <c r="K418" s="37">
        <v>16</v>
      </c>
      <c r="L418" s="117">
        <v>0.4</v>
      </c>
      <c r="M418" s="117">
        <v>2</v>
      </c>
      <c r="N418" s="29">
        <f t="shared" si="109"/>
        <v>1.6</v>
      </c>
      <c r="O418" s="58" t="str">
        <f t="shared" si="118"/>
        <v>OK</v>
      </c>
    </row>
    <row r="419" spans="1:15" ht="12" customHeight="1" x14ac:dyDescent="0.25">
      <c r="A419" s="32" t="s">
        <v>16</v>
      </c>
      <c r="B419" s="32">
        <v>2</v>
      </c>
      <c r="C419" s="32">
        <v>1185157</v>
      </c>
      <c r="D419" s="39">
        <v>46126</v>
      </c>
      <c r="E419" s="32" t="s">
        <v>15</v>
      </c>
      <c r="F419" s="32" t="s">
        <v>44</v>
      </c>
      <c r="G419" s="62" t="s">
        <v>53</v>
      </c>
      <c r="H419" s="38" t="s">
        <v>46</v>
      </c>
      <c r="I419" s="38">
        <v>1</v>
      </c>
      <c r="J419" s="37" t="s">
        <v>31</v>
      </c>
      <c r="K419" s="37">
        <v>17</v>
      </c>
      <c r="L419" s="117">
        <v>0.54</v>
      </c>
      <c r="M419" s="117">
        <v>4.32</v>
      </c>
      <c r="N419" s="29">
        <f t="shared" ref="N419:N482" si="119">+M419-L419</f>
        <v>3.7800000000000002</v>
      </c>
      <c r="O419" s="58" t="str">
        <f t="shared" si="118"/>
        <v>OK</v>
      </c>
    </row>
    <row r="420" spans="1:15" ht="12" customHeight="1" x14ac:dyDescent="0.25">
      <c r="A420" s="32" t="s">
        <v>16</v>
      </c>
      <c r="B420" s="32">
        <v>2</v>
      </c>
      <c r="C420" s="32">
        <v>1185157</v>
      </c>
      <c r="D420" s="39">
        <v>46126</v>
      </c>
      <c r="E420" s="32" t="s">
        <v>15</v>
      </c>
      <c r="F420" s="32" t="s">
        <v>44</v>
      </c>
      <c r="G420" s="62" t="s">
        <v>53</v>
      </c>
      <c r="H420" s="38" t="s">
        <v>46</v>
      </c>
      <c r="I420" s="38">
        <v>1</v>
      </c>
      <c r="J420" s="37" t="s">
        <v>32</v>
      </c>
      <c r="K420" s="37">
        <v>17</v>
      </c>
      <c r="L420" s="117">
        <v>1.1499999999999999</v>
      </c>
      <c r="M420" s="117">
        <v>4.74</v>
      </c>
      <c r="N420" s="29">
        <f t="shared" si="119"/>
        <v>3.5900000000000003</v>
      </c>
      <c r="O420" s="58" t="str">
        <f t="shared" si="118"/>
        <v>OK</v>
      </c>
    </row>
    <row r="421" spans="1:15" ht="12" customHeight="1" x14ac:dyDescent="0.25">
      <c r="A421" s="32" t="s">
        <v>16</v>
      </c>
      <c r="B421" s="32">
        <v>2</v>
      </c>
      <c r="C421" s="32">
        <v>1185157</v>
      </c>
      <c r="D421" s="39">
        <v>46126</v>
      </c>
      <c r="E421" s="32" t="s">
        <v>15</v>
      </c>
      <c r="F421" s="32" t="s">
        <v>44</v>
      </c>
      <c r="G421" s="62" t="s">
        <v>53</v>
      </c>
      <c r="H421" s="38" t="s">
        <v>46</v>
      </c>
      <c r="I421" s="38">
        <v>1</v>
      </c>
      <c r="J421" s="37" t="s">
        <v>33</v>
      </c>
      <c r="K421" s="37">
        <v>18</v>
      </c>
      <c r="L421" s="117">
        <v>1.51</v>
      </c>
      <c r="M421" s="117">
        <v>4.68</v>
      </c>
      <c r="N421" s="29">
        <f t="shared" si="119"/>
        <v>3.17</v>
      </c>
      <c r="O421" s="58" t="str">
        <f t="shared" si="118"/>
        <v>OK</v>
      </c>
    </row>
    <row r="422" spans="1:15" ht="12" customHeight="1" x14ac:dyDescent="0.25">
      <c r="A422" s="32" t="s">
        <v>16</v>
      </c>
      <c r="B422" s="32">
        <v>2</v>
      </c>
      <c r="C422" s="32">
        <v>1185157</v>
      </c>
      <c r="D422" s="39">
        <v>46126</v>
      </c>
      <c r="E422" s="32" t="s">
        <v>15</v>
      </c>
      <c r="F422" s="32" t="s">
        <v>44</v>
      </c>
      <c r="G422" s="62" t="s">
        <v>53</v>
      </c>
      <c r="H422" s="38" t="s">
        <v>46</v>
      </c>
      <c r="I422" s="38">
        <v>1</v>
      </c>
      <c r="J422" s="37" t="s">
        <v>34</v>
      </c>
      <c r="K422" s="37">
        <v>18</v>
      </c>
      <c r="L422" s="117">
        <v>0.89</v>
      </c>
      <c r="M422" s="117">
        <v>4.3099999999999996</v>
      </c>
      <c r="N422" s="29">
        <f t="shared" si="119"/>
        <v>3.4199999999999995</v>
      </c>
      <c r="O422" s="58" t="str">
        <f t="shared" si="118"/>
        <v>OK</v>
      </c>
    </row>
    <row r="423" spans="1:15" ht="12" customHeight="1" x14ac:dyDescent="0.25">
      <c r="A423" s="32" t="s">
        <v>16</v>
      </c>
      <c r="B423" s="32">
        <v>2</v>
      </c>
      <c r="C423" s="32">
        <v>1185157</v>
      </c>
      <c r="D423" s="39">
        <v>46126</v>
      </c>
      <c r="E423" s="32" t="s">
        <v>15</v>
      </c>
      <c r="F423" s="32" t="s">
        <v>44</v>
      </c>
      <c r="G423" s="62" t="s">
        <v>53</v>
      </c>
      <c r="H423" s="38" t="s">
        <v>46</v>
      </c>
      <c r="I423" s="38">
        <v>2</v>
      </c>
      <c r="J423" s="37" t="s">
        <v>35</v>
      </c>
      <c r="K423" s="37">
        <v>19</v>
      </c>
      <c r="L423" s="117">
        <v>0.71</v>
      </c>
      <c r="M423" s="117">
        <v>4.24</v>
      </c>
      <c r="N423" s="29">
        <f t="shared" si="119"/>
        <v>3.5300000000000002</v>
      </c>
      <c r="O423" s="58" t="str">
        <f t="shared" si="118"/>
        <v>OK</v>
      </c>
    </row>
    <row r="424" spans="1:15" ht="12" customHeight="1" x14ac:dyDescent="0.25">
      <c r="A424" s="32" t="s">
        <v>16</v>
      </c>
      <c r="B424" s="32">
        <v>2</v>
      </c>
      <c r="C424" s="32">
        <v>1185157</v>
      </c>
      <c r="D424" s="39">
        <v>46126</v>
      </c>
      <c r="E424" s="32" t="s">
        <v>15</v>
      </c>
      <c r="F424" s="32" t="s">
        <v>44</v>
      </c>
      <c r="G424" s="62" t="s">
        <v>53</v>
      </c>
      <c r="H424" s="38" t="s">
        <v>46</v>
      </c>
      <c r="I424" s="38">
        <v>2</v>
      </c>
      <c r="J424" s="37" t="s">
        <v>36</v>
      </c>
      <c r="K424" s="37">
        <v>19</v>
      </c>
      <c r="L424" s="117">
        <v>1.02</v>
      </c>
      <c r="M424" s="117">
        <v>4.22</v>
      </c>
      <c r="N424" s="29">
        <f t="shared" si="119"/>
        <v>3.1999999999999997</v>
      </c>
      <c r="O424" s="58" t="str">
        <f t="shared" si="118"/>
        <v>OK</v>
      </c>
    </row>
    <row r="425" spans="1:15" ht="12" customHeight="1" x14ac:dyDescent="0.25">
      <c r="A425" s="32" t="s">
        <v>16</v>
      </c>
      <c r="B425" s="32">
        <v>2</v>
      </c>
      <c r="C425" s="32">
        <v>1185157</v>
      </c>
      <c r="D425" s="39">
        <v>46126</v>
      </c>
      <c r="E425" s="32" t="s">
        <v>15</v>
      </c>
      <c r="F425" s="32" t="s">
        <v>44</v>
      </c>
      <c r="G425" s="62" t="s">
        <v>53</v>
      </c>
      <c r="H425" s="38" t="s">
        <v>46</v>
      </c>
      <c r="I425" s="38">
        <v>2</v>
      </c>
      <c r="J425" s="37" t="s">
        <v>37</v>
      </c>
      <c r="K425" s="37">
        <v>20</v>
      </c>
      <c r="L425" s="117">
        <v>0.2</v>
      </c>
      <c r="M425" s="117">
        <v>1.27</v>
      </c>
      <c r="N425" s="29">
        <f t="shared" si="119"/>
        <v>1.07</v>
      </c>
      <c r="O425" s="58" t="str">
        <f t="shared" si="118"/>
        <v>OK</v>
      </c>
    </row>
    <row r="426" spans="1:15" ht="12" customHeight="1" x14ac:dyDescent="0.25">
      <c r="A426" s="32" t="s">
        <v>16</v>
      </c>
      <c r="B426" s="32">
        <v>2</v>
      </c>
      <c r="C426" s="32">
        <v>1185157</v>
      </c>
      <c r="D426" s="39">
        <v>46126</v>
      </c>
      <c r="E426" s="32" t="s">
        <v>15</v>
      </c>
      <c r="F426" s="32" t="s">
        <v>44</v>
      </c>
      <c r="G426" s="62" t="s">
        <v>53</v>
      </c>
      <c r="H426" s="38" t="s">
        <v>46</v>
      </c>
      <c r="I426" s="38">
        <v>2</v>
      </c>
      <c r="J426" s="37" t="s">
        <v>38</v>
      </c>
      <c r="K426" s="37">
        <v>20</v>
      </c>
      <c r="L426" s="117">
        <v>1.25</v>
      </c>
      <c r="M426" s="117">
        <v>4.2699999999999996</v>
      </c>
      <c r="N426" s="29">
        <f t="shared" si="119"/>
        <v>3.0199999999999996</v>
      </c>
      <c r="O426" s="58" t="str">
        <f t="shared" si="118"/>
        <v>OK</v>
      </c>
    </row>
    <row r="427" spans="1:15" ht="12" customHeight="1" x14ac:dyDescent="0.25">
      <c r="A427" s="32" t="s">
        <v>16</v>
      </c>
      <c r="B427" s="32">
        <v>2</v>
      </c>
      <c r="C427" s="32">
        <v>1185157</v>
      </c>
      <c r="D427" s="39">
        <v>46126</v>
      </c>
      <c r="E427" s="32" t="s">
        <v>15</v>
      </c>
      <c r="F427" s="32" t="s">
        <v>44</v>
      </c>
      <c r="G427" s="62" t="s">
        <v>53</v>
      </c>
      <c r="H427" s="38" t="s">
        <v>47</v>
      </c>
      <c r="I427" s="38">
        <v>1</v>
      </c>
      <c r="J427" s="37" t="s">
        <v>31</v>
      </c>
      <c r="K427" s="37">
        <v>21</v>
      </c>
      <c r="L427" s="117">
        <v>0.05</v>
      </c>
      <c r="M427" s="117">
        <v>0.86</v>
      </c>
      <c r="N427" s="29">
        <f t="shared" si="119"/>
        <v>0.80999999999999994</v>
      </c>
      <c r="O427" s="58" t="str">
        <f t="shared" si="118"/>
        <v>Seguimiento</v>
      </c>
    </row>
    <row r="428" spans="1:15" ht="12" customHeight="1" x14ac:dyDescent="0.25">
      <c r="A428" s="32" t="s">
        <v>16</v>
      </c>
      <c r="B428" s="32">
        <v>2</v>
      </c>
      <c r="C428" s="32">
        <v>1185157</v>
      </c>
      <c r="D428" s="39">
        <v>46126</v>
      </c>
      <c r="E428" s="32" t="s">
        <v>15</v>
      </c>
      <c r="F428" s="32" t="s">
        <v>44</v>
      </c>
      <c r="G428" s="62" t="s">
        <v>53</v>
      </c>
      <c r="H428" s="38" t="s">
        <v>47</v>
      </c>
      <c r="I428" s="38">
        <v>1</v>
      </c>
      <c r="J428" s="37" t="s">
        <v>32</v>
      </c>
      <c r="K428" s="37">
        <v>21</v>
      </c>
      <c r="L428" s="117">
        <v>1.41</v>
      </c>
      <c r="M428" s="117">
        <v>3.99</v>
      </c>
      <c r="N428" s="29">
        <f t="shared" si="119"/>
        <v>2.58</v>
      </c>
      <c r="O428" s="58" t="str">
        <f t="shared" si="118"/>
        <v>OK</v>
      </c>
    </row>
    <row r="429" spans="1:15" ht="12" customHeight="1" x14ac:dyDescent="0.25">
      <c r="A429" s="32" t="s">
        <v>16</v>
      </c>
      <c r="B429" s="32">
        <v>2</v>
      </c>
      <c r="C429" s="32">
        <v>1185157</v>
      </c>
      <c r="D429" s="39">
        <v>46126</v>
      </c>
      <c r="E429" s="32" t="s">
        <v>15</v>
      </c>
      <c r="F429" s="32" t="s">
        <v>44</v>
      </c>
      <c r="G429" s="62" t="s">
        <v>53</v>
      </c>
      <c r="H429" s="38" t="s">
        <v>47</v>
      </c>
      <c r="I429" s="38">
        <v>1</v>
      </c>
      <c r="J429" s="37" t="s">
        <v>33</v>
      </c>
      <c r="K429" s="37">
        <v>22</v>
      </c>
      <c r="L429" s="117">
        <v>1.22</v>
      </c>
      <c r="M429" s="117">
        <v>4.46</v>
      </c>
      <c r="N429" s="29">
        <f t="shared" si="119"/>
        <v>3.24</v>
      </c>
      <c r="O429" s="58" t="str">
        <f t="shared" si="118"/>
        <v>OK</v>
      </c>
    </row>
    <row r="430" spans="1:15" ht="12" customHeight="1" x14ac:dyDescent="0.25">
      <c r="A430" s="32" t="s">
        <v>16</v>
      </c>
      <c r="B430" s="32">
        <v>2</v>
      </c>
      <c r="C430" s="32">
        <v>1185157</v>
      </c>
      <c r="D430" s="39">
        <v>46126</v>
      </c>
      <c r="E430" s="32" t="s">
        <v>15</v>
      </c>
      <c r="F430" s="32" t="s">
        <v>44</v>
      </c>
      <c r="G430" s="62" t="s">
        <v>53</v>
      </c>
      <c r="H430" s="38" t="s">
        <v>47</v>
      </c>
      <c r="I430" s="38">
        <v>1</v>
      </c>
      <c r="J430" s="37" t="s">
        <v>34</v>
      </c>
      <c r="K430" s="37">
        <v>22</v>
      </c>
      <c r="L430" s="117">
        <v>1.07</v>
      </c>
      <c r="M430" s="117">
        <v>4.42</v>
      </c>
      <c r="N430" s="29">
        <f t="shared" si="119"/>
        <v>3.3499999999999996</v>
      </c>
      <c r="O430" s="58" t="str">
        <f t="shared" si="118"/>
        <v>OK</v>
      </c>
    </row>
    <row r="431" spans="1:15" ht="12" customHeight="1" x14ac:dyDescent="0.25">
      <c r="A431" s="32" t="s">
        <v>16</v>
      </c>
      <c r="B431" s="32">
        <v>2</v>
      </c>
      <c r="C431" s="32">
        <v>1185157</v>
      </c>
      <c r="D431" s="39">
        <v>46126</v>
      </c>
      <c r="E431" s="32" t="s">
        <v>15</v>
      </c>
      <c r="F431" s="32" t="s">
        <v>44</v>
      </c>
      <c r="G431" s="62" t="s">
        <v>53</v>
      </c>
      <c r="H431" s="38" t="s">
        <v>47</v>
      </c>
      <c r="I431" s="38">
        <v>2</v>
      </c>
      <c r="J431" s="37" t="s">
        <v>35</v>
      </c>
      <c r="K431" s="37">
        <v>23</v>
      </c>
      <c r="L431" s="117">
        <v>0.36</v>
      </c>
      <c r="M431" s="117">
        <v>4.84</v>
      </c>
      <c r="N431" s="29">
        <f t="shared" si="119"/>
        <v>4.4799999999999995</v>
      </c>
      <c r="O431" s="58" t="str">
        <f t="shared" si="118"/>
        <v>OK</v>
      </c>
    </row>
    <row r="432" spans="1:15" ht="12" customHeight="1" x14ac:dyDescent="0.25">
      <c r="A432" s="32" t="s">
        <v>16</v>
      </c>
      <c r="B432" s="32">
        <v>2</v>
      </c>
      <c r="C432" s="32">
        <v>1185157</v>
      </c>
      <c r="D432" s="39">
        <v>46126</v>
      </c>
      <c r="E432" s="32" t="s">
        <v>15</v>
      </c>
      <c r="F432" s="32" t="s">
        <v>44</v>
      </c>
      <c r="G432" s="62" t="s">
        <v>53</v>
      </c>
      <c r="H432" s="38" t="s">
        <v>47</v>
      </c>
      <c r="I432" s="38">
        <v>2</v>
      </c>
      <c r="J432" s="37" t="s">
        <v>36</v>
      </c>
      <c r="K432" s="37">
        <v>23</v>
      </c>
      <c r="L432" s="117">
        <v>1.28</v>
      </c>
      <c r="M432" s="117">
        <v>4.82</v>
      </c>
      <c r="N432" s="29">
        <f t="shared" si="119"/>
        <v>3.54</v>
      </c>
      <c r="O432" s="58" t="str">
        <f t="shared" si="118"/>
        <v>OK</v>
      </c>
    </row>
    <row r="433" spans="1:15" ht="12" customHeight="1" x14ac:dyDescent="0.25">
      <c r="A433" s="32" t="s">
        <v>16</v>
      </c>
      <c r="B433" s="32">
        <v>2</v>
      </c>
      <c r="C433" s="32">
        <v>1185157</v>
      </c>
      <c r="D433" s="39">
        <v>46126</v>
      </c>
      <c r="E433" s="32" t="s">
        <v>15</v>
      </c>
      <c r="F433" s="32" t="s">
        <v>44</v>
      </c>
      <c r="G433" s="62" t="s">
        <v>53</v>
      </c>
      <c r="H433" s="38" t="s">
        <v>47</v>
      </c>
      <c r="I433" s="38">
        <v>2</v>
      </c>
      <c r="J433" s="37" t="s">
        <v>37</v>
      </c>
      <c r="K433" s="37">
        <v>24</v>
      </c>
      <c r="L433" s="117">
        <v>1.77</v>
      </c>
      <c r="M433" s="117">
        <v>4.47</v>
      </c>
      <c r="N433" s="29">
        <f t="shared" si="119"/>
        <v>2.6999999999999997</v>
      </c>
      <c r="O433" s="58" t="str">
        <f t="shared" si="118"/>
        <v>Reperfilado</v>
      </c>
    </row>
    <row r="434" spans="1:15" ht="12" customHeight="1" x14ac:dyDescent="0.25">
      <c r="A434" s="32" t="s">
        <v>16</v>
      </c>
      <c r="B434" s="32">
        <v>2</v>
      </c>
      <c r="C434" s="32">
        <v>1185157</v>
      </c>
      <c r="D434" s="39">
        <v>46126</v>
      </c>
      <c r="E434" s="32" t="s">
        <v>15</v>
      </c>
      <c r="F434" s="32" t="s">
        <v>44</v>
      </c>
      <c r="G434" s="62" t="s">
        <v>53</v>
      </c>
      <c r="H434" s="38" t="s">
        <v>47</v>
      </c>
      <c r="I434" s="38">
        <v>2</v>
      </c>
      <c r="J434" s="37" t="s">
        <v>38</v>
      </c>
      <c r="K434" s="37">
        <v>24</v>
      </c>
      <c r="L434" s="117">
        <v>1.37</v>
      </c>
      <c r="M434" s="117">
        <v>3.61</v>
      </c>
      <c r="N434" s="29">
        <f t="shared" si="119"/>
        <v>2.2399999999999998</v>
      </c>
      <c r="O434" s="58" t="str">
        <f t="shared" si="118"/>
        <v>OK</v>
      </c>
    </row>
    <row r="435" spans="1:15" ht="12" customHeight="1" x14ac:dyDescent="0.25">
      <c r="A435" s="32" t="s">
        <v>16</v>
      </c>
      <c r="B435" s="32">
        <v>2</v>
      </c>
      <c r="C435" s="32">
        <v>1185157</v>
      </c>
      <c r="D435" s="39">
        <v>46126</v>
      </c>
      <c r="E435" s="32" t="s">
        <v>15</v>
      </c>
      <c r="F435" s="32" t="s">
        <v>44</v>
      </c>
      <c r="G435" s="62" t="s">
        <v>54</v>
      </c>
      <c r="H435" s="38" t="s">
        <v>47</v>
      </c>
      <c r="I435" s="38">
        <v>2</v>
      </c>
      <c r="J435" s="37" t="s">
        <v>31</v>
      </c>
      <c r="K435" s="37">
        <v>25</v>
      </c>
      <c r="L435" s="117">
        <v>1.27</v>
      </c>
      <c r="M435" s="117">
        <v>4.25</v>
      </c>
      <c r="N435" s="29">
        <f t="shared" si="119"/>
        <v>2.98</v>
      </c>
      <c r="O435" s="58" t="str">
        <f t="shared" si="118"/>
        <v>OK</v>
      </c>
    </row>
    <row r="436" spans="1:15" ht="12" customHeight="1" x14ac:dyDescent="0.25">
      <c r="A436" s="32" t="s">
        <v>16</v>
      </c>
      <c r="B436" s="32">
        <v>2</v>
      </c>
      <c r="C436" s="32">
        <v>1185157</v>
      </c>
      <c r="D436" s="39">
        <v>46126</v>
      </c>
      <c r="E436" s="32" t="s">
        <v>15</v>
      </c>
      <c r="F436" s="32" t="s">
        <v>44</v>
      </c>
      <c r="G436" s="62" t="s">
        <v>54</v>
      </c>
      <c r="H436" s="38" t="s">
        <v>47</v>
      </c>
      <c r="I436" s="38">
        <v>2</v>
      </c>
      <c r="J436" s="37" t="s">
        <v>32</v>
      </c>
      <c r="K436" s="37">
        <v>25</v>
      </c>
      <c r="L436" s="117">
        <v>0.2</v>
      </c>
      <c r="M436" s="117">
        <v>0.41</v>
      </c>
      <c r="N436" s="29">
        <f t="shared" si="119"/>
        <v>0.20999999999999996</v>
      </c>
      <c r="O436" s="58" t="str">
        <f t="shared" si="118"/>
        <v>Seguimiento</v>
      </c>
    </row>
    <row r="437" spans="1:15" ht="12" customHeight="1" x14ac:dyDescent="0.25">
      <c r="A437" s="32" t="s">
        <v>16</v>
      </c>
      <c r="B437" s="32">
        <v>2</v>
      </c>
      <c r="C437" s="32">
        <v>1185157</v>
      </c>
      <c r="D437" s="39">
        <v>46126</v>
      </c>
      <c r="E437" s="32" t="s">
        <v>15</v>
      </c>
      <c r="F437" s="32" t="s">
        <v>44</v>
      </c>
      <c r="G437" s="62" t="s">
        <v>54</v>
      </c>
      <c r="H437" s="38" t="s">
        <v>47</v>
      </c>
      <c r="I437" s="38">
        <v>2</v>
      </c>
      <c r="J437" s="37" t="s">
        <v>33</v>
      </c>
      <c r="K437" s="37">
        <v>26</v>
      </c>
      <c r="L437" s="117">
        <v>0.09</v>
      </c>
      <c r="M437" s="117">
        <v>5.19</v>
      </c>
      <c r="N437" s="29">
        <f t="shared" si="119"/>
        <v>5.1000000000000005</v>
      </c>
      <c r="O437" s="58" t="str">
        <f t="shared" si="118"/>
        <v>OK</v>
      </c>
    </row>
    <row r="438" spans="1:15" ht="12" customHeight="1" x14ac:dyDescent="0.25">
      <c r="A438" s="32" t="s">
        <v>16</v>
      </c>
      <c r="B438" s="32">
        <v>2</v>
      </c>
      <c r="C438" s="32">
        <v>1185157</v>
      </c>
      <c r="D438" s="39">
        <v>46126</v>
      </c>
      <c r="E438" s="32" t="s">
        <v>15</v>
      </c>
      <c r="F438" s="32" t="s">
        <v>44</v>
      </c>
      <c r="G438" s="62" t="s">
        <v>54</v>
      </c>
      <c r="H438" s="38" t="s">
        <v>47</v>
      </c>
      <c r="I438" s="38">
        <v>2</v>
      </c>
      <c r="J438" s="37" t="s">
        <v>34</v>
      </c>
      <c r="K438" s="37">
        <v>26</v>
      </c>
      <c r="L438" s="117">
        <v>0.09</v>
      </c>
      <c r="M438" s="117">
        <v>5.0199999999999996</v>
      </c>
      <c r="N438" s="29">
        <f t="shared" si="119"/>
        <v>4.93</v>
      </c>
      <c r="O438" s="58" t="str">
        <f t="shared" si="118"/>
        <v>OK</v>
      </c>
    </row>
    <row r="439" spans="1:15" ht="12" customHeight="1" x14ac:dyDescent="0.25">
      <c r="A439" s="32" t="s">
        <v>16</v>
      </c>
      <c r="B439" s="32">
        <v>2</v>
      </c>
      <c r="C439" s="32">
        <v>1185157</v>
      </c>
      <c r="D439" s="39">
        <v>46126</v>
      </c>
      <c r="E439" s="32" t="s">
        <v>15</v>
      </c>
      <c r="F439" s="32" t="s">
        <v>44</v>
      </c>
      <c r="G439" s="62" t="s">
        <v>54</v>
      </c>
      <c r="H439" s="38" t="s">
        <v>47</v>
      </c>
      <c r="I439" s="38">
        <v>1</v>
      </c>
      <c r="J439" s="37" t="s">
        <v>35</v>
      </c>
      <c r="K439" s="37">
        <v>27</v>
      </c>
      <c r="L439" s="117">
        <v>0.68</v>
      </c>
      <c r="M439" s="117">
        <v>4.29</v>
      </c>
      <c r="N439" s="29">
        <f t="shared" si="119"/>
        <v>3.61</v>
      </c>
      <c r="O439" s="58" t="str">
        <f t="shared" si="118"/>
        <v>OK</v>
      </c>
    </row>
    <row r="440" spans="1:15" ht="12" customHeight="1" x14ac:dyDescent="0.25">
      <c r="A440" s="32" t="s">
        <v>16</v>
      </c>
      <c r="B440" s="32">
        <v>2</v>
      </c>
      <c r="C440" s="32">
        <v>1185157</v>
      </c>
      <c r="D440" s="39">
        <v>46126</v>
      </c>
      <c r="E440" s="32" t="s">
        <v>15</v>
      </c>
      <c r="F440" s="32" t="s">
        <v>44</v>
      </c>
      <c r="G440" s="62" t="s">
        <v>54</v>
      </c>
      <c r="H440" s="38" t="s">
        <v>47</v>
      </c>
      <c r="I440" s="38">
        <v>1</v>
      </c>
      <c r="J440" s="37" t="s">
        <v>36</v>
      </c>
      <c r="K440" s="37">
        <v>27</v>
      </c>
      <c r="L440" s="117">
        <v>0.49</v>
      </c>
      <c r="M440" s="117">
        <v>1.9</v>
      </c>
      <c r="N440" s="29">
        <f t="shared" si="119"/>
        <v>1.41</v>
      </c>
      <c r="O440" s="58" t="str">
        <f t="shared" si="118"/>
        <v>OK</v>
      </c>
    </row>
    <row r="441" spans="1:15" ht="12" customHeight="1" x14ac:dyDescent="0.25">
      <c r="A441" s="32" t="s">
        <v>16</v>
      </c>
      <c r="B441" s="32">
        <v>2</v>
      </c>
      <c r="C441" s="32">
        <v>1185157</v>
      </c>
      <c r="D441" s="39">
        <v>46126</v>
      </c>
      <c r="E441" s="32" t="s">
        <v>15</v>
      </c>
      <c r="F441" s="32" t="s">
        <v>44</v>
      </c>
      <c r="G441" s="62" t="s">
        <v>54</v>
      </c>
      <c r="H441" s="38" t="s">
        <v>47</v>
      </c>
      <c r="I441" s="38">
        <v>1</v>
      </c>
      <c r="J441" s="37" t="s">
        <v>37</v>
      </c>
      <c r="K441" s="37">
        <v>28</v>
      </c>
      <c r="L441" s="117">
        <v>1.3</v>
      </c>
      <c r="M441" s="117">
        <v>2.42</v>
      </c>
      <c r="N441" s="29">
        <f t="shared" si="119"/>
        <v>1.1199999999999999</v>
      </c>
      <c r="O441" s="58" t="str">
        <f t="shared" si="118"/>
        <v>OK</v>
      </c>
    </row>
    <row r="442" spans="1:15" ht="12" customHeight="1" x14ac:dyDescent="0.25">
      <c r="A442" s="32" t="s">
        <v>16</v>
      </c>
      <c r="B442" s="32">
        <v>2</v>
      </c>
      <c r="C442" s="32">
        <v>1185157</v>
      </c>
      <c r="D442" s="39">
        <v>46126</v>
      </c>
      <c r="E442" s="32" t="s">
        <v>15</v>
      </c>
      <c r="F442" s="32" t="s">
        <v>44</v>
      </c>
      <c r="G442" s="62" t="s">
        <v>54</v>
      </c>
      <c r="H442" s="38" t="s">
        <v>47</v>
      </c>
      <c r="I442" s="38">
        <v>1</v>
      </c>
      <c r="J442" s="37" t="s">
        <v>38</v>
      </c>
      <c r="K442" s="37">
        <v>28</v>
      </c>
      <c r="L442" s="117">
        <v>0.76</v>
      </c>
      <c r="M442" s="117">
        <v>1.51</v>
      </c>
      <c r="N442" s="29">
        <f t="shared" si="119"/>
        <v>0.75</v>
      </c>
      <c r="O442" s="58" t="str">
        <f t="shared" si="118"/>
        <v>Seguimiento</v>
      </c>
    </row>
    <row r="443" spans="1:15" ht="12" customHeight="1" x14ac:dyDescent="0.25">
      <c r="A443" s="32" t="s">
        <v>16</v>
      </c>
      <c r="B443" s="32">
        <v>2</v>
      </c>
      <c r="C443" s="32">
        <v>1185157</v>
      </c>
      <c r="D443" s="39">
        <v>46126</v>
      </c>
      <c r="E443" s="32" t="s">
        <v>15</v>
      </c>
      <c r="F443" s="32" t="s">
        <v>44</v>
      </c>
      <c r="G443" s="62" t="s">
        <v>54</v>
      </c>
      <c r="H443" s="38" t="s">
        <v>46</v>
      </c>
      <c r="I443" s="38">
        <v>2</v>
      </c>
      <c r="J443" s="37" t="s">
        <v>31</v>
      </c>
      <c r="K443" s="37">
        <v>29</v>
      </c>
      <c r="L443" s="117">
        <v>0.7</v>
      </c>
      <c r="M443" s="117">
        <v>4.4800000000000004</v>
      </c>
      <c r="N443" s="29">
        <f t="shared" si="119"/>
        <v>3.7800000000000002</v>
      </c>
      <c r="O443" s="58" t="str">
        <f t="shared" si="118"/>
        <v>OK</v>
      </c>
    </row>
    <row r="444" spans="1:15" ht="12" customHeight="1" x14ac:dyDescent="0.25">
      <c r="A444" s="32" t="s">
        <v>16</v>
      </c>
      <c r="B444" s="32">
        <v>2</v>
      </c>
      <c r="C444" s="32">
        <v>1185157</v>
      </c>
      <c r="D444" s="39">
        <v>46126</v>
      </c>
      <c r="E444" s="32" t="s">
        <v>15</v>
      </c>
      <c r="F444" s="32" t="s">
        <v>44</v>
      </c>
      <c r="G444" s="62" t="s">
        <v>54</v>
      </c>
      <c r="H444" s="38" t="s">
        <v>46</v>
      </c>
      <c r="I444" s="38">
        <v>2</v>
      </c>
      <c r="J444" s="37" t="s">
        <v>32</v>
      </c>
      <c r="K444" s="37">
        <v>29</v>
      </c>
      <c r="L444" s="117">
        <v>1.34</v>
      </c>
      <c r="M444" s="117">
        <v>4.04</v>
      </c>
      <c r="N444" s="29">
        <f t="shared" si="119"/>
        <v>2.7</v>
      </c>
      <c r="O444" s="58" t="str">
        <f t="shared" si="118"/>
        <v>OK</v>
      </c>
    </row>
    <row r="445" spans="1:15" ht="12" customHeight="1" x14ac:dyDescent="0.25">
      <c r="A445" s="32" t="s">
        <v>16</v>
      </c>
      <c r="B445" s="32">
        <v>2</v>
      </c>
      <c r="C445" s="32">
        <v>1185157</v>
      </c>
      <c r="D445" s="39">
        <v>46126</v>
      </c>
      <c r="E445" s="32" t="s">
        <v>15</v>
      </c>
      <c r="F445" s="32" t="s">
        <v>44</v>
      </c>
      <c r="G445" s="62" t="s">
        <v>54</v>
      </c>
      <c r="H445" s="38" t="s">
        <v>46</v>
      </c>
      <c r="I445" s="38">
        <v>2</v>
      </c>
      <c r="J445" s="37" t="s">
        <v>33</v>
      </c>
      <c r="K445" s="37">
        <v>30</v>
      </c>
      <c r="L445" s="117">
        <v>0.95</v>
      </c>
      <c r="M445" s="117">
        <v>4.54</v>
      </c>
      <c r="N445" s="29">
        <f t="shared" si="119"/>
        <v>3.59</v>
      </c>
      <c r="O445" s="58" t="str">
        <f t="shared" si="118"/>
        <v>OK</v>
      </c>
    </row>
    <row r="446" spans="1:15" ht="12" customHeight="1" x14ac:dyDescent="0.25">
      <c r="A446" s="32" t="s">
        <v>16</v>
      </c>
      <c r="B446" s="32">
        <v>2</v>
      </c>
      <c r="C446" s="32">
        <v>1185157</v>
      </c>
      <c r="D446" s="39">
        <v>46126</v>
      </c>
      <c r="E446" s="32" t="s">
        <v>15</v>
      </c>
      <c r="F446" s="32" t="s">
        <v>44</v>
      </c>
      <c r="G446" s="62" t="s">
        <v>54</v>
      </c>
      <c r="H446" s="38" t="s">
        <v>46</v>
      </c>
      <c r="I446" s="38">
        <v>2</v>
      </c>
      <c r="J446" s="37" t="s">
        <v>34</v>
      </c>
      <c r="K446" s="37">
        <v>30</v>
      </c>
      <c r="L446" s="117">
        <v>0.48</v>
      </c>
      <c r="M446" s="117">
        <v>2.57</v>
      </c>
      <c r="N446" s="29">
        <f t="shared" si="119"/>
        <v>2.09</v>
      </c>
      <c r="O446" s="58" t="str">
        <f t="shared" si="118"/>
        <v>OK</v>
      </c>
    </row>
    <row r="447" spans="1:15" ht="12" customHeight="1" x14ac:dyDescent="0.25">
      <c r="A447" s="32" t="s">
        <v>16</v>
      </c>
      <c r="B447" s="32">
        <v>2</v>
      </c>
      <c r="C447" s="32">
        <v>1185157</v>
      </c>
      <c r="D447" s="39">
        <v>46126</v>
      </c>
      <c r="E447" s="32" t="s">
        <v>15</v>
      </c>
      <c r="F447" s="32" t="s">
        <v>44</v>
      </c>
      <c r="G447" s="62" t="s">
        <v>54</v>
      </c>
      <c r="H447" s="38" t="s">
        <v>46</v>
      </c>
      <c r="I447" s="38">
        <v>1</v>
      </c>
      <c r="J447" s="37" t="s">
        <v>35</v>
      </c>
      <c r="K447" s="37">
        <v>31</v>
      </c>
      <c r="L447" s="117">
        <v>1.2</v>
      </c>
      <c r="M447" s="117">
        <v>4.34</v>
      </c>
      <c r="N447" s="29">
        <f t="shared" si="119"/>
        <v>3.1399999999999997</v>
      </c>
      <c r="O447" s="58" t="str">
        <f t="shared" si="118"/>
        <v>OK</v>
      </c>
    </row>
    <row r="448" spans="1:15" ht="12" customHeight="1" x14ac:dyDescent="0.25">
      <c r="A448" s="32" t="s">
        <v>16</v>
      </c>
      <c r="B448" s="32">
        <v>2</v>
      </c>
      <c r="C448" s="32">
        <v>1185157</v>
      </c>
      <c r="D448" s="39">
        <v>46126</v>
      </c>
      <c r="E448" s="32" t="s">
        <v>15</v>
      </c>
      <c r="F448" s="32" t="s">
        <v>44</v>
      </c>
      <c r="G448" s="62" t="s">
        <v>54</v>
      </c>
      <c r="H448" s="38" t="s">
        <v>46</v>
      </c>
      <c r="I448" s="38">
        <v>1</v>
      </c>
      <c r="J448" s="37" t="s">
        <v>36</v>
      </c>
      <c r="K448" s="37">
        <v>31</v>
      </c>
      <c r="L448" s="117">
        <v>0.11</v>
      </c>
      <c r="M448" s="117">
        <v>5.14</v>
      </c>
      <c r="N448" s="29">
        <f t="shared" si="119"/>
        <v>5.0299999999999994</v>
      </c>
      <c r="O448" s="58" t="str">
        <f t="shared" si="118"/>
        <v>OK</v>
      </c>
    </row>
    <row r="449" spans="1:15" ht="12" customHeight="1" x14ac:dyDescent="0.25">
      <c r="A449" s="32" t="s">
        <v>16</v>
      </c>
      <c r="B449" s="32">
        <v>2</v>
      </c>
      <c r="C449" s="32">
        <v>1185157</v>
      </c>
      <c r="D449" s="39">
        <v>46126</v>
      </c>
      <c r="E449" s="32" t="s">
        <v>15</v>
      </c>
      <c r="F449" s="32" t="s">
        <v>44</v>
      </c>
      <c r="G449" s="62" t="s">
        <v>54</v>
      </c>
      <c r="H449" s="38" t="s">
        <v>46</v>
      </c>
      <c r="I449" s="38">
        <v>1</v>
      </c>
      <c r="J449" s="37" t="s">
        <v>37</v>
      </c>
      <c r="K449" s="37">
        <v>32</v>
      </c>
      <c r="L449" s="117">
        <v>0.68</v>
      </c>
      <c r="M449" s="117">
        <v>4.55</v>
      </c>
      <c r="N449" s="29">
        <f t="shared" si="119"/>
        <v>3.8699999999999997</v>
      </c>
      <c r="O449" s="58" t="str">
        <f t="shared" si="118"/>
        <v>OK</v>
      </c>
    </row>
    <row r="450" spans="1:15" ht="12" customHeight="1" x14ac:dyDescent="0.25">
      <c r="A450" s="32" t="s">
        <v>16</v>
      </c>
      <c r="B450" s="32">
        <v>2</v>
      </c>
      <c r="C450" s="32">
        <v>1185157</v>
      </c>
      <c r="D450" s="39">
        <v>46126</v>
      </c>
      <c r="E450" s="32" t="s">
        <v>15</v>
      </c>
      <c r="F450" s="32" t="s">
        <v>44</v>
      </c>
      <c r="G450" s="62" t="s">
        <v>54</v>
      </c>
      <c r="H450" s="38" t="s">
        <v>46</v>
      </c>
      <c r="I450" s="38">
        <v>1</v>
      </c>
      <c r="J450" s="37" t="s">
        <v>38</v>
      </c>
      <c r="K450" s="37">
        <v>32</v>
      </c>
      <c r="L450" s="117">
        <v>1.36</v>
      </c>
      <c r="M450" s="117">
        <v>4.0999999999999996</v>
      </c>
      <c r="N450" s="29">
        <f t="shared" si="119"/>
        <v>2.7399999999999993</v>
      </c>
      <c r="O450" s="58" t="str">
        <f t="shared" si="118"/>
        <v>OK</v>
      </c>
    </row>
    <row r="451" spans="1:15" ht="12" customHeight="1" x14ac:dyDescent="0.25">
      <c r="A451" s="32" t="s">
        <v>16</v>
      </c>
      <c r="B451" s="32">
        <v>2</v>
      </c>
      <c r="C451" s="32">
        <v>1185157</v>
      </c>
      <c r="D451" s="39">
        <v>46126</v>
      </c>
      <c r="E451" s="32" t="s">
        <v>15</v>
      </c>
      <c r="F451" s="32" t="s">
        <v>40</v>
      </c>
      <c r="G451" s="62" t="s">
        <v>57</v>
      </c>
      <c r="H451" s="38" t="s">
        <v>43</v>
      </c>
      <c r="I451" s="38">
        <v>2</v>
      </c>
      <c r="J451" s="37" t="s">
        <v>31</v>
      </c>
      <c r="K451" s="37">
        <v>33</v>
      </c>
      <c r="L451" s="117">
        <v>0.11</v>
      </c>
      <c r="M451" s="117">
        <v>5.01</v>
      </c>
      <c r="N451" s="29">
        <f t="shared" si="119"/>
        <v>4.8999999999999995</v>
      </c>
      <c r="O451" s="58" t="str">
        <f t="shared" si="118"/>
        <v>OK</v>
      </c>
    </row>
    <row r="452" spans="1:15" ht="12" customHeight="1" x14ac:dyDescent="0.25">
      <c r="A452" s="32" t="s">
        <v>16</v>
      </c>
      <c r="B452" s="32">
        <v>2</v>
      </c>
      <c r="C452" s="32">
        <v>1185157</v>
      </c>
      <c r="D452" s="39">
        <v>46126</v>
      </c>
      <c r="E452" s="32" t="s">
        <v>15</v>
      </c>
      <c r="F452" s="32" t="s">
        <v>40</v>
      </c>
      <c r="G452" s="62" t="str">
        <f t="shared" ref="G452" si="120">G451</f>
        <v>008</v>
      </c>
      <c r="H452" s="38" t="s">
        <v>43</v>
      </c>
      <c r="I452" s="38">
        <v>2</v>
      </c>
      <c r="J452" s="37" t="s">
        <v>32</v>
      </c>
      <c r="K452" s="37">
        <v>33</v>
      </c>
      <c r="L452" s="117">
        <v>0.08</v>
      </c>
      <c r="M452" s="117">
        <v>5.09</v>
      </c>
      <c r="N452" s="29">
        <f t="shared" si="119"/>
        <v>5.01</v>
      </c>
      <c r="O452" s="58" t="str">
        <f t="shared" ref="O452:O515" si="121">IF(N452&lt;=0,"Critico",IF(N452&lt;=0.2,"Cambio",IF(N452&lt;=1,"Seguimiento",IF(L452&gt;=1.6,"Reperfilado","OK"))))</f>
        <v>OK</v>
      </c>
    </row>
    <row r="453" spans="1:15" ht="12" customHeight="1" x14ac:dyDescent="0.25">
      <c r="A453" s="32" t="s">
        <v>16</v>
      </c>
      <c r="B453" s="32">
        <v>2</v>
      </c>
      <c r="C453" s="32">
        <v>1185157</v>
      </c>
      <c r="D453" s="39">
        <v>46126</v>
      </c>
      <c r="E453" s="32" t="s">
        <v>15</v>
      </c>
      <c r="F453" s="32" t="s">
        <v>40</v>
      </c>
      <c r="G453" s="62" t="str">
        <f t="shared" ref="G453" si="122">G452</f>
        <v>008</v>
      </c>
      <c r="H453" s="38" t="s">
        <v>43</v>
      </c>
      <c r="I453" s="38">
        <v>2</v>
      </c>
      <c r="J453" s="37" t="s">
        <v>33</v>
      </c>
      <c r="K453" s="37">
        <v>34</v>
      </c>
      <c r="L453" s="117">
        <v>0.05</v>
      </c>
      <c r="M453" s="117">
        <v>5.09</v>
      </c>
      <c r="N453" s="29">
        <f t="shared" si="119"/>
        <v>5.04</v>
      </c>
      <c r="O453" s="58" t="str">
        <f t="shared" si="121"/>
        <v>OK</v>
      </c>
    </row>
    <row r="454" spans="1:15" ht="12" customHeight="1" x14ac:dyDescent="0.25">
      <c r="A454" s="32" t="s">
        <v>16</v>
      </c>
      <c r="B454" s="32">
        <v>2</v>
      </c>
      <c r="C454" s="32">
        <v>1185157</v>
      </c>
      <c r="D454" s="39">
        <v>46126</v>
      </c>
      <c r="E454" s="32" t="s">
        <v>15</v>
      </c>
      <c r="F454" s="32" t="s">
        <v>40</v>
      </c>
      <c r="G454" s="62" t="str">
        <f t="shared" ref="G454" si="123">G453</f>
        <v>008</v>
      </c>
      <c r="H454" s="38" t="s">
        <v>43</v>
      </c>
      <c r="I454" s="38">
        <v>2</v>
      </c>
      <c r="J454" s="37" t="s">
        <v>34</v>
      </c>
      <c r="K454" s="37">
        <v>34</v>
      </c>
      <c r="L454" s="117">
        <v>0.06</v>
      </c>
      <c r="M454" s="117">
        <v>4.9800000000000004</v>
      </c>
      <c r="N454" s="29">
        <f t="shared" si="119"/>
        <v>4.9200000000000008</v>
      </c>
      <c r="O454" s="58" t="str">
        <f t="shared" si="121"/>
        <v>OK</v>
      </c>
    </row>
    <row r="455" spans="1:15" ht="12" customHeight="1" x14ac:dyDescent="0.25">
      <c r="A455" s="32" t="s">
        <v>16</v>
      </c>
      <c r="B455" s="32">
        <v>2</v>
      </c>
      <c r="C455" s="32">
        <v>1185157</v>
      </c>
      <c r="D455" s="39">
        <v>46126</v>
      </c>
      <c r="E455" s="32" t="s">
        <v>15</v>
      </c>
      <c r="F455" s="32" t="s">
        <v>40</v>
      </c>
      <c r="G455" s="62" t="str">
        <f t="shared" ref="G455" si="124">G454</f>
        <v>008</v>
      </c>
      <c r="H455" s="38" t="s">
        <v>43</v>
      </c>
      <c r="I455" s="38">
        <v>1</v>
      </c>
      <c r="J455" s="37" t="s">
        <v>35</v>
      </c>
      <c r="K455" s="37">
        <v>35</v>
      </c>
      <c r="L455" s="117">
        <v>1.38</v>
      </c>
      <c r="M455" s="117">
        <v>3.76</v>
      </c>
      <c r="N455" s="29">
        <f t="shared" si="119"/>
        <v>2.38</v>
      </c>
      <c r="O455" s="58" t="str">
        <f t="shared" si="121"/>
        <v>OK</v>
      </c>
    </row>
    <row r="456" spans="1:15" ht="12" customHeight="1" x14ac:dyDescent="0.25">
      <c r="A456" s="32" t="s">
        <v>16</v>
      </c>
      <c r="B456" s="32">
        <v>2</v>
      </c>
      <c r="C456" s="32">
        <v>1185157</v>
      </c>
      <c r="D456" s="39">
        <v>46126</v>
      </c>
      <c r="E456" s="32" t="s">
        <v>15</v>
      </c>
      <c r="F456" s="32" t="s">
        <v>40</v>
      </c>
      <c r="G456" s="62" t="str">
        <f t="shared" ref="G456" si="125">G455</f>
        <v>008</v>
      </c>
      <c r="H456" s="38" t="s">
        <v>43</v>
      </c>
      <c r="I456" s="38">
        <v>1</v>
      </c>
      <c r="J456" s="37" t="s">
        <v>36</v>
      </c>
      <c r="K456" s="37">
        <v>35</v>
      </c>
      <c r="L456" s="117">
        <v>0.44</v>
      </c>
      <c r="M456" s="117">
        <v>3.03</v>
      </c>
      <c r="N456" s="29">
        <f t="shared" si="119"/>
        <v>2.59</v>
      </c>
      <c r="O456" s="58" t="str">
        <f t="shared" si="121"/>
        <v>OK</v>
      </c>
    </row>
    <row r="457" spans="1:15" ht="12" customHeight="1" x14ac:dyDescent="0.25">
      <c r="A457" s="32" t="s">
        <v>16</v>
      </c>
      <c r="B457" s="32">
        <v>2</v>
      </c>
      <c r="C457" s="32">
        <v>1185157</v>
      </c>
      <c r="D457" s="39">
        <v>46126</v>
      </c>
      <c r="E457" s="32" t="s">
        <v>15</v>
      </c>
      <c r="F457" s="32" t="s">
        <v>40</v>
      </c>
      <c r="G457" s="62" t="str">
        <f t="shared" ref="G457" si="126">G456</f>
        <v>008</v>
      </c>
      <c r="H457" s="38" t="s">
        <v>43</v>
      </c>
      <c r="I457" s="38">
        <v>1</v>
      </c>
      <c r="J457" s="37" t="s">
        <v>37</v>
      </c>
      <c r="K457" s="37">
        <v>36</v>
      </c>
      <c r="L457" s="117">
        <v>0.9</v>
      </c>
      <c r="M457" s="117">
        <v>3.85</v>
      </c>
      <c r="N457" s="29">
        <f t="shared" si="119"/>
        <v>2.95</v>
      </c>
      <c r="O457" s="58" t="str">
        <f t="shared" si="121"/>
        <v>OK</v>
      </c>
    </row>
    <row r="458" spans="1:15" ht="12" customHeight="1" x14ac:dyDescent="0.25">
      <c r="A458" s="32" t="s">
        <v>16</v>
      </c>
      <c r="B458" s="32">
        <v>2</v>
      </c>
      <c r="C458" s="32">
        <v>1185157</v>
      </c>
      <c r="D458" s="39">
        <v>46126</v>
      </c>
      <c r="E458" s="32" t="s">
        <v>15</v>
      </c>
      <c r="F458" s="32" t="s">
        <v>40</v>
      </c>
      <c r="G458" s="62" t="str">
        <f t="shared" ref="G458" si="127">G457</f>
        <v>008</v>
      </c>
      <c r="H458" s="38" t="s">
        <v>43</v>
      </c>
      <c r="I458" s="38">
        <v>1</v>
      </c>
      <c r="J458" s="37" t="s">
        <v>38</v>
      </c>
      <c r="K458" s="37">
        <v>36</v>
      </c>
      <c r="L458" s="117">
        <v>1.68</v>
      </c>
      <c r="M458" s="117">
        <v>3.9</v>
      </c>
      <c r="N458" s="29">
        <f t="shared" si="119"/>
        <v>2.2199999999999998</v>
      </c>
      <c r="O458" s="58" t="str">
        <f t="shared" si="121"/>
        <v>Reperfilado</v>
      </c>
    </row>
    <row r="459" spans="1:15" ht="12" customHeight="1" x14ac:dyDescent="0.25">
      <c r="A459" s="32" t="s">
        <v>16</v>
      </c>
      <c r="B459" s="32">
        <v>2</v>
      </c>
      <c r="C459" s="32">
        <v>1185157</v>
      </c>
      <c r="D459" s="39">
        <v>46126</v>
      </c>
      <c r="E459" s="32" t="s">
        <v>15</v>
      </c>
      <c r="F459" s="32" t="s">
        <v>40</v>
      </c>
      <c r="G459" s="62" t="str">
        <f t="shared" ref="G459" si="128">G458</f>
        <v>008</v>
      </c>
      <c r="H459" s="38" t="s">
        <v>42</v>
      </c>
      <c r="I459" s="38">
        <v>2</v>
      </c>
      <c r="J459" s="37" t="s">
        <v>31</v>
      </c>
      <c r="K459" s="37">
        <v>37</v>
      </c>
      <c r="L459" s="117">
        <v>0.95</v>
      </c>
      <c r="M459" s="117">
        <v>4.2300000000000004</v>
      </c>
      <c r="N459" s="29">
        <f t="shared" si="119"/>
        <v>3.2800000000000002</v>
      </c>
      <c r="O459" s="58" t="str">
        <f t="shared" si="121"/>
        <v>OK</v>
      </c>
    </row>
    <row r="460" spans="1:15" ht="12" customHeight="1" x14ac:dyDescent="0.25">
      <c r="A460" s="32" t="s">
        <v>16</v>
      </c>
      <c r="B460" s="32">
        <v>2</v>
      </c>
      <c r="C460" s="32">
        <v>1185157</v>
      </c>
      <c r="D460" s="39">
        <v>46126</v>
      </c>
      <c r="E460" s="32" t="s">
        <v>15</v>
      </c>
      <c r="F460" s="32" t="s">
        <v>40</v>
      </c>
      <c r="G460" s="62" t="str">
        <f t="shared" ref="G460" si="129">G459</f>
        <v>008</v>
      </c>
      <c r="H460" s="38" t="s">
        <v>42</v>
      </c>
      <c r="I460" s="38">
        <v>2</v>
      </c>
      <c r="J460" s="37" t="s">
        <v>32</v>
      </c>
      <c r="K460" s="37">
        <v>37</v>
      </c>
      <c r="L460" s="117">
        <v>0.9</v>
      </c>
      <c r="M460" s="117">
        <v>4.3499999999999996</v>
      </c>
      <c r="N460" s="29">
        <f t="shared" si="119"/>
        <v>3.4499999999999997</v>
      </c>
      <c r="O460" s="58" t="str">
        <f t="shared" si="121"/>
        <v>OK</v>
      </c>
    </row>
    <row r="461" spans="1:15" ht="12" customHeight="1" x14ac:dyDescent="0.25">
      <c r="A461" s="32" t="s">
        <v>16</v>
      </c>
      <c r="B461" s="32">
        <v>2</v>
      </c>
      <c r="C461" s="32">
        <v>1185157</v>
      </c>
      <c r="D461" s="39">
        <v>46126</v>
      </c>
      <c r="E461" s="32" t="s">
        <v>15</v>
      </c>
      <c r="F461" s="32" t="s">
        <v>40</v>
      </c>
      <c r="G461" s="62" t="str">
        <f t="shared" ref="G461" si="130">G460</f>
        <v>008</v>
      </c>
      <c r="H461" s="38" t="s">
        <v>42</v>
      </c>
      <c r="I461" s="38">
        <v>2</v>
      </c>
      <c r="J461" s="37" t="s">
        <v>33</v>
      </c>
      <c r="K461" s="37">
        <v>38</v>
      </c>
      <c r="L461" s="117">
        <v>0.86</v>
      </c>
      <c r="M461" s="117">
        <v>3.17</v>
      </c>
      <c r="N461" s="29">
        <f t="shared" si="119"/>
        <v>2.31</v>
      </c>
      <c r="O461" s="58" t="str">
        <f t="shared" si="121"/>
        <v>OK</v>
      </c>
    </row>
    <row r="462" spans="1:15" ht="12" customHeight="1" x14ac:dyDescent="0.25">
      <c r="A462" s="32" t="s">
        <v>16</v>
      </c>
      <c r="B462" s="32">
        <v>2</v>
      </c>
      <c r="C462" s="32">
        <v>1185157</v>
      </c>
      <c r="D462" s="39">
        <v>46126</v>
      </c>
      <c r="E462" s="32" t="s">
        <v>15</v>
      </c>
      <c r="F462" s="32" t="s">
        <v>40</v>
      </c>
      <c r="G462" s="62" t="str">
        <f t="shared" ref="G462" si="131">G461</f>
        <v>008</v>
      </c>
      <c r="H462" s="38" t="s">
        <v>42</v>
      </c>
      <c r="I462" s="38">
        <v>2</v>
      </c>
      <c r="J462" s="37" t="s">
        <v>34</v>
      </c>
      <c r="K462" s="37">
        <v>38</v>
      </c>
      <c r="L462" s="117">
        <v>1.19</v>
      </c>
      <c r="M462" s="117">
        <v>4.53</v>
      </c>
      <c r="N462" s="29">
        <f t="shared" si="119"/>
        <v>3.3400000000000003</v>
      </c>
      <c r="O462" s="58" t="str">
        <f t="shared" si="121"/>
        <v>OK</v>
      </c>
    </row>
    <row r="463" spans="1:15" ht="12" customHeight="1" x14ac:dyDescent="0.25">
      <c r="A463" s="32" t="s">
        <v>16</v>
      </c>
      <c r="B463" s="32">
        <v>2</v>
      </c>
      <c r="C463" s="32">
        <v>1185157</v>
      </c>
      <c r="D463" s="39">
        <v>46126</v>
      </c>
      <c r="E463" s="32" t="s">
        <v>15</v>
      </c>
      <c r="F463" s="32" t="s">
        <v>40</v>
      </c>
      <c r="G463" s="62" t="str">
        <f t="shared" ref="G463" si="132">G462</f>
        <v>008</v>
      </c>
      <c r="H463" s="38" t="s">
        <v>42</v>
      </c>
      <c r="I463" s="38">
        <v>1</v>
      </c>
      <c r="J463" s="37" t="s">
        <v>35</v>
      </c>
      <c r="K463" s="37">
        <v>39</v>
      </c>
      <c r="L463" s="117">
        <v>1.23</v>
      </c>
      <c r="M463" s="117">
        <v>3.13</v>
      </c>
      <c r="N463" s="29">
        <f t="shared" si="119"/>
        <v>1.9</v>
      </c>
      <c r="O463" s="58" t="str">
        <f t="shared" si="121"/>
        <v>OK</v>
      </c>
    </row>
    <row r="464" spans="1:15" ht="12" customHeight="1" x14ac:dyDescent="0.25">
      <c r="A464" s="32" t="s">
        <v>16</v>
      </c>
      <c r="B464" s="32">
        <v>2</v>
      </c>
      <c r="C464" s="32">
        <v>1185157</v>
      </c>
      <c r="D464" s="39">
        <v>46126</v>
      </c>
      <c r="E464" s="32" t="s">
        <v>15</v>
      </c>
      <c r="F464" s="32" t="s">
        <v>40</v>
      </c>
      <c r="G464" s="62" t="str">
        <f t="shared" ref="G464" si="133">G463</f>
        <v>008</v>
      </c>
      <c r="H464" s="38" t="s">
        <v>42</v>
      </c>
      <c r="I464" s="38">
        <v>1</v>
      </c>
      <c r="J464" s="37" t="s">
        <v>36</v>
      </c>
      <c r="K464" s="37">
        <v>39</v>
      </c>
      <c r="L464" s="117">
        <v>0.86</v>
      </c>
      <c r="M464" s="117">
        <v>3.88</v>
      </c>
      <c r="N464" s="29">
        <f t="shared" si="119"/>
        <v>3.02</v>
      </c>
      <c r="O464" s="58" t="str">
        <f t="shared" si="121"/>
        <v>OK</v>
      </c>
    </row>
    <row r="465" spans="1:15" ht="12" customHeight="1" x14ac:dyDescent="0.25">
      <c r="A465" s="32" t="s">
        <v>16</v>
      </c>
      <c r="B465" s="32">
        <v>2</v>
      </c>
      <c r="C465" s="32">
        <v>1185157</v>
      </c>
      <c r="D465" s="39">
        <v>46126</v>
      </c>
      <c r="E465" s="32" t="s">
        <v>15</v>
      </c>
      <c r="F465" s="32" t="s">
        <v>40</v>
      </c>
      <c r="G465" s="62" t="str">
        <f t="shared" ref="G465" si="134">G464</f>
        <v>008</v>
      </c>
      <c r="H465" s="38" t="s">
        <v>42</v>
      </c>
      <c r="I465" s="38">
        <v>1</v>
      </c>
      <c r="J465" s="37" t="s">
        <v>37</v>
      </c>
      <c r="K465" s="37">
        <v>40</v>
      </c>
      <c r="L465" s="117">
        <v>0.44</v>
      </c>
      <c r="M465" s="117">
        <v>2.77</v>
      </c>
      <c r="N465" s="29">
        <f t="shared" si="119"/>
        <v>2.33</v>
      </c>
      <c r="O465" s="58" t="str">
        <f t="shared" si="121"/>
        <v>OK</v>
      </c>
    </row>
    <row r="466" spans="1:15" ht="12" customHeight="1" x14ac:dyDescent="0.25">
      <c r="A466" s="32" t="s">
        <v>16</v>
      </c>
      <c r="B466" s="32">
        <v>2</v>
      </c>
      <c r="C466" s="32">
        <v>1185157</v>
      </c>
      <c r="D466" s="39">
        <v>46126</v>
      </c>
      <c r="E466" s="32" t="s">
        <v>15</v>
      </c>
      <c r="F466" s="32" t="s">
        <v>40</v>
      </c>
      <c r="G466" s="62" t="str">
        <f t="shared" ref="G466" si="135">G465</f>
        <v>008</v>
      </c>
      <c r="H466" s="38" t="s">
        <v>42</v>
      </c>
      <c r="I466" s="38">
        <v>1</v>
      </c>
      <c r="J466" s="37" t="s">
        <v>38</v>
      </c>
      <c r="K466" s="37">
        <v>40</v>
      </c>
      <c r="L466" s="117">
        <v>0.82</v>
      </c>
      <c r="M466" s="117">
        <v>3.2</v>
      </c>
      <c r="N466" s="29">
        <f t="shared" si="119"/>
        <v>2.3800000000000003</v>
      </c>
      <c r="O466" s="58" t="str">
        <f t="shared" si="121"/>
        <v>OK</v>
      </c>
    </row>
    <row r="467" spans="1:15" ht="12" customHeight="1" x14ac:dyDescent="0.25">
      <c r="A467" s="32" t="s">
        <v>16</v>
      </c>
      <c r="B467" s="32">
        <v>2</v>
      </c>
      <c r="C467" s="32">
        <v>1185157</v>
      </c>
      <c r="D467" s="39">
        <v>46126</v>
      </c>
      <c r="E467" s="32" t="s">
        <v>15</v>
      </c>
      <c r="F467" s="32" t="s">
        <v>28</v>
      </c>
      <c r="G467" s="62" t="s">
        <v>58</v>
      </c>
      <c r="H467" s="38" t="s">
        <v>39</v>
      </c>
      <c r="I467" s="38">
        <v>2</v>
      </c>
      <c r="J467" s="37" t="s">
        <v>31</v>
      </c>
      <c r="K467" s="37">
        <v>41</v>
      </c>
      <c r="L467" s="117">
        <v>0.19</v>
      </c>
      <c r="M467" s="117">
        <v>4.6399999999999997</v>
      </c>
      <c r="N467" s="29">
        <f t="shared" si="119"/>
        <v>4.4499999999999993</v>
      </c>
      <c r="O467" s="58" t="str">
        <f t="shared" si="121"/>
        <v>OK</v>
      </c>
    </row>
    <row r="468" spans="1:15" ht="12" customHeight="1" x14ac:dyDescent="0.25">
      <c r="A468" s="32" t="s">
        <v>16</v>
      </c>
      <c r="B468" s="32">
        <v>2</v>
      </c>
      <c r="C468" s="32">
        <v>1185157</v>
      </c>
      <c r="D468" s="39">
        <v>46126</v>
      </c>
      <c r="E468" s="32" t="s">
        <v>15</v>
      </c>
      <c r="F468" s="32" t="s">
        <v>28</v>
      </c>
      <c r="G468" s="62" t="str">
        <f t="shared" ref="G468" si="136">G467</f>
        <v>007</v>
      </c>
      <c r="H468" s="38" t="s">
        <v>39</v>
      </c>
      <c r="I468" s="38">
        <v>2</v>
      </c>
      <c r="J468" s="37" t="s">
        <v>32</v>
      </c>
      <c r="K468" s="37">
        <v>41</v>
      </c>
      <c r="L468" s="117">
        <v>0.24</v>
      </c>
      <c r="M468" s="117">
        <v>4.38</v>
      </c>
      <c r="N468" s="29">
        <f t="shared" si="119"/>
        <v>4.1399999999999997</v>
      </c>
      <c r="O468" s="58" t="str">
        <f t="shared" si="121"/>
        <v>OK</v>
      </c>
    </row>
    <row r="469" spans="1:15" ht="12" customHeight="1" x14ac:dyDescent="0.25">
      <c r="A469" s="32" t="s">
        <v>16</v>
      </c>
      <c r="B469" s="32">
        <v>2</v>
      </c>
      <c r="C469" s="32">
        <v>1185157</v>
      </c>
      <c r="D469" s="39">
        <v>46126</v>
      </c>
      <c r="E469" s="32" t="s">
        <v>15</v>
      </c>
      <c r="F469" s="32" t="s">
        <v>28</v>
      </c>
      <c r="G469" s="62" t="str">
        <f t="shared" ref="G469" si="137">G468</f>
        <v>007</v>
      </c>
      <c r="H469" s="38" t="s">
        <v>39</v>
      </c>
      <c r="I469" s="38">
        <v>2</v>
      </c>
      <c r="J469" s="37" t="s">
        <v>33</v>
      </c>
      <c r="K469" s="37">
        <v>42</v>
      </c>
      <c r="L469" s="117">
        <v>0.19</v>
      </c>
      <c r="M469" s="117">
        <v>4.74</v>
      </c>
      <c r="N469" s="29">
        <f t="shared" si="119"/>
        <v>4.55</v>
      </c>
      <c r="O469" s="58" t="str">
        <f t="shared" si="121"/>
        <v>OK</v>
      </c>
    </row>
    <row r="470" spans="1:15" ht="12" customHeight="1" x14ac:dyDescent="0.25">
      <c r="A470" s="32" t="s">
        <v>16</v>
      </c>
      <c r="B470" s="32">
        <v>2</v>
      </c>
      <c r="C470" s="32">
        <v>1185157</v>
      </c>
      <c r="D470" s="39">
        <v>46126</v>
      </c>
      <c r="E470" s="32" t="s">
        <v>15</v>
      </c>
      <c r="F470" s="32" t="s">
        <v>28</v>
      </c>
      <c r="G470" s="62" t="str">
        <f t="shared" ref="G470" si="138">G469</f>
        <v>007</v>
      </c>
      <c r="H470" s="38" t="s">
        <v>39</v>
      </c>
      <c r="I470" s="38">
        <v>2</v>
      </c>
      <c r="J470" s="37" t="s">
        <v>34</v>
      </c>
      <c r="K470" s="37">
        <v>42</v>
      </c>
      <c r="L470" s="117">
        <v>0.28000000000000003</v>
      </c>
      <c r="M470" s="117">
        <v>4.7300000000000004</v>
      </c>
      <c r="N470" s="29">
        <f t="shared" si="119"/>
        <v>4.45</v>
      </c>
      <c r="O470" s="58" t="str">
        <f t="shared" si="121"/>
        <v>OK</v>
      </c>
    </row>
    <row r="471" spans="1:15" ht="12" customHeight="1" x14ac:dyDescent="0.25">
      <c r="A471" s="32" t="s">
        <v>16</v>
      </c>
      <c r="B471" s="32">
        <v>2</v>
      </c>
      <c r="C471" s="32">
        <v>1185157</v>
      </c>
      <c r="D471" s="39">
        <v>46126</v>
      </c>
      <c r="E471" s="32" t="s">
        <v>15</v>
      </c>
      <c r="F471" s="32" t="s">
        <v>28</v>
      </c>
      <c r="G471" s="62" t="str">
        <f t="shared" ref="G471" si="139">G470</f>
        <v>007</v>
      </c>
      <c r="H471" s="38" t="s">
        <v>39</v>
      </c>
      <c r="I471" s="38">
        <v>1</v>
      </c>
      <c r="J471" s="37" t="s">
        <v>35</v>
      </c>
      <c r="K471" s="37">
        <v>43</v>
      </c>
      <c r="L471" s="117">
        <v>0.22</v>
      </c>
      <c r="M471" s="117">
        <v>4.6500000000000004</v>
      </c>
      <c r="N471" s="29">
        <f t="shared" si="119"/>
        <v>4.4300000000000006</v>
      </c>
      <c r="O471" s="58" t="str">
        <f t="shared" si="121"/>
        <v>OK</v>
      </c>
    </row>
    <row r="472" spans="1:15" ht="12" customHeight="1" x14ac:dyDescent="0.25">
      <c r="A472" s="32" t="s">
        <v>16</v>
      </c>
      <c r="B472" s="32">
        <v>2</v>
      </c>
      <c r="C472" s="32">
        <v>1185157</v>
      </c>
      <c r="D472" s="39">
        <v>46126</v>
      </c>
      <c r="E472" s="32" t="s">
        <v>15</v>
      </c>
      <c r="F472" s="32" t="s">
        <v>28</v>
      </c>
      <c r="G472" s="62" t="str">
        <f t="shared" ref="G472" si="140">G471</f>
        <v>007</v>
      </c>
      <c r="H472" s="38" t="s">
        <v>39</v>
      </c>
      <c r="I472" s="38">
        <v>1</v>
      </c>
      <c r="J472" s="37" t="s">
        <v>36</v>
      </c>
      <c r="K472" s="37">
        <v>43</v>
      </c>
      <c r="L472" s="117">
        <v>0.09</v>
      </c>
      <c r="M472" s="117">
        <v>4.41</v>
      </c>
      <c r="N472" s="29">
        <f t="shared" si="119"/>
        <v>4.32</v>
      </c>
      <c r="O472" s="58" t="str">
        <f t="shared" si="121"/>
        <v>OK</v>
      </c>
    </row>
    <row r="473" spans="1:15" ht="12" customHeight="1" x14ac:dyDescent="0.25">
      <c r="A473" s="32" t="s">
        <v>16</v>
      </c>
      <c r="B473" s="32">
        <v>2</v>
      </c>
      <c r="C473" s="32">
        <v>1185157</v>
      </c>
      <c r="D473" s="39">
        <v>46126</v>
      </c>
      <c r="E473" s="32" t="s">
        <v>15</v>
      </c>
      <c r="F473" s="32" t="s">
        <v>28</v>
      </c>
      <c r="G473" s="62" t="str">
        <f t="shared" ref="G473" si="141">G472</f>
        <v>007</v>
      </c>
      <c r="H473" s="38" t="s">
        <v>39</v>
      </c>
      <c r="I473" s="38">
        <v>1</v>
      </c>
      <c r="J473" s="37" t="s">
        <v>37</v>
      </c>
      <c r="K473" s="37">
        <v>44</v>
      </c>
      <c r="L473" s="117">
        <v>0.15</v>
      </c>
      <c r="M473" s="117">
        <v>4.72</v>
      </c>
      <c r="N473" s="29">
        <f t="shared" si="119"/>
        <v>4.5699999999999994</v>
      </c>
      <c r="O473" s="58" t="str">
        <f t="shared" si="121"/>
        <v>OK</v>
      </c>
    </row>
    <row r="474" spans="1:15" ht="12" customHeight="1" x14ac:dyDescent="0.25">
      <c r="A474" s="32" t="s">
        <v>16</v>
      </c>
      <c r="B474" s="32">
        <v>2</v>
      </c>
      <c r="C474" s="32">
        <v>1185157</v>
      </c>
      <c r="D474" s="39">
        <v>46126</v>
      </c>
      <c r="E474" s="32" t="s">
        <v>15</v>
      </c>
      <c r="F474" s="32" t="s">
        <v>28</v>
      </c>
      <c r="G474" s="62" t="str">
        <f t="shared" ref="G474" si="142">G473</f>
        <v>007</v>
      </c>
      <c r="H474" s="38" t="s">
        <v>39</v>
      </c>
      <c r="I474" s="38">
        <v>1</v>
      </c>
      <c r="J474" s="37" t="s">
        <v>38</v>
      </c>
      <c r="K474" s="37">
        <v>44</v>
      </c>
      <c r="L474" s="117">
        <v>0.14000000000000001</v>
      </c>
      <c r="M474" s="117">
        <v>4.5199999999999996</v>
      </c>
      <c r="N474" s="29">
        <f t="shared" si="119"/>
        <v>4.38</v>
      </c>
      <c r="O474" s="58" t="str">
        <f t="shared" si="121"/>
        <v>OK</v>
      </c>
    </row>
    <row r="475" spans="1:15" ht="12" customHeight="1" x14ac:dyDescent="0.25">
      <c r="A475" s="32" t="s">
        <v>16</v>
      </c>
      <c r="B475" s="32">
        <v>2</v>
      </c>
      <c r="C475" s="32">
        <v>1185157</v>
      </c>
      <c r="D475" s="39">
        <v>46126</v>
      </c>
      <c r="E475" s="32" t="s">
        <v>15</v>
      </c>
      <c r="F475" s="32" t="s">
        <v>28</v>
      </c>
      <c r="G475" s="62" t="str">
        <f t="shared" ref="G475" si="143">G474</f>
        <v>007</v>
      </c>
      <c r="H475" s="38" t="s">
        <v>30</v>
      </c>
      <c r="I475" s="38">
        <v>2</v>
      </c>
      <c r="J475" s="37" t="s">
        <v>31</v>
      </c>
      <c r="K475" s="37">
        <v>45</v>
      </c>
      <c r="L475" s="117">
        <v>0.18</v>
      </c>
      <c r="M475" s="117">
        <v>2.99</v>
      </c>
      <c r="N475" s="29">
        <f t="shared" si="119"/>
        <v>2.81</v>
      </c>
      <c r="O475" s="58" t="str">
        <f t="shared" si="121"/>
        <v>OK</v>
      </c>
    </row>
    <row r="476" spans="1:15" ht="12" customHeight="1" x14ac:dyDescent="0.25">
      <c r="A476" s="32" t="s">
        <v>16</v>
      </c>
      <c r="B476" s="32">
        <v>2</v>
      </c>
      <c r="C476" s="32">
        <v>1185157</v>
      </c>
      <c r="D476" s="39">
        <v>46126</v>
      </c>
      <c r="E476" s="32" t="s">
        <v>15</v>
      </c>
      <c r="F476" s="32" t="s">
        <v>28</v>
      </c>
      <c r="G476" s="62" t="str">
        <f t="shared" ref="G476" si="144">G475</f>
        <v>007</v>
      </c>
      <c r="H476" s="38" t="s">
        <v>30</v>
      </c>
      <c r="I476" s="38">
        <v>2</v>
      </c>
      <c r="J476" s="37" t="s">
        <v>32</v>
      </c>
      <c r="K476" s="37">
        <v>45</v>
      </c>
      <c r="L476" s="117">
        <v>0.54</v>
      </c>
      <c r="M476" s="117">
        <v>4.53</v>
      </c>
      <c r="N476" s="29">
        <f t="shared" si="119"/>
        <v>3.99</v>
      </c>
      <c r="O476" s="58" t="str">
        <f t="shared" si="121"/>
        <v>OK</v>
      </c>
    </row>
    <row r="477" spans="1:15" ht="12" customHeight="1" x14ac:dyDescent="0.25">
      <c r="A477" s="32" t="s">
        <v>16</v>
      </c>
      <c r="B477" s="32">
        <v>2</v>
      </c>
      <c r="C477" s="32">
        <v>1185157</v>
      </c>
      <c r="D477" s="39">
        <v>46126</v>
      </c>
      <c r="E477" s="32" t="s">
        <v>15</v>
      </c>
      <c r="F477" s="32" t="s">
        <v>28</v>
      </c>
      <c r="G477" s="62" t="str">
        <f t="shared" ref="G477" si="145">G476</f>
        <v>007</v>
      </c>
      <c r="H477" s="38" t="s">
        <v>30</v>
      </c>
      <c r="I477" s="38">
        <v>2</v>
      </c>
      <c r="J477" s="37" t="s">
        <v>33</v>
      </c>
      <c r="K477" s="37">
        <v>46</v>
      </c>
      <c r="L477" s="117">
        <v>0.93</v>
      </c>
      <c r="M477" s="117">
        <v>3.05</v>
      </c>
      <c r="N477" s="29">
        <f t="shared" si="119"/>
        <v>2.1199999999999997</v>
      </c>
      <c r="O477" s="58" t="str">
        <f t="shared" si="121"/>
        <v>OK</v>
      </c>
    </row>
    <row r="478" spans="1:15" ht="12" customHeight="1" x14ac:dyDescent="0.25">
      <c r="A478" s="32" t="s">
        <v>16</v>
      </c>
      <c r="B478" s="32">
        <v>2</v>
      </c>
      <c r="C478" s="32">
        <v>1185157</v>
      </c>
      <c r="D478" s="39">
        <v>46126</v>
      </c>
      <c r="E478" s="32" t="s">
        <v>15</v>
      </c>
      <c r="F478" s="32" t="s">
        <v>28</v>
      </c>
      <c r="G478" s="62" t="str">
        <f t="shared" ref="G478" si="146">G477</f>
        <v>007</v>
      </c>
      <c r="H478" s="38" t="s">
        <v>30</v>
      </c>
      <c r="I478" s="38">
        <v>2</v>
      </c>
      <c r="J478" s="37" t="s">
        <v>34</v>
      </c>
      <c r="K478" s="37">
        <v>46</v>
      </c>
      <c r="L478" s="117">
        <v>0.37</v>
      </c>
      <c r="M478" s="117">
        <v>1.45</v>
      </c>
      <c r="N478" s="29">
        <f t="shared" si="119"/>
        <v>1.08</v>
      </c>
      <c r="O478" s="58" t="str">
        <f t="shared" si="121"/>
        <v>OK</v>
      </c>
    </row>
    <row r="479" spans="1:15" ht="12" customHeight="1" x14ac:dyDescent="0.25">
      <c r="A479" s="32" t="s">
        <v>16</v>
      </c>
      <c r="B479" s="32">
        <v>2</v>
      </c>
      <c r="C479" s="32">
        <v>1185157</v>
      </c>
      <c r="D479" s="39">
        <v>46126</v>
      </c>
      <c r="E479" s="32" t="s">
        <v>15</v>
      </c>
      <c r="F479" s="32" t="s">
        <v>28</v>
      </c>
      <c r="G479" s="62" t="str">
        <f t="shared" ref="G479" si="147">G478</f>
        <v>007</v>
      </c>
      <c r="H479" s="38" t="s">
        <v>30</v>
      </c>
      <c r="I479" s="38">
        <v>1</v>
      </c>
      <c r="J479" s="37" t="s">
        <v>35</v>
      </c>
      <c r="K479" s="37">
        <v>47</v>
      </c>
      <c r="L479" s="117">
        <v>0.34</v>
      </c>
      <c r="M479" s="117">
        <v>2.59</v>
      </c>
      <c r="N479" s="29">
        <f t="shared" si="119"/>
        <v>2.25</v>
      </c>
      <c r="O479" s="58" t="str">
        <f t="shared" si="121"/>
        <v>OK</v>
      </c>
    </row>
    <row r="480" spans="1:15" ht="12" customHeight="1" x14ac:dyDescent="0.25">
      <c r="A480" s="32" t="s">
        <v>16</v>
      </c>
      <c r="B480" s="32">
        <v>2</v>
      </c>
      <c r="C480" s="32">
        <v>1185157</v>
      </c>
      <c r="D480" s="39">
        <v>46126</v>
      </c>
      <c r="E480" s="32" t="s">
        <v>15</v>
      </c>
      <c r="F480" s="32" t="s">
        <v>28</v>
      </c>
      <c r="G480" s="62" t="str">
        <f t="shared" ref="G480" si="148">G479</f>
        <v>007</v>
      </c>
      <c r="H480" s="38" t="s">
        <v>30</v>
      </c>
      <c r="I480" s="38">
        <v>1</v>
      </c>
      <c r="J480" s="37" t="s">
        <v>36</v>
      </c>
      <c r="K480" s="37">
        <v>47</v>
      </c>
      <c r="L480" s="117">
        <v>0.47</v>
      </c>
      <c r="M480" s="117">
        <v>2.89</v>
      </c>
      <c r="N480" s="29">
        <f t="shared" si="119"/>
        <v>2.42</v>
      </c>
      <c r="O480" s="58" t="str">
        <f t="shared" si="121"/>
        <v>OK</v>
      </c>
    </row>
    <row r="481" spans="1:15" ht="12" customHeight="1" x14ac:dyDescent="0.25">
      <c r="A481" s="32" t="s">
        <v>16</v>
      </c>
      <c r="B481" s="32">
        <v>2</v>
      </c>
      <c r="C481" s="32">
        <v>1185157</v>
      </c>
      <c r="D481" s="39">
        <v>46126</v>
      </c>
      <c r="E481" s="32" t="s">
        <v>15</v>
      </c>
      <c r="F481" s="32" t="s">
        <v>28</v>
      </c>
      <c r="G481" s="62" t="str">
        <f t="shared" ref="G481" si="149">G480</f>
        <v>007</v>
      </c>
      <c r="H481" s="38" t="s">
        <v>30</v>
      </c>
      <c r="I481" s="38">
        <v>1</v>
      </c>
      <c r="J481" s="37" t="s">
        <v>37</v>
      </c>
      <c r="K481" s="37">
        <v>48</v>
      </c>
      <c r="L481" s="117">
        <v>0.13</v>
      </c>
      <c r="M481" s="117">
        <v>1.65</v>
      </c>
      <c r="N481" s="29">
        <f t="shared" si="119"/>
        <v>1.52</v>
      </c>
      <c r="O481" s="58" t="str">
        <f t="shared" si="121"/>
        <v>OK</v>
      </c>
    </row>
    <row r="482" spans="1:15" ht="12" customHeight="1" x14ac:dyDescent="0.25">
      <c r="A482" s="32" t="s">
        <v>16</v>
      </c>
      <c r="B482" s="32">
        <v>2</v>
      </c>
      <c r="C482" s="32">
        <v>1185157</v>
      </c>
      <c r="D482" s="39">
        <v>46126</v>
      </c>
      <c r="E482" s="32" t="s">
        <v>15</v>
      </c>
      <c r="F482" s="32" t="s">
        <v>28</v>
      </c>
      <c r="G482" s="62" t="str">
        <f t="shared" ref="G482" si="150">G481</f>
        <v>007</v>
      </c>
      <c r="H482" s="38" t="s">
        <v>30</v>
      </c>
      <c r="I482" s="38">
        <v>1</v>
      </c>
      <c r="J482" s="37" t="s">
        <v>38</v>
      </c>
      <c r="K482" s="37">
        <v>48</v>
      </c>
      <c r="L482" s="117">
        <v>0.17</v>
      </c>
      <c r="M482" s="117">
        <v>2.15</v>
      </c>
      <c r="N482" s="29">
        <f t="shared" si="119"/>
        <v>1.98</v>
      </c>
      <c r="O482" s="58" t="str">
        <f t="shared" si="121"/>
        <v>OK</v>
      </c>
    </row>
    <row r="483" spans="1:15" ht="12" customHeight="1" x14ac:dyDescent="0.25">
      <c r="A483" s="32" t="s">
        <v>16</v>
      </c>
      <c r="B483" s="32">
        <v>2</v>
      </c>
      <c r="C483" s="32">
        <v>1190888</v>
      </c>
      <c r="D483" s="39">
        <v>46163</v>
      </c>
      <c r="E483" s="32" t="s">
        <v>15</v>
      </c>
      <c r="F483" s="32" t="s">
        <v>28</v>
      </c>
      <c r="G483" s="62" t="s">
        <v>51</v>
      </c>
      <c r="H483" s="38" t="s">
        <v>30</v>
      </c>
      <c r="I483" s="38">
        <v>1</v>
      </c>
      <c r="J483" s="37" t="s">
        <v>31</v>
      </c>
      <c r="K483" s="37">
        <v>1</v>
      </c>
      <c r="L483" s="117">
        <v>0.33</v>
      </c>
      <c r="M483" s="82">
        <v>2.79</v>
      </c>
      <c r="N483" s="29">
        <f t="shared" ref="N483:N546" si="151">+M483-L483</f>
        <v>2.46</v>
      </c>
      <c r="O483" s="58" t="str">
        <f t="shared" si="121"/>
        <v>OK</v>
      </c>
    </row>
    <row r="484" spans="1:15" ht="12" customHeight="1" x14ac:dyDescent="0.25">
      <c r="A484" s="32" t="s">
        <v>16</v>
      </c>
      <c r="B484" s="32">
        <v>2</v>
      </c>
      <c r="C484" s="32">
        <v>1190888</v>
      </c>
      <c r="D484" s="39">
        <v>46163</v>
      </c>
      <c r="E484" s="32" t="s">
        <v>15</v>
      </c>
      <c r="F484" s="32" t="s">
        <v>28</v>
      </c>
      <c r="G484" s="62" t="s">
        <v>51</v>
      </c>
      <c r="H484" s="38" t="s">
        <v>30</v>
      </c>
      <c r="I484" s="38">
        <v>1</v>
      </c>
      <c r="J484" s="37" t="s">
        <v>32</v>
      </c>
      <c r="K484" s="37">
        <v>1</v>
      </c>
      <c r="L484" s="117">
        <v>0.45</v>
      </c>
      <c r="M484" s="82">
        <v>3.85</v>
      </c>
      <c r="N484" s="29">
        <f t="shared" si="151"/>
        <v>3.4</v>
      </c>
      <c r="O484" s="58" t="str">
        <f t="shared" si="121"/>
        <v>OK</v>
      </c>
    </row>
    <row r="485" spans="1:15" ht="12" customHeight="1" x14ac:dyDescent="0.25">
      <c r="A485" s="32" t="s">
        <v>16</v>
      </c>
      <c r="B485" s="32">
        <v>2</v>
      </c>
      <c r="C485" s="32">
        <v>1190888</v>
      </c>
      <c r="D485" s="39">
        <v>46163</v>
      </c>
      <c r="E485" s="32" t="s">
        <v>15</v>
      </c>
      <c r="F485" s="32" t="s">
        <v>28</v>
      </c>
      <c r="G485" s="62" t="s">
        <v>51</v>
      </c>
      <c r="H485" s="38" t="s">
        <v>30</v>
      </c>
      <c r="I485" s="38">
        <v>1</v>
      </c>
      <c r="J485" s="37" t="s">
        <v>33</v>
      </c>
      <c r="K485" s="37">
        <v>2</v>
      </c>
      <c r="L485" s="117">
        <v>0.67</v>
      </c>
      <c r="M485" s="82">
        <v>3.7</v>
      </c>
      <c r="N485" s="29">
        <f t="shared" si="151"/>
        <v>3.0300000000000002</v>
      </c>
      <c r="O485" s="58" t="str">
        <f t="shared" si="121"/>
        <v>OK</v>
      </c>
    </row>
    <row r="486" spans="1:15" ht="12" customHeight="1" x14ac:dyDescent="0.25">
      <c r="A486" s="32" t="s">
        <v>16</v>
      </c>
      <c r="B486" s="32">
        <v>2</v>
      </c>
      <c r="C486" s="32">
        <v>1190888</v>
      </c>
      <c r="D486" s="39">
        <v>46163</v>
      </c>
      <c r="E486" s="32" t="s">
        <v>15</v>
      </c>
      <c r="F486" s="32" t="s">
        <v>28</v>
      </c>
      <c r="G486" s="62" t="s">
        <v>51</v>
      </c>
      <c r="H486" s="38" t="s">
        <v>30</v>
      </c>
      <c r="I486" s="38">
        <v>1</v>
      </c>
      <c r="J486" s="37" t="s">
        <v>34</v>
      </c>
      <c r="K486" s="37">
        <v>2</v>
      </c>
      <c r="L486" s="117">
        <v>0.2</v>
      </c>
      <c r="M486" s="82">
        <v>2.21</v>
      </c>
      <c r="N486" s="29">
        <f t="shared" si="151"/>
        <v>2.0099999999999998</v>
      </c>
      <c r="O486" s="58" t="str">
        <f t="shared" si="121"/>
        <v>OK</v>
      </c>
    </row>
    <row r="487" spans="1:15" ht="12" customHeight="1" x14ac:dyDescent="0.25">
      <c r="A487" s="32" t="s">
        <v>16</v>
      </c>
      <c r="B487" s="32">
        <v>2</v>
      </c>
      <c r="C487" s="32">
        <v>1190888</v>
      </c>
      <c r="D487" s="39">
        <v>46163</v>
      </c>
      <c r="E487" s="32" t="s">
        <v>15</v>
      </c>
      <c r="F487" s="32" t="s">
        <v>28</v>
      </c>
      <c r="G487" s="62" t="s">
        <v>51</v>
      </c>
      <c r="H487" s="38" t="s">
        <v>30</v>
      </c>
      <c r="I487" s="38">
        <v>2</v>
      </c>
      <c r="J487" s="37" t="s">
        <v>35</v>
      </c>
      <c r="K487" s="37">
        <v>3</v>
      </c>
      <c r="L487" s="117">
        <v>0.89</v>
      </c>
      <c r="M487" s="82">
        <v>2.75</v>
      </c>
      <c r="N487" s="29">
        <f t="shared" si="151"/>
        <v>1.8599999999999999</v>
      </c>
      <c r="O487" s="58" t="str">
        <f t="shared" si="121"/>
        <v>OK</v>
      </c>
    </row>
    <row r="488" spans="1:15" ht="12" customHeight="1" x14ac:dyDescent="0.25">
      <c r="A488" s="32" t="s">
        <v>16</v>
      </c>
      <c r="B488" s="32">
        <v>2</v>
      </c>
      <c r="C488" s="32">
        <v>1190888</v>
      </c>
      <c r="D488" s="39">
        <v>46163</v>
      </c>
      <c r="E488" s="32" t="s">
        <v>15</v>
      </c>
      <c r="F488" s="32" t="s">
        <v>28</v>
      </c>
      <c r="G488" s="62" t="s">
        <v>51</v>
      </c>
      <c r="H488" s="38" t="s">
        <v>30</v>
      </c>
      <c r="I488" s="38">
        <v>2</v>
      </c>
      <c r="J488" s="37" t="s">
        <v>36</v>
      </c>
      <c r="K488" s="37">
        <v>3</v>
      </c>
      <c r="L488" s="117">
        <v>0.45</v>
      </c>
      <c r="M488" s="82">
        <v>3.51</v>
      </c>
      <c r="N488" s="29">
        <f t="shared" si="151"/>
        <v>3.0599999999999996</v>
      </c>
      <c r="O488" s="58" t="str">
        <f t="shared" si="121"/>
        <v>OK</v>
      </c>
    </row>
    <row r="489" spans="1:15" ht="12" customHeight="1" x14ac:dyDescent="0.25">
      <c r="A489" s="32" t="s">
        <v>16</v>
      </c>
      <c r="B489" s="32">
        <v>2</v>
      </c>
      <c r="C489" s="32">
        <v>1190888</v>
      </c>
      <c r="D489" s="39">
        <v>46163</v>
      </c>
      <c r="E489" s="32" t="s">
        <v>15</v>
      </c>
      <c r="F489" s="32" t="s">
        <v>28</v>
      </c>
      <c r="G489" s="62" t="s">
        <v>51</v>
      </c>
      <c r="H489" s="38" t="s">
        <v>30</v>
      </c>
      <c r="I489" s="38">
        <v>2</v>
      </c>
      <c r="J489" s="37" t="s">
        <v>37</v>
      </c>
      <c r="K489" s="37">
        <v>4</v>
      </c>
      <c r="L489" s="117">
        <v>1.07</v>
      </c>
      <c r="M489" s="82">
        <v>3.57</v>
      </c>
      <c r="N489" s="29">
        <f t="shared" si="151"/>
        <v>2.5</v>
      </c>
      <c r="O489" s="58" t="str">
        <f t="shared" si="121"/>
        <v>OK</v>
      </c>
    </row>
    <row r="490" spans="1:15" ht="12" customHeight="1" x14ac:dyDescent="0.25">
      <c r="A490" s="32" t="s">
        <v>16</v>
      </c>
      <c r="B490" s="32">
        <v>2</v>
      </c>
      <c r="C490" s="32">
        <v>1190888</v>
      </c>
      <c r="D490" s="39">
        <v>46163</v>
      </c>
      <c r="E490" s="32" t="s">
        <v>15</v>
      </c>
      <c r="F490" s="32" t="s">
        <v>28</v>
      </c>
      <c r="G490" s="62" t="s">
        <v>51</v>
      </c>
      <c r="H490" s="38" t="s">
        <v>30</v>
      </c>
      <c r="I490" s="38">
        <v>2</v>
      </c>
      <c r="J490" s="37" t="s">
        <v>38</v>
      </c>
      <c r="K490" s="37">
        <v>4</v>
      </c>
      <c r="L490" s="117">
        <v>1.01</v>
      </c>
      <c r="M490" s="82">
        <v>3.94</v>
      </c>
      <c r="N490" s="29">
        <f t="shared" si="151"/>
        <v>2.9299999999999997</v>
      </c>
      <c r="O490" s="58" t="str">
        <f t="shared" si="121"/>
        <v>OK</v>
      </c>
    </row>
    <row r="491" spans="1:15" ht="12" customHeight="1" x14ac:dyDescent="0.25">
      <c r="A491" s="32" t="s">
        <v>16</v>
      </c>
      <c r="B491" s="32">
        <v>2</v>
      </c>
      <c r="C491" s="32">
        <v>1190888</v>
      </c>
      <c r="D491" s="39">
        <v>46163</v>
      </c>
      <c r="E491" s="32" t="s">
        <v>15</v>
      </c>
      <c r="F491" s="32" t="s">
        <v>28</v>
      </c>
      <c r="G491" s="62" t="s">
        <v>51</v>
      </c>
      <c r="H491" s="38" t="s">
        <v>39</v>
      </c>
      <c r="I491" s="38">
        <v>1</v>
      </c>
      <c r="J491" s="37" t="s">
        <v>31</v>
      </c>
      <c r="K491" s="37">
        <v>5</v>
      </c>
      <c r="L491" s="117">
        <v>0.92</v>
      </c>
      <c r="M491" s="82">
        <v>3.9</v>
      </c>
      <c r="N491" s="29">
        <f t="shared" si="151"/>
        <v>2.98</v>
      </c>
      <c r="O491" s="58" t="str">
        <f t="shared" si="121"/>
        <v>OK</v>
      </c>
    </row>
    <row r="492" spans="1:15" ht="12" customHeight="1" x14ac:dyDescent="0.25">
      <c r="A492" s="32" t="s">
        <v>16</v>
      </c>
      <c r="B492" s="32">
        <v>2</v>
      </c>
      <c r="C492" s="32">
        <v>1190888</v>
      </c>
      <c r="D492" s="39">
        <v>46163</v>
      </c>
      <c r="E492" s="32" t="s">
        <v>15</v>
      </c>
      <c r="F492" s="32" t="s">
        <v>28</v>
      </c>
      <c r="G492" s="62" t="s">
        <v>51</v>
      </c>
      <c r="H492" s="38" t="s">
        <v>39</v>
      </c>
      <c r="I492" s="38">
        <v>1</v>
      </c>
      <c r="J492" s="37" t="s">
        <v>32</v>
      </c>
      <c r="K492" s="37">
        <v>5</v>
      </c>
      <c r="L492" s="117">
        <v>1.36</v>
      </c>
      <c r="M492" s="82">
        <v>3.82</v>
      </c>
      <c r="N492" s="29">
        <f t="shared" si="151"/>
        <v>2.46</v>
      </c>
      <c r="O492" s="58" t="str">
        <f t="shared" si="121"/>
        <v>OK</v>
      </c>
    </row>
    <row r="493" spans="1:15" ht="12" customHeight="1" x14ac:dyDescent="0.25">
      <c r="A493" s="32" t="s">
        <v>16</v>
      </c>
      <c r="B493" s="32">
        <v>2</v>
      </c>
      <c r="C493" s="32">
        <v>1190888</v>
      </c>
      <c r="D493" s="39">
        <v>46163</v>
      </c>
      <c r="E493" s="32" t="s">
        <v>15</v>
      </c>
      <c r="F493" s="32" t="s">
        <v>28</v>
      </c>
      <c r="G493" s="62" t="s">
        <v>51</v>
      </c>
      <c r="H493" s="38" t="s">
        <v>39</v>
      </c>
      <c r="I493" s="38">
        <v>1</v>
      </c>
      <c r="J493" s="37" t="s">
        <v>33</v>
      </c>
      <c r="K493" s="37">
        <v>6</v>
      </c>
      <c r="L493" s="117">
        <v>1.18</v>
      </c>
      <c r="M493" s="82">
        <v>4.58</v>
      </c>
      <c r="N493" s="29">
        <f t="shared" si="151"/>
        <v>3.4000000000000004</v>
      </c>
      <c r="O493" s="58" t="str">
        <f t="shared" si="121"/>
        <v>OK</v>
      </c>
    </row>
    <row r="494" spans="1:15" ht="12" customHeight="1" x14ac:dyDescent="0.25">
      <c r="A494" s="32" t="s">
        <v>16</v>
      </c>
      <c r="B494" s="32">
        <v>2</v>
      </c>
      <c r="C494" s="32">
        <v>1190888</v>
      </c>
      <c r="D494" s="39">
        <v>46163</v>
      </c>
      <c r="E494" s="32" t="s">
        <v>15</v>
      </c>
      <c r="F494" s="32" t="s">
        <v>28</v>
      </c>
      <c r="G494" s="62" t="s">
        <v>51</v>
      </c>
      <c r="H494" s="38" t="s">
        <v>39</v>
      </c>
      <c r="I494" s="38">
        <v>1</v>
      </c>
      <c r="J494" s="37" t="s">
        <v>34</v>
      </c>
      <c r="K494" s="37">
        <v>6</v>
      </c>
      <c r="L494" s="117">
        <v>0.66</v>
      </c>
      <c r="M494" s="82">
        <v>2.72</v>
      </c>
      <c r="N494" s="29">
        <f t="shared" si="151"/>
        <v>2.06</v>
      </c>
      <c r="O494" s="58" t="str">
        <f t="shared" si="121"/>
        <v>OK</v>
      </c>
    </row>
    <row r="495" spans="1:15" ht="12" customHeight="1" x14ac:dyDescent="0.25">
      <c r="A495" s="32" t="s">
        <v>16</v>
      </c>
      <c r="B495" s="32">
        <v>2</v>
      </c>
      <c r="C495" s="32">
        <v>1190888</v>
      </c>
      <c r="D495" s="39">
        <v>46163</v>
      </c>
      <c r="E495" s="32" t="s">
        <v>15</v>
      </c>
      <c r="F495" s="32" t="s">
        <v>28</v>
      </c>
      <c r="G495" s="62" t="s">
        <v>51</v>
      </c>
      <c r="H495" s="38" t="s">
        <v>39</v>
      </c>
      <c r="I495" s="38">
        <v>2</v>
      </c>
      <c r="J495" s="37" t="s">
        <v>35</v>
      </c>
      <c r="K495" s="37">
        <v>7</v>
      </c>
      <c r="L495" s="117">
        <v>0.9</v>
      </c>
      <c r="M495" s="82">
        <v>3.76</v>
      </c>
      <c r="N495" s="29">
        <f t="shared" si="151"/>
        <v>2.86</v>
      </c>
      <c r="O495" s="58" t="str">
        <f t="shared" si="121"/>
        <v>OK</v>
      </c>
    </row>
    <row r="496" spans="1:15" ht="12" customHeight="1" x14ac:dyDescent="0.25">
      <c r="A496" s="32" t="s">
        <v>16</v>
      </c>
      <c r="B496" s="32">
        <v>2</v>
      </c>
      <c r="C496" s="32">
        <v>1190888</v>
      </c>
      <c r="D496" s="39">
        <v>46163</v>
      </c>
      <c r="E496" s="32" t="s">
        <v>15</v>
      </c>
      <c r="F496" s="32" t="s">
        <v>28</v>
      </c>
      <c r="G496" s="62" t="s">
        <v>51</v>
      </c>
      <c r="H496" s="38" t="s">
        <v>39</v>
      </c>
      <c r="I496" s="38">
        <v>2</v>
      </c>
      <c r="J496" s="37" t="s">
        <v>36</v>
      </c>
      <c r="K496" s="37">
        <v>7</v>
      </c>
      <c r="L496" s="117">
        <v>0.28999999999999998</v>
      </c>
      <c r="M496" s="82">
        <v>4.49</v>
      </c>
      <c r="N496" s="29">
        <f t="shared" si="151"/>
        <v>4.2</v>
      </c>
      <c r="O496" s="58" t="str">
        <f t="shared" si="121"/>
        <v>OK</v>
      </c>
    </row>
    <row r="497" spans="1:15" ht="12" customHeight="1" x14ac:dyDescent="0.25">
      <c r="A497" s="32" t="s">
        <v>16</v>
      </c>
      <c r="B497" s="32">
        <v>2</v>
      </c>
      <c r="C497" s="32">
        <v>1190888</v>
      </c>
      <c r="D497" s="39">
        <v>46163</v>
      </c>
      <c r="E497" s="32" t="s">
        <v>15</v>
      </c>
      <c r="F497" s="32" t="s">
        <v>28</v>
      </c>
      <c r="G497" s="62" t="s">
        <v>51</v>
      </c>
      <c r="H497" s="38" t="s">
        <v>39</v>
      </c>
      <c r="I497" s="38">
        <v>2</v>
      </c>
      <c r="J497" s="37" t="s">
        <v>37</v>
      </c>
      <c r="K497" s="37">
        <v>8</v>
      </c>
      <c r="L497" s="117">
        <v>0.51</v>
      </c>
      <c r="M497" s="82">
        <v>3.2</v>
      </c>
      <c r="N497" s="29">
        <f t="shared" si="151"/>
        <v>2.6900000000000004</v>
      </c>
      <c r="O497" s="58" t="str">
        <f t="shared" si="121"/>
        <v>OK</v>
      </c>
    </row>
    <row r="498" spans="1:15" ht="12" customHeight="1" x14ac:dyDescent="0.25">
      <c r="A498" s="32" t="s">
        <v>16</v>
      </c>
      <c r="B498" s="32">
        <v>2</v>
      </c>
      <c r="C498" s="32">
        <v>1190888</v>
      </c>
      <c r="D498" s="39">
        <v>46163</v>
      </c>
      <c r="E498" s="32" t="s">
        <v>15</v>
      </c>
      <c r="F498" s="32" t="s">
        <v>28</v>
      </c>
      <c r="G498" s="62" t="s">
        <v>51</v>
      </c>
      <c r="H498" s="38" t="s">
        <v>39</v>
      </c>
      <c r="I498" s="38">
        <v>2</v>
      </c>
      <c r="J498" s="37" t="s">
        <v>38</v>
      </c>
      <c r="K498" s="37">
        <v>8</v>
      </c>
      <c r="L498" s="117">
        <v>1.07</v>
      </c>
      <c r="M498" s="82">
        <v>4.16</v>
      </c>
      <c r="N498" s="29">
        <f t="shared" si="151"/>
        <v>3.09</v>
      </c>
      <c r="O498" s="58" t="str">
        <f t="shared" si="121"/>
        <v>OK</v>
      </c>
    </row>
    <row r="499" spans="1:15" ht="12" customHeight="1" x14ac:dyDescent="0.25">
      <c r="A499" s="32" t="s">
        <v>16</v>
      </c>
      <c r="B499" s="32">
        <v>2</v>
      </c>
      <c r="C499" s="32">
        <v>1190888</v>
      </c>
      <c r="D499" s="39">
        <v>46163</v>
      </c>
      <c r="E499" s="32" t="s">
        <v>15</v>
      </c>
      <c r="F499" s="32" t="s">
        <v>40</v>
      </c>
      <c r="G499" s="62" t="s">
        <v>52</v>
      </c>
      <c r="H499" s="38" t="s">
        <v>42</v>
      </c>
      <c r="I499" s="38">
        <v>1</v>
      </c>
      <c r="J499" s="37" t="s">
        <v>31</v>
      </c>
      <c r="K499" s="37">
        <v>9</v>
      </c>
      <c r="L499" s="117">
        <v>1.18</v>
      </c>
      <c r="M499" s="82">
        <v>3.76</v>
      </c>
      <c r="N499" s="29">
        <f t="shared" si="151"/>
        <v>2.58</v>
      </c>
      <c r="O499" s="58" t="str">
        <f t="shared" si="121"/>
        <v>OK</v>
      </c>
    </row>
    <row r="500" spans="1:15" ht="12" customHeight="1" x14ac:dyDescent="0.25">
      <c r="A500" s="32" t="s">
        <v>16</v>
      </c>
      <c r="B500" s="32">
        <v>2</v>
      </c>
      <c r="C500" s="32">
        <v>1190888</v>
      </c>
      <c r="D500" s="39">
        <v>46163</v>
      </c>
      <c r="E500" s="32" t="s">
        <v>15</v>
      </c>
      <c r="F500" s="32" t="s">
        <v>40</v>
      </c>
      <c r="G500" s="62" t="s">
        <v>52</v>
      </c>
      <c r="H500" s="38" t="s">
        <v>42</v>
      </c>
      <c r="I500" s="38">
        <v>1</v>
      </c>
      <c r="J500" s="37" t="s">
        <v>32</v>
      </c>
      <c r="K500" s="37">
        <v>9</v>
      </c>
      <c r="L500" s="117">
        <v>1</v>
      </c>
      <c r="M500" s="82">
        <v>3.31</v>
      </c>
      <c r="N500" s="29">
        <f t="shared" si="151"/>
        <v>2.31</v>
      </c>
      <c r="O500" s="58" t="str">
        <f t="shared" si="121"/>
        <v>OK</v>
      </c>
    </row>
    <row r="501" spans="1:15" ht="12" customHeight="1" x14ac:dyDescent="0.25">
      <c r="A501" s="32" t="s">
        <v>16</v>
      </c>
      <c r="B501" s="32">
        <v>2</v>
      </c>
      <c r="C501" s="32">
        <v>1190888</v>
      </c>
      <c r="D501" s="39">
        <v>46163</v>
      </c>
      <c r="E501" s="32" t="s">
        <v>15</v>
      </c>
      <c r="F501" s="32" t="s">
        <v>40</v>
      </c>
      <c r="G501" s="62" t="s">
        <v>52</v>
      </c>
      <c r="H501" s="38" t="s">
        <v>42</v>
      </c>
      <c r="I501" s="38">
        <v>1</v>
      </c>
      <c r="J501" s="37" t="s">
        <v>33</v>
      </c>
      <c r="K501" s="37">
        <v>10</v>
      </c>
      <c r="L501" s="117">
        <v>0.69</v>
      </c>
      <c r="M501" s="82">
        <v>3.56</v>
      </c>
      <c r="N501" s="29">
        <f t="shared" si="151"/>
        <v>2.87</v>
      </c>
      <c r="O501" s="58" t="str">
        <f t="shared" si="121"/>
        <v>OK</v>
      </c>
    </row>
    <row r="502" spans="1:15" ht="12" customHeight="1" x14ac:dyDescent="0.25">
      <c r="A502" s="32" t="s">
        <v>16</v>
      </c>
      <c r="B502" s="32">
        <v>2</v>
      </c>
      <c r="C502" s="32">
        <v>1190888</v>
      </c>
      <c r="D502" s="39">
        <v>46163</v>
      </c>
      <c r="E502" s="32" t="s">
        <v>15</v>
      </c>
      <c r="F502" s="32" t="s">
        <v>40</v>
      </c>
      <c r="G502" s="62" t="s">
        <v>52</v>
      </c>
      <c r="H502" s="38" t="s">
        <v>42</v>
      </c>
      <c r="I502" s="38">
        <v>1</v>
      </c>
      <c r="J502" s="37" t="s">
        <v>34</v>
      </c>
      <c r="K502" s="37">
        <v>10</v>
      </c>
      <c r="L502" s="117">
        <v>0.53</v>
      </c>
      <c r="M502" s="82">
        <v>1.3</v>
      </c>
      <c r="N502" s="29">
        <f t="shared" si="151"/>
        <v>0.77</v>
      </c>
      <c r="O502" s="58" t="str">
        <f t="shared" si="121"/>
        <v>Seguimiento</v>
      </c>
    </row>
    <row r="503" spans="1:15" ht="12" customHeight="1" x14ac:dyDescent="0.25">
      <c r="A503" s="32" t="s">
        <v>16</v>
      </c>
      <c r="B503" s="32">
        <v>2</v>
      </c>
      <c r="C503" s="32">
        <v>1190888</v>
      </c>
      <c r="D503" s="39">
        <v>46163</v>
      </c>
      <c r="E503" s="32" t="s">
        <v>15</v>
      </c>
      <c r="F503" s="32" t="s">
        <v>40</v>
      </c>
      <c r="G503" s="62" t="s">
        <v>52</v>
      </c>
      <c r="H503" s="38" t="s">
        <v>42</v>
      </c>
      <c r="I503" s="38">
        <v>2</v>
      </c>
      <c r="J503" s="37" t="s">
        <v>35</v>
      </c>
      <c r="K503" s="37">
        <v>11</v>
      </c>
      <c r="L503" s="117">
        <v>0.22</v>
      </c>
      <c r="M503" s="82">
        <v>3.01</v>
      </c>
      <c r="N503" s="29">
        <f t="shared" si="151"/>
        <v>2.7899999999999996</v>
      </c>
      <c r="O503" s="58" t="str">
        <f t="shared" si="121"/>
        <v>OK</v>
      </c>
    </row>
    <row r="504" spans="1:15" ht="12" customHeight="1" x14ac:dyDescent="0.25">
      <c r="A504" s="32" t="s">
        <v>16</v>
      </c>
      <c r="B504" s="32">
        <v>2</v>
      </c>
      <c r="C504" s="32">
        <v>1190888</v>
      </c>
      <c r="D504" s="39">
        <v>46163</v>
      </c>
      <c r="E504" s="32" t="s">
        <v>15</v>
      </c>
      <c r="F504" s="32" t="s">
        <v>40</v>
      </c>
      <c r="G504" s="62" t="s">
        <v>52</v>
      </c>
      <c r="H504" s="38" t="s">
        <v>42</v>
      </c>
      <c r="I504" s="38">
        <v>2</v>
      </c>
      <c r="J504" s="37" t="s">
        <v>36</v>
      </c>
      <c r="K504" s="37">
        <v>11</v>
      </c>
      <c r="L504" s="117">
        <v>0.2</v>
      </c>
      <c r="M504" s="82">
        <v>2.61</v>
      </c>
      <c r="N504" s="29">
        <f t="shared" si="151"/>
        <v>2.4099999999999997</v>
      </c>
      <c r="O504" s="58" t="str">
        <f t="shared" si="121"/>
        <v>OK</v>
      </c>
    </row>
    <row r="505" spans="1:15" ht="12" customHeight="1" x14ac:dyDescent="0.25">
      <c r="A505" s="32" t="s">
        <v>16</v>
      </c>
      <c r="B505" s="32">
        <v>2</v>
      </c>
      <c r="C505" s="32">
        <v>1190888</v>
      </c>
      <c r="D505" s="39">
        <v>46163</v>
      </c>
      <c r="E505" s="32" t="s">
        <v>15</v>
      </c>
      <c r="F505" s="32" t="s">
        <v>40</v>
      </c>
      <c r="G505" s="62" t="s">
        <v>52</v>
      </c>
      <c r="H505" s="38" t="s">
        <v>42</v>
      </c>
      <c r="I505" s="38">
        <v>2</v>
      </c>
      <c r="J505" s="37" t="s">
        <v>37</v>
      </c>
      <c r="K505" s="37">
        <v>12</v>
      </c>
      <c r="L505" s="117">
        <v>1.21</v>
      </c>
      <c r="M505" s="82">
        <v>3.92</v>
      </c>
      <c r="N505" s="29">
        <f t="shared" si="151"/>
        <v>2.71</v>
      </c>
      <c r="O505" s="58" t="str">
        <f t="shared" si="121"/>
        <v>OK</v>
      </c>
    </row>
    <row r="506" spans="1:15" ht="12" customHeight="1" x14ac:dyDescent="0.25">
      <c r="A506" s="32" t="s">
        <v>16</v>
      </c>
      <c r="B506" s="32">
        <v>2</v>
      </c>
      <c r="C506" s="32">
        <v>1190888</v>
      </c>
      <c r="D506" s="39">
        <v>46163</v>
      </c>
      <c r="E506" s="32" t="s">
        <v>15</v>
      </c>
      <c r="F506" s="32" t="s">
        <v>40</v>
      </c>
      <c r="G506" s="62" t="s">
        <v>52</v>
      </c>
      <c r="H506" s="38" t="s">
        <v>42</v>
      </c>
      <c r="I506" s="38">
        <v>2</v>
      </c>
      <c r="J506" s="37" t="s">
        <v>38</v>
      </c>
      <c r="K506" s="37">
        <v>12</v>
      </c>
      <c r="L506" s="117">
        <v>1.07</v>
      </c>
      <c r="M506" s="82">
        <v>4.17</v>
      </c>
      <c r="N506" s="29">
        <f t="shared" si="151"/>
        <v>3.0999999999999996</v>
      </c>
      <c r="O506" s="58" t="str">
        <f t="shared" si="121"/>
        <v>OK</v>
      </c>
    </row>
    <row r="507" spans="1:15" ht="12" customHeight="1" x14ac:dyDescent="0.25">
      <c r="A507" s="32" t="s">
        <v>16</v>
      </c>
      <c r="B507" s="32">
        <v>2</v>
      </c>
      <c r="C507" s="32">
        <v>1190888</v>
      </c>
      <c r="D507" s="39">
        <v>46163</v>
      </c>
      <c r="E507" s="32" t="s">
        <v>15</v>
      </c>
      <c r="F507" s="32" t="s">
        <v>40</v>
      </c>
      <c r="G507" s="62" t="s">
        <v>52</v>
      </c>
      <c r="H507" s="38" t="s">
        <v>43</v>
      </c>
      <c r="I507" s="38">
        <v>1</v>
      </c>
      <c r="J507" s="37" t="s">
        <v>31</v>
      </c>
      <c r="K507" s="37">
        <v>13</v>
      </c>
      <c r="L507" s="117">
        <v>0.09</v>
      </c>
      <c r="M507" s="82">
        <v>4.87</v>
      </c>
      <c r="N507" s="29">
        <f t="shared" si="151"/>
        <v>4.78</v>
      </c>
      <c r="O507" s="58" t="str">
        <f t="shared" si="121"/>
        <v>OK</v>
      </c>
    </row>
    <row r="508" spans="1:15" ht="12" customHeight="1" x14ac:dyDescent="0.25">
      <c r="A508" s="32" t="s">
        <v>16</v>
      </c>
      <c r="B508" s="32">
        <v>2</v>
      </c>
      <c r="C508" s="32">
        <v>1190888</v>
      </c>
      <c r="D508" s="39">
        <v>46163</v>
      </c>
      <c r="E508" s="32" t="s">
        <v>15</v>
      </c>
      <c r="F508" s="32" t="s">
        <v>40</v>
      </c>
      <c r="G508" s="62" t="s">
        <v>52</v>
      </c>
      <c r="H508" s="38" t="s">
        <v>43</v>
      </c>
      <c r="I508" s="38">
        <v>1</v>
      </c>
      <c r="J508" s="37" t="s">
        <v>32</v>
      </c>
      <c r="K508" s="37">
        <v>13</v>
      </c>
      <c r="L508" s="117">
        <v>0.76</v>
      </c>
      <c r="M508" s="82">
        <v>3.19</v>
      </c>
      <c r="N508" s="29">
        <f t="shared" si="151"/>
        <v>2.4299999999999997</v>
      </c>
      <c r="O508" s="58" t="str">
        <f t="shared" si="121"/>
        <v>OK</v>
      </c>
    </row>
    <row r="509" spans="1:15" ht="12" customHeight="1" x14ac:dyDescent="0.25">
      <c r="A509" s="32" t="s">
        <v>16</v>
      </c>
      <c r="B509" s="32">
        <v>2</v>
      </c>
      <c r="C509" s="32">
        <v>1190888</v>
      </c>
      <c r="D509" s="39">
        <v>46163</v>
      </c>
      <c r="E509" s="32" t="s">
        <v>15</v>
      </c>
      <c r="F509" s="32" t="s">
        <v>40</v>
      </c>
      <c r="G509" s="62" t="s">
        <v>52</v>
      </c>
      <c r="H509" s="38" t="s">
        <v>43</v>
      </c>
      <c r="I509" s="38">
        <v>1</v>
      </c>
      <c r="J509" s="37" t="s">
        <v>33</v>
      </c>
      <c r="K509" s="37">
        <v>14</v>
      </c>
      <c r="L509" s="117">
        <v>1.1100000000000001</v>
      </c>
      <c r="M509" s="82">
        <v>4.22</v>
      </c>
      <c r="N509" s="29">
        <f t="shared" si="151"/>
        <v>3.1099999999999994</v>
      </c>
      <c r="O509" s="58" t="str">
        <f t="shared" si="121"/>
        <v>OK</v>
      </c>
    </row>
    <row r="510" spans="1:15" ht="12" customHeight="1" x14ac:dyDescent="0.25">
      <c r="A510" s="32" t="s">
        <v>16</v>
      </c>
      <c r="B510" s="32">
        <v>2</v>
      </c>
      <c r="C510" s="32">
        <v>1190888</v>
      </c>
      <c r="D510" s="39">
        <v>46163</v>
      </c>
      <c r="E510" s="32" t="s">
        <v>15</v>
      </c>
      <c r="F510" s="32" t="s">
        <v>40</v>
      </c>
      <c r="G510" s="62" t="s">
        <v>52</v>
      </c>
      <c r="H510" s="38" t="s">
        <v>43</v>
      </c>
      <c r="I510" s="38">
        <v>1</v>
      </c>
      <c r="J510" s="37" t="s">
        <v>34</v>
      </c>
      <c r="K510" s="37">
        <v>14</v>
      </c>
      <c r="L510" s="117">
        <v>0.06</v>
      </c>
      <c r="M510" s="82">
        <v>4.3499999999999996</v>
      </c>
      <c r="N510" s="29">
        <f t="shared" si="151"/>
        <v>4.29</v>
      </c>
      <c r="O510" s="58" t="str">
        <f t="shared" si="121"/>
        <v>OK</v>
      </c>
    </row>
    <row r="511" spans="1:15" ht="12" customHeight="1" x14ac:dyDescent="0.25">
      <c r="A511" s="32" t="s">
        <v>16</v>
      </c>
      <c r="B511" s="32">
        <v>2</v>
      </c>
      <c r="C511" s="32">
        <v>1190888</v>
      </c>
      <c r="D511" s="39">
        <v>46163</v>
      </c>
      <c r="E511" s="32" t="s">
        <v>15</v>
      </c>
      <c r="F511" s="32" t="s">
        <v>40</v>
      </c>
      <c r="G511" s="62" t="s">
        <v>52</v>
      </c>
      <c r="H511" s="38" t="s">
        <v>43</v>
      </c>
      <c r="I511" s="38">
        <v>2</v>
      </c>
      <c r="J511" s="37" t="s">
        <v>35</v>
      </c>
      <c r="K511" s="37">
        <v>15</v>
      </c>
      <c r="L511" s="117">
        <v>0.06</v>
      </c>
      <c r="M511" s="82">
        <v>4.97</v>
      </c>
      <c r="N511" s="29">
        <f t="shared" si="151"/>
        <v>4.91</v>
      </c>
      <c r="O511" s="58" t="str">
        <f t="shared" si="121"/>
        <v>OK</v>
      </c>
    </row>
    <row r="512" spans="1:15" ht="12" customHeight="1" x14ac:dyDescent="0.25">
      <c r="A512" s="32" t="s">
        <v>16</v>
      </c>
      <c r="B512" s="32">
        <v>2</v>
      </c>
      <c r="C512" s="32">
        <v>1190888</v>
      </c>
      <c r="D512" s="39">
        <v>46163</v>
      </c>
      <c r="E512" s="32" t="s">
        <v>15</v>
      </c>
      <c r="F512" s="32" t="s">
        <v>40</v>
      </c>
      <c r="G512" s="62" t="s">
        <v>52</v>
      </c>
      <c r="H512" s="38" t="s">
        <v>43</v>
      </c>
      <c r="I512" s="38">
        <v>2</v>
      </c>
      <c r="J512" s="37" t="s">
        <v>36</v>
      </c>
      <c r="K512" s="37">
        <v>15</v>
      </c>
      <c r="L512" s="117">
        <v>1.37</v>
      </c>
      <c r="M512" s="82">
        <v>4.37</v>
      </c>
      <c r="N512" s="29">
        <f t="shared" si="151"/>
        <v>3</v>
      </c>
      <c r="O512" s="58" t="str">
        <f t="shared" si="121"/>
        <v>OK</v>
      </c>
    </row>
    <row r="513" spans="1:15" ht="12" customHeight="1" x14ac:dyDescent="0.25">
      <c r="A513" s="32" t="s">
        <v>16</v>
      </c>
      <c r="B513" s="32">
        <v>2</v>
      </c>
      <c r="C513" s="32">
        <v>1190888</v>
      </c>
      <c r="D513" s="39">
        <v>46163</v>
      </c>
      <c r="E513" s="32" t="s">
        <v>15</v>
      </c>
      <c r="F513" s="32" t="s">
        <v>40</v>
      </c>
      <c r="G513" s="62" t="s">
        <v>52</v>
      </c>
      <c r="H513" s="38" t="s">
        <v>43</v>
      </c>
      <c r="I513" s="38">
        <v>2</v>
      </c>
      <c r="J513" s="37" t="s">
        <v>37</v>
      </c>
      <c r="K513" s="37">
        <v>16</v>
      </c>
      <c r="L513" s="117">
        <v>0.81</v>
      </c>
      <c r="M513" s="82">
        <v>3.69</v>
      </c>
      <c r="N513" s="29">
        <f t="shared" si="151"/>
        <v>2.88</v>
      </c>
      <c r="O513" s="58" t="str">
        <f t="shared" si="121"/>
        <v>OK</v>
      </c>
    </row>
    <row r="514" spans="1:15" ht="12" customHeight="1" x14ac:dyDescent="0.25">
      <c r="A514" s="32" t="s">
        <v>16</v>
      </c>
      <c r="B514" s="32">
        <v>2</v>
      </c>
      <c r="C514" s="32">
        <v>1190888</v>
      </c>
      <c r="D514" s="39">
        <v>46163</v>
      </c>
      <c r="E514" s="32" t="s">
        <v>15</v>
      </c>
      <c r="F514" s="32" t="s">
        <v>40</v>
      </c>
      <c r="G514" s="62" t="s">
        <v>52</v>
      </c>
      <c r="H514" s="38" t="s">
        <v>43</v>
      </c>
      <c r="I514" s="38">
        <v>2</v>
      </c>
      <c r="J514" s="37" t="s">
        <v>38</v>
      </c>
      <c r="K514" s="37">
        <v>16</v>
      </c>
      <c r="L514" s="117">
        <v>0.38</v>
      </c>
      <c r="M514" s="82">
        <v>1.91</v>
      </c>
      <c r="N514" s="29">
        <f t="shared" si="151"/>
        <v>1.5299999999999998</v>
      </c>
      <c r="O514" s="58" t="str">
        <f t="shared" si="121"/>
        <v>OK</v>
      </c>
    </row>
    <row r="515" spans="1:15" ht="12" customHeight="1" x14ac:dyDescent="0.25">
      <c r="A515" s="32" t="s">
        <v>16</v>
      </c>
      <c r="B515" s="32">
        <v>2</v>
      </c>
      <c r="C515" s="32">
        <v>1190888</v>
      </c>
      <c r="D515" s="39">
        <v>46163</v>
      </c>
      <c r="E515" s="32" t="s">
        <v>15</v>
      </c>
      <c r="F515" s="32" t="s">
        <v>44</v>
      </c>
      <c r="G515" s="62" t="s">
        <v>53</v>
      </c>
      <c r="H515" s="38" t="s">
        <v>46</v>
      </c>
      <c r="I515" s="38">
        <v>1</v>
      </c>
      <c r="J515" s="37" t="s">
        <v>31</v>
      </c>
      <c r="K515" s="37">
        <v>17</v>
      </c>
      <c r="L515" s="117">
        <v>0.56000000000000005</v>
      </c>
      <c r="M515" s="82">
        <v>4.2300000000000004</v>
      </c>
      <c r="N515" s="29">
        <f t="shared" si="151"/>
        <v>3.6700000000000004</v>
      </c>
      <c r="O515" s="58" t="str">
        <f t="shared" si="121"/>
        <v>OK</v>
      </c>
    </row>
    <row r="516" spans="1:15" ht="12" customHeight="1" x14ac:dyDescent="0.25">
      <c r="A516" s="32" t="s">
        <v>16</v>
      </c>
      <c r="B516" s="32">
        <v>2</v>
      </c>
      <c r="C516" s="32">
        <v>1190888</v>
      </c>
      <c r="D516" s="39">
        <v>46163</v>
      </c>
      <c r="E516" s="32" t="s">
        <v>15</v>
      </c>
      <c r="F516" s="32" t="s">
        <v>44</v>
      </c>
      <c r="G516" s="62" t="s">
        <v>53</v>
      </c>
      <c r="H516" s="38" t="s">
        <v>46</v>
      </c>
      <c r="I516" s="38">
        <v>1</v>
      </c>
      <c r="J516" s="37" t="s">
        <v>32</v>
      </c>
      <c r="K516" s="37">
        <v>17</v>
      </c>
      <c r="L516" s="117">
        <v>1.17</v>
      </c>
      <c r="M516" s="82">
        <v>4.6500000000000004</v>
      </c>
      <c r="N516" s="29">
        <f t="shared" si="151"/>
        <v>3.4800000000000004</v>
      </c>
      <c r="O516" s="58" t="str">
        <f t="shared" ref="O516:O579" si="152">IF(N516&lt;=0,"Critico",IF(N516&lt;=0.2,"Cambio",IF(N516&lt;=1,"Seguimiento",IF(L516&gt;=1.6,"Reperfilado","OK"))))</f>
        <v>OK</v>
      </c>
    </row>
    <row r="517" spans="1:15" ht="12" customHeight="1" x14ac:dyDescent="0.25">
      <c r="A517" s="32" t="s">
        <v>16</v>
      </c>
      <c r="B517" s="32">
        <v>2</v>
      </c>
      <c r="C517" s="32">
        <v>1190888</v>
      </c>
      <c r="D517" s="39">
        <v>46163</v>
      </c>
      <c r="E517" s="32" t="s">
        <v>15</v>
      </c>
      <c r="F517" s="32" t="s">
        <v>44</v>
      </c>
      <c r="G517" s="62" t="s">
        <v>53</v>
      </c>
      <c r="H517" s="38" t="s">
        <v>46</v>
      </c>
      <c r="I517" s="38">
        <v>1</v>
      </c>
      <c r="J517" s="37" t="s">
        <v>33</v>
      </c>
      <c r="K517" s="37">
        <v>18</v>
      </c>
      <c r="L517" s="117">
        <v>1.51</v>
      </c>
      <c r="M517" s="82">
        <v>4.66</v>
      </c>
      <c r="N517" s="29">
        <f t="shared" si="151"/>
        <v>3.1500000000000004</v>
      </c>
      <c r="O517" s="58" t="str">
        <f t="shared" si="152"/>
        <v>OK</v>
      </c>
    </row>
    <row r="518" spans="1:15" ht="12" customHeight="1" x14ac:dyDescent="0.25">
      <c r="A518" s="32" t="s">
        <v>16</v>
      </c>
      <c r="B518" s="32">
        <v>2</v>
      </c>
      <c r="C518" s="32">
        <v>1190888</v>
      </c>
      <c r="D518" s="39">
        <v>46163</v>
      </c>
      <c r="E518" s="32" t="s">
        <v>15</v>
      </c>
      <c r="F518" s="32" t="s">
        <v>44</v>
      </c>
      <c r="G518" s="62" t="s">
        <v>53</v>
      </c>
      <c r="H518" s="38" t="s">
        <v>46</v>
      </c>
      <c r="I518" s="38">
        <v>1</v>
      </c>
      <c r="J518" s="37" t="s">
        <v>34</v>
      </c>
      <c r="K518" s="37">
        <v>18</v>
      </c>
      <c r="L518" s="117">
        <v>0.9</v>
      </c>
      <c r="M518" s="82">
        <v>4.2300000000000004</v>
      </c>
      <c r="N518" s="29">
        <f t="shared" si="151"/>
        <v>3.3300000000000005</v>
      </c>
      <c r="O518" s="58" t="str">
        <f t="shared" si="152"/>
        <v>OK</v>
      </c>
    </row>
    <row r="519" spans="1:15" ht="12" customHeight="1" x14ac:dyDescent="0.25">
      <c r="A519" s="32" t="s">
        <v>16</v>
      </c>
      <c r="B519" s="32">
        <v>2</v>
      </c>
      <c r="C519" s="32">
        <v>1190888</v>
      </c>
      <c r="D519" s="39">
        <v>46163</v>
      </c>
      <c r="E519" s="32" t="s">
        <v>15</v>
      </c>
      <c r="F519" s="32" t="s">
        <v>44</v>
      </c>
      <c r="G519" s="62" t="s">
        <v>53</v>
      </c>
      <c r="H519" s="38" t="s">
        <v>46</v>
      </c>
      <c r="I519" s="38">
        <v>2</v>
      </c>
      <c r="J519" s="37" t="s">
        <v>35</v>
      </c>
      <c r="K519" s="37">
        <v>19</v>
      </c>
      <c r="L519" s="117">
        <v>0.71</v>
      </c>
      <c r="M519" s="82">
        <v>4.43</v>
      </c>
      <c r="N519" s="29">
        <f t="shared" si="151"/>
        <v>3.7199999999999998</v>
      </c>
      <c r="O519" s="58" t="str">
        <f t="shared" si="152"/>
        <v>OK</v>
      </c>
    </row>
    <row r="520" spans="1:15" ht="12" customHeight="1" x14ac:dyDescent="0.25">
      <c r="A520" s="32" t="s">
        <v>16</v>
      </c>
      <c r="B520" s="32">
        <v>2</v>
      </c>
      <c r="C520" s="32">
        <v>1190888</v>
      </c>
      <c r="D520" s="39">
        <v>46163</v>
      </c>
      <c r="E520" s="32" t="s">
        <v>15</v>
      </c>
      <c r="F520" s="32" t="s">
        <v>44</v>
      </c>
      <c r="G520" s="62" t="s">
        <v>53</v>
      </c>
      <c r="H520" s="38" t="s">
        <v>46</v>
      </c>
      <c r="I520" s="38">
        <v>2</v>
      </c>
      <c r="J520" s="37" t="s">
        <v>36</v>
      </c>
      <c r="K520" s="37">
        <v>19</v>
      </c>
      <c r="L520" s="117">
        <v>1</v>
      </c>
      <c r="M520" s="82">
        <v>4.47</v>
      </c>
      <c r="N520" s="29">
        <f t="shared" si="151"/>
        <v>3.4699999999999998</v>
      </c>
      <c r="O520" s="58" t="str">
        <f t="shared" si="152"/>
        <v>OK</v>
      </c>
    </row>
    <row r="521" spans="1:15" ht="12" customHeight="1" x14ac:dyDescent="0.25">
      <c r="A521" s="32" t="s">
        <v>16</v>
      </c>
      <c r="B521" s="32">
        <v>2</v>
      </c>
      <c r="C521" s="32">
        <v>1190888</v>
      </c>
      <c r="D521" s="39">
        <v>46163</v>
      </c>
      <c r="E521" s="32" t="s">
        <v>15</v>
      </c>
      <c r="F521" s="32" t="s">
        <v>44</v>
      </c>
      <c r="G521" s="62" t="s">
        <v>53</v>
      </c>
      <c r="H521" s="38" t="s">
        <v>46</v>
      </c>
      <c r="I521" s="38">
        <v>2</v>
      </c>
      <c r="J521" s="37" t="s">
        <v>37</v>
      </c>
      <c r="K521" s="37">
        <v>20</v>
      </c>
      <c r="L521" s="117">
        <v>0.3</v>
      </c>
      <c r="M521" s="82">
        <v>1.36</v>
      </c>
      <c r="N521" s="29">
        <f t="shared" si="151"/>
        <v>1.06</v>
      </c>
      <c r="O521" s="58" t="str">
        <f t="shared" si="152"/>
        <v>OK</v>
      </c>
    </row>
    <row r="522" spans="1:15" ht="12" customHeight="1" x14ac:dyDescent="0.25">
      <c r="A522" s="32" t="s">
        <v>16</v>
      </c>
      <c r="B522" s="32">
        <v>2</v>
      </c>
      <c r="C522" s="32">
        <v>1190888</v>
      </c>
      <c r="D522" s="39">
        <v>46163</v>
      </c>
      <c r="E522" s="32" t="s">
        <v>15</v>
      </c>
      <c r="F522" s="32" t="s">
        <v>44</v>
      </c>
      <c r="G522" s="62" t="s">
        <v>53</v>
      </c>
      <c r="H522" s="38" t="s">
        <v>46</v>
      </c>
      <c r="I522" s="38">
        <v>2</v>
      </c>
      <c r="J522" s="37" t="s">
        <v>38</v>
      </c>
      <c r="K522" s="37">
        <v>20</v>
      </c>
      <c r="L522" s="117">
        <v>1.31</v>
      </c>
      <c r="M522" s="82">
        <v>4.4400000000000004</v>
      </c>
      <c r="N522" s="29">
        <f t="shared" si="151"/>
        <v>3.1300000000000003</v>
      </c>
      <c r="O522" s="58" t="str">
        <f t="shared" si="152"/>
        <v>OK</v>
      </c>
    </row>
    <row r="523" spans="1:15" ht="12" customHeight="1" x14ac:dyDescent="0.25">
      <c r="A523" s="32" t="s">
        <v>16</v>
      </c>
      <c r="B523" s="32">
        <v>2</v>
      </c>
      <c r="C523" s="32">
        <v>1190888</v>
      </c>
      <c r="D523" s="39">
        <v>46163</v>
      </c>
      <c r="E523" s="32" t="s">
        <v>15</v>
      </c>
      <c r="F523" s="32" t="s">
        <v>44</v>
      </c>
      <c r="G523" s="62" t="s">
        <v>53</v>
      </c>
      <c r="H523" s="38" t="s">
        <v>47</v>
      </c>
      <c r="I523" s="38">
        <v>1</v>
      </c>
      <c r="J523" s="37" t="s">
        <v>31</v>
      </c>
      <c r="K523" s="37">
        <v>21</v>
      </c>
      <c r="L523" s="117">
        <v>0.09</v>
      </c>
      <c r="M523" s="82">
        <v>1.21</v>
      </c>
      <c r="N523" s="29">
        <f t="shared" si="151"/>
        <v>1.1199999999999999</v>
      </c>
      <c r="O523" s="58" t="str">
        <f t="shared" si="152"/>
        <v>OK</v>
      </c>
    </row>
    <row r="524" spans="1:15" ht="12" customHeight="1" x14ac:dyDescent="0.25">
      <c r="A524" s="32" t="s">
        <v>16</v>
      </c>
      <c r="B524" s="32">
        <v>2</v>
      </c>
      <c r="C524" s="32">
        <v>1190888</v>
      </c>
      <c r="D524" s="39">
        <v>46163</v>
      </c>
      <c r="E524" s="32" t="s">
        <v>15</v>
      </c>
      <c r="F524" s="32" t="s">
        <v>44</v>
      </c>
      <c r="G524" s="62" t="s">
        <v>53</v>
      </c>
      <c r="H524" s="38" t="s">
        <v>47</v>
      </c>
      <c r="I524" s="38">
        <v>1</v>
      </c>
      <c r="J524" s="37" t="s">
        <v>32</v>
      </c>
      <c r="K524" s="37">
        <v>21</v>
      </c>
      <c r="L524" s="117">
        <v>1.41</v>
      </c>
      <c r="M524" s="82">
        <v>4.37</v>
      </c>
      <c r="N524" s="29">
        <f t="shared" si="151"/>
        <v>2.96</v>
      </c>
      <c r="O524" s="58" t="str">
        <f t="shared" si="152"/>
        <v>OK</v>
      </c>
    </row>
    <row r="525" spans="1:15" ht="12" customHeight="1" x14ac:dyDescent="0.25">
      <c r="A525" s="32" t="s">
        <v>16</v>
      </c>
      <c r="B525" s="32">
        <v>2</v>
      </c>
      <c r="C525" s="32">
        <v>1190888</v>
      </c>
      <c r="D525" s="39">
        <v>46163</v>
      </c>
      <c r="E525" s="32" t="s">
        <v>15</v>
      </c>
      <c r="F525" s="32" t="s">
        <v>44</v>
      </c>
      <c r="G525" s="62" t="s">
        <v>53</v>
      </c>
      <c r="H525" s="38" t="s">
        <v>47</v>
      </c>
      <c r="I525" s="38">
        <v>1</v>
      </c>
      <c r="J525" s="37" t="s">
        <v>33</v>
      </c>
      <c r="K525" s="37">
        <v>22</v>
      </c>
      <c r="L525" s="117">
        <v>1.25</v>
      </c>
      <c r="M525" s="82">
        <v>4.21</v>
      </c>
      <c r="N525" s="29">
        <f t="shared" si="151"/>
        <v>2.96</v>
      </c>
      <c r="O525" s="58" t="str">
        <f t="shared" si="152"/>
        <v>OK</v>
      </c>
    </row>
    <row r="526" spans="1:15" ht="12" customHeight="1" x14ac:dyDescent="0.25">
      <c r="A526" s="32" t="s">
        <v>16</v>
      </c>
      <c r="B526" s="32">
        <v>2</v>
      </c>
      <c r="C526" s="32">
        <v>1190888</v>
      </c>
      <c r="D526" s="39">
        <v>46163</v>
      </c>
      <c r="E526" s="32" t="s">
        <v>15</v>
      </c>
      <c r="F526" s="32" t="s">
        <v>44</v>
      </c>
      <c r="G526" s="62" t="s">
        <v>53</v>
      </c>
      <c r="H526" s="38" t="s">
        <v>47</v>
      </c>
      <c r="I526" s="38">
        <v>1</v>
      </c>
      <c r="J526" s="37" t="s">
        <v>34</v>
      </c>
      <c r="K526" s="37">
        <v>22</v>
      </c>
      <c r="L526" s="117">
        <v>1.05</v>
      </c>
      <c r="M526" s="82">
        <v>4.21</v>
      </c>
      <c r="N526" s="29">
        <f t="shared" si="151"/>
        <v>3.16</v>
      </c>
      <c r="O526" s="58" t="str">
        <f t="shared" si="152"/>
        <v>OK</v>
      </c>
    </row>
    <row r="527" spans="1:15" ht="12" customHeight="1" x14ac:dyDescent="0.25">
      <c r="A527" s="32" t="s">
        <v>16</v>
      </c>
      <c r="B527" s="32">
        <v>2</v>
      </c>
      <c r="C527" s="32">
        <v>1190888</v>
      </c>
      <c r="D527" s="39">
        <v>46163</v>
      </c>
      <c r="E527" s="32" t="s">
        <v>15</v>
      </c>
      <c r="F527" s="32" t="s">
        <v>44</v>
      </c>
      <c r="G527" s="62" t="s">
        <v>53</v>
      </c>
      <c r="H527" s="38" t="s">
        <v>47</v>
      </c>
      <c r="I527" s="38">
        <v>2</v>
      </c>
      <c r="J527" s="37" t="s">
        <v>35</v>
      </c>
      <c r="K527" s="37">
        <v>23</v>
      </c>
      <c r="L527" s="117">
        <v>0.38</v>
      </c>
      <c r="M527" s="82">
        <v>4.79</v>
      </c>
      <c r="N527" s="29">
        <f t="shared" si="151"/>
        <v>4.41</v>
      </c>
      <c r="O527" s="58" t="str">
        <f t="shared" si="152"/>
        <v>OK</v>
      </c>
    </row>
    <row r="528" spans="1:15" ht="12" customHeight="1" x14ac:dyDescent="0.25">
      <c r="A528" s="32" t="s">
        <v>16</v>
      </c>
      <c r="B528" s="32">
        <v>2</v>
      </c>
      <c r="C528" s="32">
        <v>1190888</v>
      </c>
      <c r="D528" s="39">
        <v>46163</v>
      </c>
      <c r="E528" s="32" t="s">
        <v>15</v>
      </c>
      <c r="F528" s="32" t="s">
        <v>44</v>
      </c>
      <c r="G528" s="62" t="s">
        <v>53</v>
      </c>
      <c r="H528" s="38" t="s">
        <v>47</v>
      </c>
      <c r="I528" s="38">
        <v>2</v>
      </c>
      <c r="J528" s="37" t="s">
        <v>36</v>
      </c>
      <c r="K528" s="37">
        <v>23</v>
      </c>
      <c r="L528" s="117">
        <v>1.39</v>
      </c>
      <c r="M528" s="82">
        <v>4.6100000000000003</v>
      </c>
      <c r="N528" s="29">
        <f t="shared" si="151"/>
        <v>3.2200000000000006</v>
      </c>
      <c r="O528" s="58" t="str">
        <f t="shared" si="152"/>
        <v>OK</v>
      </c>
    </row>
    <row r="529" spans="1:15" ht="12" customHeight="1" x14ac:dyDescent="0.25">
      <c r="A529" s="32" t="s">
        <v>16</v>
      </c>
      <c r="B529" s="32">
        <v>2</v>
      </c>
      <c r="C529" s="32">
        <v>1190888</v>
      </c>
      <c r="D529" s="39">
        <v>46163</v>
      </c>
      <c r="E529" s="32" t="s">
        <v>15</v>
      </c>
      <c r="F529" s="32" t="s">
        <v>44</v>
      </c>
      <c r="G529" s="62" t="s">
        <v>53</v>
      </c>
      <c r="H529" s="38" t="s">
        <v>47</v>
      </c>
      <c r="I529" s="38">
        <v>2</v>
      </c>
      <c r="J529" s="37" t="s">
        <v>37</v>
      </c>
      <c r="K529" s="37">
        <v>24</v>
      </c>
      <c r="L529" s="117">
        <v>1.76</v>
      </c>
      <c r="M529" s="82">
        <v>4.6100000000000003</v>
      </c>
      <c r="N529" s="29">
        <f t="shared" si="151"/>
        <v>2.8500000000000005</v>
      </c>
      <c r="O529" s="58" t="str">
        <f t="shared" si="152"/>
        <v>Reperfilado</v>
      </c>
    </row>
    <row r="530" spans="1:15" ht="12" customHeight="1" x14ac:dyDescent="0.25">
      <c r="A530" s="32" t="s">
        <v>16</v>
      </c>
      <c r="B530" s="32">
        <v>2</v>
      </c>
      <c r="C530" s="32">
        <v>1190888</v>
      </c>
      <c r="D530" s="39">
        <v>46163</v>
      </c>
      <c r="E530" s="32" t="s">
        <v>15</v>
      </c>
      <c r="F530" s="32" t="s">
        <v>44</v>
      </c>
      <c r="G530" s="62" t="s">
        <v>53</v>
      </c>
      <c r="H530" s="38" t="s">
        <v>47</v>
      </c>
      <c r="I530" s="38">
        <v>2</v>
      </c>
      <c r="J530" s="37" t="s">
        <v>38</v>
      </c>
      <c r="K530" s="37">
        <v>24</v>
      </c>
      <c r="L530" s="117">
        <v>1.37</v>
      </c>
      <c r="M530" s="82">
        <v>3.75</v>
      </c>
      <c r="N530" s="29">
        <f t="shared" si="151"/>
        <v>2.38</v>
      </c>
      <c r="O530" s="58" t="str">
        <f t="shared" si="152"/>
        <v>OK</v>
      </c>
    </row>
    <row r="531" spans="1:15" ht="12" customHeight="1" x14ac:dyDescent="0.25">
      <c r="A531" s="32" t="s">
        <v>16</v>
      </c>
      <c r="B531" s="32">
        <v>2</v>
      </c>
      <c r="C531" s="32">
        <v>1190888</v>
      </c>
      <c r="D531" s="39">
        <v>46163</v>
      </c>
      <c r="E531" s="32" t="s">
        <v>15</v>
      </c>
      <c r="F531" s="32" t="s">
        <v>44</v>
      </c>
      <c r="G531" s="62" t="s">
        <v>54</v>
      </c>
      <c r="H531" s="38" t="s">
        <v>47</v>
      </c>
      <c r="I531" s="38">
        <v>2</v>
      </c>
      <c r="J531" s="37" t="s">
        <v>31</v>
      </c>
      <c r="K531" s="37">
        <v>25</v>
      </c>
      <c r="L531" s="117">
        <v>1.28</v>
      </c>
      <c r="M531" s="82">
        <v>4.33</v>
      </c>
      <c r="N531" s="29">
        <f t="shared" si="151"/>
        <v>3.05</v>
      </c>
      <c r="O531" s="58" t="str">
        <f t="shared" si="152"/>
        <v>OK</v>
      </c>
    </row>
    <row r="532" spans="1:15" ht="12" customHeight="1" x14ac:dyDescent="0.25">
      <c r="A532" s="32" t="s">
        <v>16</v>
      </c>
      <c r="B532" s="32">
        <v>2</v>
      </c>
      <c r="C532" s="32">
        <v>1190888</v>
      </c>
      <c r="D532" s="39">
        <v>46163</v>
      </c>
      <c r="E532" s="32" t="s">
        <v>15</v>
      </c>
      <c r="F532" s="32" t="s">
        <v>44</v>
      </c>
      <c r="G532" s="62" t="s">
        <v>54</v>
      </c>
      <c r="H532" s="38" t="s">
        <v>47</v>
      </c>
      <c r="I532" s="38">
        <v>2</v>
      </c>
      <c r="J532" s="37" t="s">
        <v>32</v>
      </c>
      <c r="K532" s="37">
        <v>25</v>
      </c>
      <c r="L532" s="117">
        <v>0.24</v>
      </c>
      <c r="M532" s="82">
        <v>0.48</v>
      </c>
      <c r="N532" s="29">
        <f t="shared" si="151"/>
        <v>0.24</v>
      </c>
      <c r="O532" s="58" t="str">
        <f t="shared" si="152"/>
        <v>Seguimiento</v>
      </c>
    </row>
    <row r="533" spans="1:15" ht="12" customHeight="1" x14ac:dyDescent="0.25">
      <c r="A533" s="32" t="s">
        <v>16</v>
      </c>
      <c r="B533" s="32">
        <v>2</v>
      </c>
      <c r="C533" s="32">
        <v>1190888</v>
      </c>
      <c r="D533" s="39">
        <v>46163</v>
      </c>
      <c r="E533" s="32" t="s">
        <v>15</v>
      </c>
      <c r="F533" s="32" t="s">
        <v>44</v>
      </c>
      <c r="G533" s="62" t="s">
        <v>54</v>
      </c>
      <c r="H533" s="38" t="s">
        <v>47</v>
      </c>
      <c r="I533" s="38">
        <v>2</v>
      </c>
      <c r="J533" s="37" t="s">
        <v>33</v>
      </c>
      <c r="K533" s="37">
        <v>26</v>
      </c>
      <c r="L533" s="117">
        <v>0.11</v>
      </c>
      <c r="M533" s="82">
        <v>5.12</v>
      </c>
      <c r="N533" s="29">
        <f t="shared" si="151"/>
        <v>5.01</v>
      </c>
      <c r="O533" s="58" t="str">
        <f t="shared" si="152"/>
        <v>OK</v>
      </c>
    </row>
    <row r="534" spans="1:15" ht="12" customHeight="1" x14ac:dyDescent="0.25">
      <c r="A534" s="32" t="s">
        <v>16</v>
      </c>
      <c r="B534" s="32">
        <v>2</v>
      </c>
      <c r="C534" s="32">
        <v>1190888</v>
      </c>
      <c r="D534" s="39">
        <v>46163</v>
      </c>
      <c r="E534" s="32" t="s">
        <v>15</v>
      </c>
      <c r="F534" s="32" t="s">
        <v>44</v>
      </c>
      <c r="G534" s="62" t="s">
        <v>54</v>
      </c>
      <c r="H534" s="38" t="s">
        <v>47</v>
      </c>
      <c r="I534" s="38">
        <v>2</v>
      </c>
      <c r="J534" s="37" t="s">
        <v>34</v>
      </c>
      <c r="K534" s="37">
        <v>26</v>
      </c>
      <c r="L534" s="117">
        <v>0.1</v>
      </c>
      <c r="M534" s="82">
        <v>5.07</v>
      </c>
      <c r="N534" s="29">
        <f t="shared" si="151"/>
        <v>4.9700000000000006</v>
      </c>
      <c r="O534" s="58" t="str">
        <f t="shared" si="152"/>
        <v>OK</v>
      </c>
    </row>
    <row r="535" spans="1:15" ht="12" customHeight="1" x14ac:dyDescent="0.25">
      <c r="A535" s="32" t="s">
        <v>16</v>
      </c>
      <c r="B535" s="32">
        <v>2</v>
      </c>
      <c r="C535" s="32">
        <v>1190888</v>
      </c>
      <c r="D535" s="39">
        <v>46163</v>
      </c>
      <c r="E535" s="32" t="s">
        <v>15</v>
      </c>
      <c r="F535" s="32" t="s">
        <v>44</v>
      </c>
      <c r="G535" s="62" t="s">
        <v>54</v>
      </c>
      <c r="H535" s="38" t="s">
        <v>47</v>
      </c>
      <c r="I535" s="38">
        <v>1</v>
      </c>
      <c r="J535" s="37" t="s">
        <v>35</v>
      </c>
      <c r="K535" s="37">
        <v>27</v>
      </c>
      <c r="L535" s="117">
        <v>0.68</v>
      </c>
      <c r="M535" s="82">
        <v>4.24</v>
      </c>
      <c r="N535" s="29">
        <f t="shared" si="151"/>
        <v>3.56</v>
      </c>
      <c r="O535" s="58" t="str">
        <f t="shared" si="152"/>
        <v>OK</v>
      </c>
    </row>
    <row r="536" spans="1:15" ht="12" customHeight="1" x14ac:dyDescent="0.25">
      <c r="A536" s="32" t="s">
        <v>16</v>
      </c>
      <c r="B536" s="32">
        <v>2</v>
      </c>
      <c r="C536" s="32">
        <v>1190888</v>
      </c>
      <c r="D536" s="39">
        <v>46163</v>
      </c>
      <c r="E536" s="32" t="s">
        <v>15</v>
      </c>
      <c r="F536" s="32" t="s">
        <v>44</v>
      </c>
      <c r="G536" s="62" t="s">
        <v>54</v>
      </c>
      <c r="H536" s="38" t="s">
        <v>47</v>
      </c>
      <c r="I536" s="38">
        <v>1</v>
      </c>
      <c r="J536" s="37" t="s">
        <v>36</v>
      </c>
      <c r="K536" s="37">
        <v>27</v>
      </c>
      <c r="L536" s="117">
        <v>0.51</v>
      </c>
      <c r="M536" s="82">
        <v>2.57</v>
      </c>
      <c r="N536" s="29">
        <f t="shared" si="151"/>
        <v>2.0599999999999996</v>
      </c>
      <c r="O536" s="58" t="str">
        <f t="shared" si="152"/>
        <v>OK</v>
      </c>
    </row>
    <row r="537" spans="1:15" ht="12" customHeight="1" x14ac:dyDescent="0.25">
      <c r="A537" s="32" t="s">
        <v>16</v>
      </c>
      <c r="B537" s="32">
        <v>2</v>
      </c>
      <c r="C537" s="32">
        <v>1190888</v>
      </c>
      <c r="D537" s="39">
        <v>46163</v>
      </c>
      <c r="E537" s="32" t="s">
        <v>15</v>
      </c>
      <c r="F537" s="32" t="s">
        <v>44</v>
      </c>
      <c r="G537" s="62" t="s">
        <v>54</v>
      </c>
      <c r="H537" s="38" t="s">
        <v>47</v>
      </c>
      <c r="I537" s="38">
        <v>1</v>
      </c>
      <c r="J537" s="37" t="s">
        <v>37</v>
      </c>
      <c r="K537" s="37">
        <v>28</v>
      </c>
      <c r="L537" s="117">
        <v>1.24</v>
      </c>
      <c r="M537" s="82">
        <v>2.5499999999999998</v>
      </c>
      <c r="N537" s="29">
        <f t="shared" si="151"/>
        <v>1.3099999999999998</v>
      </c>
      <c r="O537" s="58" t="str">
        <f t="shared" si="152"/>
        <v>OK</v>
      </c>
    </row>
    <row r="538" spans="1:15" ht="12" customHeight="1" x14ac:dyDescent="0.25">
      <c r="A538" s="32" t="s">
        <v>16</v>
      </c>
      <c r="B538" s="32">
        <v>2</v>
      </c>
      <c r="C538" s="32">
        <v>1190888</v>
      </c>
      <c r="D538" s="39">
        <v>46163</v>
      </c>
      <c r="E538" s="32" t="s">
        <v>15</v>
      </c>
      <c r="F538" s="32" t="s">
        <v>44</v>
      </c>
      <c r="G538" s="62" t="s">
        <v>54</v>
      </c>
      <c r="H538" s="38" t="s">
        <v>47</v>
      </c>
      <c r="I538" s="38">
        <v>1</v>
      </c>
      <c r="J538" s="37" t="s">
        <v>38</v>
      </c>
      <c r="K538" s="37">
        <v>28</v>
      </c>
      <c r="L538" s="117">
        <v>0.51</v>
      </c>
      <c r="M538" s="82">
        <v>1.71</v>
      </c>
      <c r="N538" s="29">
        <f t="shared" si="151"/>
        <v>1.2</v>
      </c>
      <c r="O538" s="58" t="str">
        <f t="shared" si="152"/>
        <v>OK</v>
      </c>
    </row>
    <row r="539" spans="1:15" ht="12" customHeight="1" x14ac:dyDescent="0.25">
      <c r="A539" s="32" t="s">
        <v>16</v>
      </c>
      <c r="B539" s="32">
        <v>2</v>
      </c>
      <c r="C539" s="32">
        <v>1190888</v>
      </c>
      <c r="D539" s="39">
        <v>46163</v>
      </c>
      <c r="E539" s="32" t="s">
        <v>15</v>
      </c>
      <c r="F539" s="32" t="s">
        <v>44</v>
      </c>
      <c r="G539" s="62" t="s">
        <v>54</v>
      </c>
      <c r="H539" s="38" t="s">
        <v>46</v>
      </c>
      <c r="I539" s="38">
        <v>2</v>
      </c>
      <c r="J539" s="37" t="s">
        <v>31</v>
      </c>
      <c r="K539" s="37">
        <v>29</v>
      </c>
      <c r="L539" s="117">
        <v>0.7</v>
      </c>
      <c r="M539" s="82">
        <v>4.6399999999999997</v>
      </c>
      <c r="N539" s="29">
        <f t="shared" si="151"/>
        <v>3.9399999999999995</v>
      </c>
      <c r="O539" s="58" t="str">
        <f t="shared" si="152"/>
        <v>OK</v>
      </c>
    </row>
    <row r="540" spans="1:15" ht="12" customHeight="1" x14ac:dyDescent="0.25">
      <c r="A540" s="32" t="s">
        <v>16</v>
      </c>
      <c r="B540" s="32">
        <v>2</v>
      </c>
      <c r="C540" s="32">
        <v>1190888</v>
      </c>
      <c r="D540" s="39">
        <v>46163</v>
      </c>
      <c r="E540" s="32" t="s">
        <v>15</v>
      </c>
      <c r="F540" s="32" t="s">
        <v>44</v>
      </c>
      <c r="G540" s="62" t="s">
        <v>54</v>
      </c>
      <c r="H540" s="38" t="s">
        <v>46</v>
      </c>
      <c r="I540" s="38">
        <v>2</v>
      </c>
      <c r="J540" s="37" t="s">
        <v>32</v>
      </c>
      <c r="K540" s="37">
        <v>29</v>
      </c>
      <c r="L540" s="117">
        <v>1.34</v>
      </c>
      <c r="M540" s="82">
        <v>4.0599999999999996</v>
      </c>
      <c r="N540" s="29">
        <f t="shared" si="151"/>
        <v>2.7199999999999998</v>
      </c>
      <c r="O540" s="58" t="str">
        <f t="shared" si="152"/>
        <v>OK</v>
      </c>
    </row>
    <row r="541" spans="1:15" ht="12" customHeight="1" x14ac:dyDescent="0.25">
      <c r="A541" s="32" t="s">
        <v>16</v>
      </c>
      <c r="B541" s="32">
        <v>2</v>
      </c>
      <c r="C541" s="32">
        <v>1190888</v>
      </c>
      <c r="D541" s="39">
        <v>46163</v>
      </c>
      <c r="E541" s="32" t="s">
        <v>15</v>
      </c>
      <c r="F541" s="32" t="s">
        <v>44</v>
      </c>
      <c r="G541" s="62" t="s">
        <v>54</v>
      </c>
      <c r="H541" s="38" t="s">
        <v>46</v>
      </c>
      <c r="I541" s="38">
        <v>2</v>
      </c>
      <c r="J541" s="37" t="s">
        <v>33</v>
      </c>
      <c r="K541" s="37">
        <v>30</v>
      </c>
      <c r="L541" s="117">
        <v>0.91</v>
      </c>
      <c r="M541" s="82">
        <v>4.6100000000000003</v>
      </c>
      <c r="N541" s="29">
        <f t="shared" si="151"/>
        <v>3.7</v>
      </c>
      <c r="O541" s="58" t="str">
        <f t="shared" si="152"/>
        <v>OK</v>
      </c>
    </row>
    <row r="542" spans="1:15" ht="12" customHeight="1" x14ac:dyDescent="0.25">
      <c r="A542" s="32" t="s">
        <v>16</v>
      </c>
      <c r="B542" s="32">
        <v>2</v>
      </c>
      <c r="C542" s="32">
        <v>1190888</v>
      </c>
      <c r="D542" s="39">
        <v>46163</v>
      </c>
      <c r="E542" s="32" t="s">
        <v>15</v>
      </c>
      <c r="F542" s="32" t="s">
        <v>44</v>
      </c>
      <c r="G542" s="62" t="s">
        <v>54</v>
      </c>
      <c r="H542" s="38" t="s">
        <v>46</v>
      </c>
      <c r="I542" s="38">
        <v>2</v>
      </c>
      <c r="J542" s="37" t="s">
        <v>34</v>
      </c>
      <c r="K542" s="37">
        <v>30</v>
      </c>
      <c r="L542" s="117">
        <v>0.49</v>
      </c>
      <c r="M542" s="82">
        <v>2.5499999999999998</v>
      </c>
      <c r="N542" s="29">
        <f t="shared" si="151"/>
        <v>2.0599999999999996</v>
      </c>
      <c r="O542" s="58" t="str">
        <f t="shared" si="152"/>
        <v>OK</v>
      </c>
    </row>
    <row r="543" spans="1:15" ht="12" customHeight="1" x14ac:dyDescent="0.25">
      <c r="A543" s="32" t="s">
        <v>16</v>
      </c>
      <c r="B543" s="32">
        <v>2</v>
      </c>
      <c r="C543" s="32">
        <v>1190888</v>
      </c>
      <c r="D543" s="39">
        <v>46163</v>
      </c>
      <c r="E543" s="32" t="s">
        <v>15</v>
      </c>
      <c r="F543" s="32" t="s">
        <v>44</v>
      </c>
      <c r="G543" s="62" t="s">
        <v>54</v>
      </c>
      <c r="H543" s="38" t="s">
        <v>46</v>
      </c>
      <c r="I543" s="38">
        <v>1</v>
      </c>
      <c r="J543" s="37" t="s">
        <v>35</v>
      </c>
      <c r="K543" s="37">
        <v>31</v>
      </c>
      <c r="L543" s="117">
        <v>1.1499999999999999</v>
      </c>
      <c r="M543" s="82">
        <v>4.54</v>
      </c>
      <c r="N543" s="29">
        <f t="shared" si="151"/>
        <v>3.39</v>
      </c>
      <c r="O543" s="58" t="str">
        <f t="shared" si="152"/>
        <v>OK</v>
      </c>
    </row>
    <row r="544" spans="1:15" ht="12" customHeight="1" x14ac:dyDescent="0.25">
      <c r="A544" s="32" t="s">
        <v>16</v>
      </c>
      <c r="B544" s="32">
        <v>2</v>
      </c>
      <c r="C544" s="32">
        <v>1190888</v>
      </c>
      <c r="D544" s="39">
        <v>46163</v>
      </c>
      <c r="E544" s="32" t="s">
        <v>15</v>
      </c>
      <c r="F544" s="32" t="s">
        <v>44</v>
      </c>
      <c r="G544" s="62" t="s">
        <v>54</v>
      </c>
      <c r="H544" s="38" t="s">
        <v>46</v>
      </c>
      <c r="I544" s="38">
        <v>1</v>
      </c>
      <c r="J544" s="37" t="s">
        <v>36</v>
      </c>
      <c r="K544" s="37">
        <v>31</v>
      </c>
      <c r="L544" s="117">
        <v>0.09</v>
      </c>
      <c r="M544" s="82">
        <v>5.07</v>
      </c>
      <c r="N544" s="29">
        <f t="shared" si="151"/>
        <v>4.9800000000000004</v>
      </c>
      <c r="O544" s="58" t="str">
        <f t="shared" si="152"/>
        <v>OK</v>
      </c>
    </row>
    <row r="545" spans="1:15" ht="12" customHeight="1" x14ac:dyDescent="0.25">
      <c r="A545" s="32" t="s">
        <v>16</v>
      </c>
      <c r="B545" s="32">
        <v>2</v>
      </c>
      <c r="C545" s="32">
        <v>1190888</v>
      </c>
      <c r="D545" s="39">
        <v>46163</v>
      </c>
      <c r="E545" s="32" t="s">
        <v>15</v>
      </c>
      <c r="F545" s="32" t="s">
        <v>44</v>
      </c>
      <c r="G545" s="62" t="s">
        <v>54</v>
      </c>
      <c r="H545" s="38" t="s">
        <v>46</v>
      </c>
      <c r="I545" s="38">
        <v>1</v>
      </c>
      <c r="J545" s="37" t="s">
        <v>37</v>
      </c>
      <c r="K545" s="37">
        <v>32</v>
      </c>
      <c r="L545" s="117">
        <v>0.74</v>
      </c>
      <c r="M545" s="82">
        <v>4.57</v>
      </c>
      <c r="N545" s="29">
        <f t="shared" si="151"/>
        <v>3.83</v>
      </c>
      <c r="O545" s="58" t="str">
        <f t="shared" si="152"/>
        <v>OK</v>
      </c>
    </row>
    <row r="546" spans="1:15" ht="12" customHeight="1" x14ac:dyDescent="0.25">
      <c r="A546" s="32" t="s">
        <v>16</v>
      </c>
      <c r="B546" s="32">
        <v>2</v>
      </c>
      <c r="C546" s="32">
        <v>1190888</v>
      </c>
      <c r="D546" s="39">
        <v>46163</v>
      </c>
      <c r="E546" s="32" t="s">
        <v>15</v>
      </c>
      <c r="F546" s="32" t="s">
        <v>44</v>
      </c>
      <c r="G546" s="62" t="s">
        <v>54</v>
      </c>
      <c r="H546" s="38" t="s">
        <v>46</v>
      </c>
      <c r="I546" s="38">
        <v>1</v>
      </c>
      <c r="J546" s="37" t="s">
        <v>38</v>
      </c>
      <c r="K546" s="37">
        <v>32</v>
      </c>
      <c r="L546" s="117">
        <v>1.45</v>
      </c>
      <c r="M546" s="82">
        <v>3.96</v>
      </c>
      <c r="N546" s="29">
        <f t="shared" si="151"/>
        <v>2.5099999999999998</v>
      </c>
      <c r="O546" s="58" t="str">
        <f t="shared" si="152"/>
        <v>OK</v>
      </c>
    </row>
    <row r="547" spans="1:15" ht="12" customHeight="1" x14ac:dyDescent="0.25">
      <c r="A547" s="32" t="s">
        <v>16</v>
      </c>
      <c r="B547" s="32">
        <v>2</v>
      </c>
      <c r="C547" s="32">
        <v>1190888</v>
      </c>
      <c r="D547" s="39">
        <v>46163</v>
      </c>
      <c r="E547" s="32" t="s">
        <v>15</v>
      </c>
      <c r="F547" s="32" t="s">
        <v>40</v>
      </c>
      <c r="G547" s="62" t="s">
        <v>57</v>
      </c>
      <c r="H547" s="38" t="s">
        <v>43</v>
      </c>
      <c r="I547" s="38">
        <v>2</v>
      </c>
      <c r="J547" s="37" t="s">
        <v>31</v>
      </c>
      <c r="K547" s="37">
        <v>33</v>
      </c>
      <c r="L547" s="117">
        <v>0.09</v>
      </c>
      <c r="M547" s="82">
        <v>5.01</v>
      </c>
      <c r="N547" s="29">
        <f t="shared" ref="N547:N579" si="153">+M547-L547</f>
        <v>4.92</v>
      </c>
      <c r="O547" s="58" t="str">
        <f t="shared" si="152"/>
        <v>OK</v>
      </c>
    </row>
    <row r="548" spans="1:15" ht="12" customHeight="1" x14ac:dyDescent="0.25">
      <c r="A548" s="32" t="s">
        <v>16</v>
      </c>
      <c r="B548" s="32">
        <v>2</v>
      </c>
      <c r="C548" s="32">
        <v>1190888</v>
      </c>
      <c r="D548" s="39">
        <v>46163</v>
      </c>
      <c r="E548" s="32" t="s">
        <v>15</v>
      </c>
      <c r="F548" s="32" t="s">
        <v>40</v>
      </c>
      <c r="G548" s="62" t="str">
        <f t="shared" ref="G548:G562" si="154">G547</f>
        <v>008</v>
      </c>
      <c r="H548" s="38" t="s">
        <v>43</v>
      </c>
      <c r="I548" s="38">
        <v>2</v>
      </c>
      <c r="J548" s="37" t="s">
        <v>32</v>
      </c>
      <c r="K548" s="37">
        <v>33</v>
      </c>
      <c r="L548" s="117">
        <v>0.04</v>
      </c>
      <c r="M548" s="82">
        <v>5.05</v>
      </c>
      <c r="N548" s="29">
        <f t="shared" si="153"/>
        <v>5.01</v>
      </c>
      <c r="O548" s="58" t="str">
        <f t="shared" si="152"/>
        <v>OK</v>
      </c>
    </row>
    <row r="549" spans="1:15" ht="12" customHeight="1" x14ac:dyDescent="0.25">
      <c r="A549" s="32" t="s">
        <v>16</v>
      </c>
      <c r="B549" s="32">
        <v>2</v>
      </c>
      <c r="C549" s="32">
        <v>1190888</v>
      </c>
      <c r="D549" s="39">
        <v>46163</v>
      </c>
      <c r="E549" s="32" t="s">
        <v>15</v>
      </c>
      <c r="F549" s="32" t="s">
        <v>40</v>
      </c>
      <c r="G549" s="62" t="str">
        <f t="shared" si="154"/>
        <v>008</v>
      </c>
      <c r="H549" s="38" t="s">
        <v>43</v>
      </c>
      <c r="I549" s="38">
        <v>2</v>
      </c>
      <c r="J549" s="37" t="s">
        <v>33</v>
      </c>
      <c r="K549" s="37">
        <v>34</v>
      </c>
      <c r="L549" s="117">
        <v>0.05</v>
      </c>
      <c r="M549" s="82">
        <v>5.0199999999999996</v>
      </c>
      <c r="N549" s="29">
        <f t="shared" si="153"/>
        <v>4.97</v>
      </c>
      <c r="O549" s="58" t="str">
        <f t="shared" si="152"/>
        <v>OK</v>
      </c>
    </row>
    <row r="550" spans="1:15" ht="12" customHeight="1" x14ac:dyDescent="0.25">
      <c r="A550" s="32" t="s">
        <v>16</v>
      </c>
      <c r="B550" s="32">
        <v>2</v>
      </c>
      <c r="C550" s="32">
        <v>1190888</v>
      </c>
      <c r="D550" s="39">
        <v>46163</v>
      </c>
      <c r="E550" s="32" t="s">
        <v>15</v>
      </c>
      <c r="F550" s="32" t="s">
        <v>40</v>
      </c>
      <c r="G550" s="62" t="str">
        <f t="shared" si="154"/>
        <v>008</v>
      </c>
      <c r="H550" s="38" t="s">
        <v>43</v>
      </c>
      <c r="I550" s="38">
        <v>2</v>
      </c>
      <c r="J550" s="37" t="s">
        <v>34</v>
      </c>
      <c r="K550" s="37">
        <v>34</v>
      </c>
      <c r="L550" s="117">
        <v>0.05</v>
      </c>
      <c r="M550" s="82">
        <v>5.03</v>
      </c>
      <c r="N550" s="29">
        <f t="shared" si="153"/>
        <v>4.9800000000000004</v>
      </c>
      <c r="O550" s="58" t="str">
        <f t="shared" si="152"/>
        <v>OK</v>
      </c>
    </row>
    <row r="551" spans="1:15" ht="12" customHeight="1" x14ac:dyDescent="0.25">
      <c r="A551" s="32" t="s">
        <v>16</v>
      </c>
      <c r="B551" s="32">
        <v>2</v>
      </c>
      <c r="C551" s="32">
        <v>1190888</v>
      </c>
      <c r="D551" s="39">
        <v>46163</v>
      </c>
      <c r="E551" s="32" t="s">
        <v>15</v>
      </c>
      <c r="F551" s="32" t="s">
        <v>40</v>
      </c>
      <c r="G551" s="62" t="str">
        <f t="shared" si="154"/>
        <v>008</v>
      </c>
      <c r="H551" s="38" t="s">
        <v>43</v>
      </c>
      <c r="I551" s="38">
        <v>1</v>
      </c>
      <c r="J551" s="37" t="s">
        <v>35</v>
      </c>
      <c r="K551" s="37">
        <v>35</v>
      </c>
      <c r="L551" s="117">
        <v>1.37</v>
      </c>
      <c r="M551" s="82">
        <v>4.05</v>
      </c>
      <c r="N551" s="29">
        <f t="shared" si="153"/>
        <v>2.6799999999999997</v>
      </c>
      <c r="O551" s="58" t="str">
        <f t="shared" si="152"/>
        <v>OK</v>
      </c>
    </row>
    <row r="552" spans="1:15" ht="12" customHeight="1" x14ac:dyDescent="0.25">
      <c r="A552" s="32" t="s">
        <v>16</v>
      </c>
      <c r="B552" s="32">
        <v>2</v>
      </c>
      <c r="C552" s="32">
        <v>1190888</v>
      </c>
      <c r="D552" s="39">
        <v>46163</v>
      </c>
      <c r="E552" s="32" t="s">
        <v>15</v>
      </c>
      <c r="F552" s="32" t="s">
        <v>40</v>
      </c>
      <c r="G552" s="62" t="str">
        <f t="shared" si="154"/>
        <v>008</v>
      </c>
      <c r="H552" s="38" t="s">
        <v>43</v>
      </c>
      <c r="I552" s="38">
        <v>1</v>
      </c>
      <c r="J552" s="37" t="s">
        <v>36</v>
      </c>
      <c r="K552" s="37">
        <v>35</v>
      </c>
      <c r="L552" s="117">
        <v>0.42</v>
      </c>
      <c r="M552" s="82">
        <v>3.24</v>
      </c>
      <c r="N552" s="29">
        <f t="shared" si="153"/>
        <v>2.8200000000000003</v>
      </c>
      <c r="O552" s="58" t="str">
        <f t="shared" si="152"/>
        <v>OK</v>
      </c>
    </row>
    <row r="553" spans="1:15" ht="12" customHeight="1" x14ac:dyDescent="0.25">
      <c r="A553" s="32" t="s">
        <v>16</v>
      </c>
      <c r="B553" s="32">
        <v>2</v>
      </c>
      <c r="C553" s="32">
        <v>1190888</v>
      </c>
      <c r="D553" s="39">
        <v>46163</v>
      </c>
      <c r="E553" s="32" t="s">
        <v>15</v>
      </c>
      <c r="F553" s="32" t="s">
        <v>40</v>
      </c>
      <c r="G553" s="62" t="str">
        <f t="shared" si="154"/>
        <v>008</v>
      </c>
      <c r="H553" s="38" t="s">
        <v>43</v>
      </c>
      <c r="I553" s="38">
        <v>1</v>
      </c>
      <c r="J553" s="37" t="s">
        <v>37</v>
      </c>
      <c r="K553" s="37">
        <v>36</v>
      </c>
      <c r="L553" s="117">
        <v>0.9</v>
      </c>
      <c r="M553" s="82">
        <v>3.45</v>
      </c>
      <c r="N553" s="29">
        <f t="shared" si="153"/>
        <v>2.5500000000000003</v>
      </c>
      <c r="O553" s="58" t="str">
        <f t="shared" si="152"/>
        <v>OK</v>
      </c>
    </row>
    <row r="554" spans="1:15" ht="12" customHeight="1" x14ac:dyDescent="0.25">
      <c r="A554" s="32" t="s">
        <v>16</v>
      </c>
      <c r="B554" s="32">
        <v>2</v>
      </c>
      <c r="C554" s="32">
        <v>1190888</v>
      </c>
      <c r="D554" s="39">
        <v>46163</v>
      </c>
      <c r="E554" s="32" t="s">
        <v>15</v>
      </c>
      <c r="F554" s="32" t="s">
        <v>40</v>
      </c>
      <c r="G554" s="62" t="str">
        <f t="shared" si="154"/>
        <v>008</v>
      </c>
      <c r="H554" s="38" t="s">
        <v>43</v>
      </c>
      <c r="I554" s="38">
        <v>1</v>
      </c>
      <c r="J554" s="37" t="s">
        <v>38</v>
      </c>
      <c r="K554" s="37">
        <v>36</v>
      </c>
      <c r="L554" s="117">
        <v>1.7</v>
      </c>
      <c r="M554" s="82">
        <v>4.17</v>
      </c>
      <c r="N554" s="29">
        <f t="shared" si="153"/>
        <v>2.4699999999999998</v>
      </c>
      <c r="O554" s="58" t="str">
        <f t="shared" si="152"/>
        <v>Reperfilado</v>
      </c>
    </row>
    <row r="555" spans="1:15" ht="12" customHeight="1" x14ac:dyDescent="0.25">
      <c r="A555" s="32" t="s">
        <v>16</v>
      </c>
      <c r="B555" s="32">
        <v>2</v>
      </c>
      <c r="C555" s="32">
        <v>1190888</v>
      </c>
      <c r="D555" s="39">
        <v>46163</v>
      </c>
      <c r="E555" s="32" t="s">
        <v>15</v>
      </c>
      <c r="F555" s="32" t="s">
        <v>40</v>
      </c>
      <c r="G555" s="62" t="str">
        <f t="shared" si="154"/>
        <v>008</v>
      </c>
      <c r="H555" s="38" t="s">
        <v>42</v>
      </c>
      <c r="I555" s="38">
        <v>2</v>
      </c>
      <c r="J555" s="37" t="s">
        <v>31</v>
      </c>
      <c r="K555" s="37">
        <v>37</v>
      </c>
      <c r="L555" s="117">
        <v>0.88</v>
      </c>
      <c r="M555" s="82">
        <v>4.28</v>
      </c>
      <c r="N555" s="29">
        <f t="shared" si="153"/>
        <v>3.4000000000000004</v>
      </c>
      <c r="O555" s="58" t="str">
        <f t="shared" si="152"/>
        <v>OK</v>
      </c>
    </row>
    <row r="556" spans="1:15" ht="12" customHeight="1" x14ac:dyDescent="0.25">
      <c r="A556" s="32" t="s">
        <v>16</v>
      </c>
      <c r="B556" s="32">
        <v>2</v>
      </c>
      <c r="C556" s="32">
        <v>1190888</v>
      </c>
      <c r="D556" s="39">
        <v>46163</v>
      </c>
      <c r="E556" s="32" t="s">
        <v>15</v>
      </c>
      <c r="F556" s="32" t="s">
        <v>40</v>
      </c>
      <c r="G556" s="62" t="str">
        <f t="shared" si="154"/>
        <v>008</v>
      </c>
      <c r="H556" s="38" t="s">
        <v>42</v>
      </c>
      <c r="I556" s="38">
        <v>2</v>
      </c>
      <c r="J556" s="37" t="s">
        <v>32</v>
      </c>
      <c r="K556" s="37">
        <v>37</v>
      </c>
      <c r="L556" s="117">
        <v>0.91</v>
      </c>
      <c r="M556" s="82">
        <v>4.3600000000000003</v>
      </c>
      <c r="N556" s="29">
        <f t="shared" si="153"/>
        <v>3.45</v>
      </c>
      <c r="O556" s="58" t="str">
        <f t="shared" si="152"/>
        <v>OK</v>
      </c>
    </row>
    <row r="557" spans="1:15" ht="12" customHeight="1" x14ac:dyDescent="0.25">
      <c r="A557" s="32" t="s">
        <v>16</v>
      </c>
      <c r="B557" s="32">
        <v>2</v>
      </c>
      <c r="C557" s="32">
        <v>1190888</v>
      </c>
      <c r="D557" s="39">
        <v>46163</v>
      </c>
      <c r="E557" s="32" t="s">
        <v>15</v>
      </c>
      <c r="F557" s="32" t="s">
        <v>40</v>
      </c>
      <c r="G557" s="62" t="str">
        <f t="shared" si="154"/>
        <v>008</v>
      </c>
      <c r="H557" s="38" t="s">
        <v>42</v>
      </c>
      <c r="I557" s="38">
        <v>2</v>
      </c>
      <c r="J557" s="37" t="s">
        <v>33</v>
      </c>
      <c r="K557" s="37">
        <v>38</v>
      </c>
      <c r="L557" s="117">
        <v>0.87</v>
      </c>
      <c r="M557" s="82">
        <v>3.18</v>
      </c>
      <c r="N557" s="29">
        <f t="shared" si="153"/>
        <v>2.31</v>
      </c>
      <c r="O557" s="58" t="str">
        <f t="shared" si="152"/>
        <v>OK</v>
      </c>
    </row>
    <row r="558" spans="1:15" ht="12" customHeight="1" x14ac:dyDescent="0.25">
      <c r="A558" s="32" t="s">
        <v>16</v>
      </c>
      <c r="B558" s="32">
        <v>2</v>
      </c>
      <c r="C558" s="32">
        <v>1190888</v>
      </c>
      <c r="D558" s="39">
        <v>46163</v>
      </c>
      <c r="E558" s="32" t="s">
        <v>15</v>
      </c>
      <c r="F558" s="32" t="s">
        <v>40</v>
      </c>
      <c r="G558" s="62" t="str">
        <f t="shared" si="154"/>
        <v>008</v>
      </c>
      <c r="H558" s="38" t="s">
        <v>42</v>
      </c>
      <c r="I558" s="38">
        <v>2</v>
      </c>
      <c r="J558" s="37" t="s">
        <v>34</v>
      </c>
      <c r="K558" s="37">
        <v>38</v>
      </c>
      <c r="L558" s="117">
        <v>0.9</v>
      </c>
      <c r="M558" s="82">
        <v>4.3499999999999996</v>
      </c>
      <c r="N558" s="29">
        <f t="shared" si="153"/>
        <v>3.4499999999999997</v>
      </c>
      <c r="O558" s="58" t="str">
        <f t="shared" si="152"/>
        <v>OK</v>
      </c>
    </row>
    <row r="559" spans="1:15" ht="12" customHeight="1" x14ac:dyDescent="0.25">
      <c r="A559" s="32" t="s">
        <v>16</v>
      </c>
      <c r="B559" s="32">
        <v>2</v>
      </c>
      <c r="C559" s="32">
        <v>1190888</v>
      </c>
      <c r="D559" s="39">
        <v>46163</v>
      </c>
      <c r="E559" s="32" t="s">
        <v>15</v>
      </c>
      <c r="F559" s="32" t="s">
        <v>40</v>
      </c>
      <c r="G559" s="62" t="str">
        <f t="shared" si="154"/>
        <v>008</v>
      </c>
      <c r="H559" s="38" t="s">
        <v>42</v>
      </c>
      <c r="I559" s="38">
        <v>1</v>
      </c>
      <c r="J559" s="37" t="s">
        <v>35</v>
      </c>
      <c r="K559" s="37">
        <v>39</v>
      </c>
      <c r="L559" s="117">
        <v>1.21</v>
      </c>
      <c r="M559" s="82">
        <v>3.19</v>
      </c>
      <c r="N559" s="29">
        <f t="shared" si="153"/>
        <v>1.98</v>
      </c>
      <c r="O559" s="58" t="str">
        <f t="shared" si="152"/>
        <v>OK</v>
      </c>
    </row>
    <row r="560" spans="1:15" ht="12" customHeight="1" x14ac:dyDescent="0.25">
      <c r="A560" s="32" t="s">
        <v>16</v>
      </c>
      <c r="B560" s="32">
        <v>2</v>
      </c>
      <c r="C560" s="32">
        <v>1190888</v>
      </c>
      <c r="D560" s="39">
        <v>46163</v>
      </c>
      <c r="E560" s="32" t="s">
        <v>15</v>
      </c>
      <c r="F560" s="32" t="s">
        <v>40</v>
      </c>
      <c r="G560" s="62" t="str">
        <f t="shared" si="154"/>
        <v>008</v>
      </c>
      <c r="H560" s="38" t="s">
        <v>42</v>
      </c>
      <c r="I560" s="38">
        <v>1</v>
      </c>
      <c r="J560" s="37" t="s">
        <v>36</v>
      </c>
      <c r="K560" s="37">
        <v>39</v>
      </c>
      <c r="L560" s="117">
        <v>0.85</v>
      </c>
      <c r="M560" s="82">
        <v>3.9</v>
      </c>
      <c r="N560" s="29">
        <f t="shared" si="153"/>
        <v>3.05</v>
      </c>
      <c r="O560" s="58" t="str">
        <f t="shared" si="152"/>
        <v>OK</v>
      </c>
    </row>
    <row r="561" spans="1:15" ht="12" customHeight="1" x14ac:dyDescent="0.25">
      <c r="A561" s="32" t="s">
        <v>16</v>
      </c>
      <c r="B561" s="32">
        <v>2</v>
      </c>
      <c r="C561" s="32">
        <v>1190888</v>
      </c>
      <c r="D561" s="39">
        <v>46163</v>
      </c>
      <c r="E561" s="32" t="s">
        <v>15</v>
      </c>
      <c r="F561" s="32" t="s">
        <v>40</v>
      </c>
      <c r="G561" s="62" t="str">
        <f t="shared" si="154"/>
        <v>008</v>
      </c>
      <c r="H561" s="38" t="s">
        <v>42</v>
      </c>
      <c r="I561" s="38">
        <v>1</v>
      </c>
      <c r="J561" s="37" t="s">
        <v>37</v>
      </c>
      <c r="K561" s="37">
        <v>40</v>
      </c>
      <c r="L561" s="117">
        <v>0.43</v>
      </c>
      <c r="M561" s="82">
        <v>2.86</v>
      </c>
      <c r="N561" s="29">
        <f t="shared" si="153"/>
        <v>2.4299999999999997</v>
      </c>
      <c r="O561" s="58" t="str">
        <f t="shared" si="152"/>
        <v>OK</v>
      </c>
    </row>
    <row r="562" spans="1:15" ht="12" customHeight="1" x14ac:dyDescent="0.25">
      <c r="A562" s="32" t="s">
        <v>16</v>
      </c>
      <c r="B562" s="32">
        <v>2</v>
      </c>
      <c r="C562" s="32">
        <v>1190888</v>
      </c>
      <c r="D562" s="39">
        <v>46163</v>
      </c>
      <c r="E562" s="32" t="s">
        <v>15</v>
      </c>
      <c r="F562" s="32" t="s">
        <v>40</v>
      </c>
      <c r="G562" s="62" t="str">
        <f t="shared" si="154"/>
        <v>008</v>
      </c>
      <c r="H562" s="38" t="s">
        <v>42</v>
      </c>
      <c r="I562" s="38">
        <v>1</v>
      </c>
      <c r="J562" s="37" t="s">
        <v>38</v>
      </c>
      <c r="K562" s="37">
        <v>40</v>
      </c>
      <c r="L562" s="117">
        <v>0.81</v>
      </c>
      <c r="M562" s="82">
        <v>3.13</v>
      </c>
      <c r="N562" s="29">
        <f t="shared" si="153"/>
        <v>2.3199999999999998</v>
      </c>
      <c r="O562" s="58" t="str">
        <f t="shared" si="152"/>
        <v>OK</v>
      </c>
    </row>
    <row r="563" spans="1:15" ht="12" customHeight="1" x14ac:dyDescent="0.25">
      <c r="A563" s="32" t="s">
        <v>16</v>
      </c>
      <c r="B563" s="32">
        <v>2</v>
      </c>
      <c r="C563" s="32">
        <v>1190888</v>
      </c>
      <c r="D563" s="39">
        <v>46163</v>
      </c>
      <c r="E563" s="32" t="s">
        <v>15</v>
      </c>
      <c r="F563" s="32" t="s">
        <v>28</v>
      </c>
      <c r="G563" s="62" t="s">
        <v>58</v>
      </c>
      <c r="H563" s="38" t="s">
        <v>39</v>
      </c>
      <c r="I563" s="38">
        <v>2</v>
      </c>
      <c r="J563" s="37" t="s">
        <v>31</v>
      </c>
      <c r="K563" s="37">
        <v>41</v>
      </c>
      <c r="L563" s="117">
        <v>0.22</v>
      </c>
      <c r="M563" s="82">
        <v>4.78</v>
      </c>
      <c r="N563" s="29">
        <f t="shared" si="153"/>
        <v>4.5600000000000005</v>
      </c>
      <c r="O563" s="58" t="str">
        <f t="shared" si="152"/>
        <v>OK</v>
      </c>
    </row>
    <row r="564" spans="1:15" ht="12" customHeight="1" x14ac:dyDescent="0.25">
      <c r="A564" s="32" t="s">
        <v>16</v>
      </c>
      <c r="B564" s="32">
        <v>2</v>
      </c>
      <c r="C564" s="32">
        <v>1190888</v>
      </c>
      <c r="D564" s="39">
        <v>46163</v>
      </c>
      <c r="E564" s="32" t="s">
        <v>15</v>
      </c>
      <c r="F564" s="32" t="s">
        <v>28</v>
      </c>
      <c r="G564" s="62" t="str">
        <f t="shared" ref="G564:G578" si="155">G563</f>
        <v>007</v>
      </c>
      <c r="H564" s="38" t="s">
        <v>39</v>
      </c>
      <c r="I564" s="38">
        <v>2</v>
      </c>
      <c r="J564" s="37" t="s">
        <v>32</v>
      </c>
      <c r="K564" s="37">
        <v>41</v>
      </c>
      <c r="L564" s="117">
        <v>0.24</v>
      </c>
      <c r="M564" s="82">
        <v>4.46</v>
      </c>
      <c r="N564" s="29">
        <f t="shared" si="153"/>
        <v>4.22</v>
      </c>
      <c r="O564" s="58" t="str">
        <f t="shared" si="152"/>
        <v>OK</v>
      </c>
    </row>
    <row r="565" spans="1:15" ht="12" customHeight="1" x14ac:dyDescent="0.25">
      <c r="A565" s="32" t="s">
        <v>16</v>
      </c>
      <c r="B565" s="32">
        <v>2</v>
      </c>
      <c r="C565" s="32">
        <v>1190888</v>
      </c>
      <c r="D565" s="39">
        <v>46163</v>
      </c>
      <c r="E565" s="32" t="s">
        <v>15</v>
      </c>
      <c r="F565" s="32" t="s">
        <v>28</v>
      </c>
      <c r="G565" s="62" t="str">
        <f t="shared" si="155"/>
        <v>007</v>
      </c>
      <c r="H565" s="38" t="s">
        <v>39</v>
      </c>
      <c r="I565" s="38">
        <v>2</v>
      </c>
      <c r="J565" s="37" t="s">
        <v>33</v>
      </c>
      <c r="K565" s="37">
        <v>42</v>
      </c>
      <c r="L565" s="117">
        <v>0.21</v>
      </c>
      <c r="M565" s="82">
        <v>4.67</v>
      </c>
      <c r="N565" s="29">
        <f t="shared" si="153"/>
        <v>4.46</v>
      </c>
      <c r="O565" s="58" t="str">
        <f t="shared" si="152"/>
        <v>OK</v>
      </c>
    </row>
    <row r="566" spans="1:15" ht="12" customHeight="1" x14ac:dyDescent="0.25">
      <c r="A566" s="32" t="s">
        <v>16</v>
      </c>
      <c r="B566" s="32">
        <v>2</v>
      </c>
      <c r="C566" s="32">
        <v>1190888</v>
      </c>
      <c r="D566" s="39">
        <v>46163</v>
      </c>
      <c r="E566" s="32" t="s">
        <v>15</v>
      </c>
      <c r="F566" s="32" t="s">
        <v>28</v>
      </c>
      <c r="G566" s="62" t="str">
        <f t="shared" si="155"/>
        <v>007</v>
      </c>
      <c r="H566" s="38" t="s">
        <v>39</v>
      </c>
      <c r="I566" s="38">
        <v>2</v>
      </c>
      <c r="J566" s="37" t="s">
        <v>34</v>
      </c>
      <c r="K566" s="37">
        <v>42</v>
      </c>
      <c r="L566" s="117">
        <v>0.15</v>
      </c>
      <c r="M566" s="82">
        <v>4.49</v>
      </c>
      <c r="N566" s="29">
        <f t="shared" si="153"/>
        <v>4.34</v>
      </c>
      <c r="O566" s="58" t="str">
        <f t="shared" si="152"/>
        <v>OK</v>
      </c>
    </row>
    <row r="567" spans="1:15" ht="12" customHeight="1" x14ac:dyDescent="0.25">
      <c r="A567" s="32" t="s">
        <v>16</v>
      </c>
      <c r="B567" s="32">
        <v>2</v>
      </c>
      <c r="C567" s="32">
        <v>1190888</v>
      </c>
      <c r="D567" s="39">
        <v>46163</v>
      </c>
      <c r="E567" s="32" t="s">
        <v>15</v>
      </c>
      <c r="F567" s="32" t="s">
        <v>28</v>
      </c>
      <c r="G567" s="62" t="str">
        <f t="shared" si="155"/>
        <v>007</v>
      </c>
      <c r="H567" s="38" t="s">
        <v>39</v>
      </c>
      <c r="I567" s="38">
        <v>1</v>
      </c>
      <c r="J567" s="37" t="s">
        <v>35</v>
      </c>
      <c r="K567" s="37">
        <v>43</v>
      </c>
      <c r="L567" s="117">
        <v>0.23</v>
      </c>
      <c r="M567" s="82">
        <v>4.67</v>
      </c>
      <c r="N567" s="29">
        <f t="shared" si="153"/>
        <v>4.4399999999999995</v>
      </c>
      <c r="O567" s="58" t="str">
        <f t="shared" si="152"/>
        <v>OK</v>
      </c>
    </row>
    <row r="568" spans="1:15" ht="12" customHeight="1" x14ac:dyDescent="0.25">
      <c r="A568" s="32" t="s">
        <v>16</v>
      </c>
      <c r="B568" s="32">
        <v>2</v>
      </c>
      <c r="C568" s="32">
        <v>1190888</v>
      </c>
      <c r="D568" s="39">
        <v>46163</v>
      </c>
      <c r="E568" s="32" t="s">
        <v>15</v>
      </c>
      <c r="F568" s="32" t="s">
        <v>28</v>
      </c>
      <c r="G568" s="62" t="str">
        <f t="shared" si="155"/>
        <v>007</v>
      </c>
      <c r="H568" s="38" t="s">
        <v>39</v>
      </c>
      <c r="I568" s="38">
        <v>1</v>
      </c>
      <c r="J568" s="37" t="s">
        <v>36</v>
      </c>
      <c r="K568" s="37">
        <v>43</v>
      </c>
      <c r="L568" s="117">
        <v>0.09</v>
      </c>
      <c r="M568" s="82">
        <v>4.5199999999999996</v>
      </c>
      <c r="N568" s="29">
        <f t="shared" si="153"/>
        <v>4.43</v>
      </c>
      <c r="O568" s="58" t="str">
        <f t="shared" si="152"/>
        <v>OK</v>
      </c>
    </row>
    <row r="569" spans="1:15" ht="12" customHeight="1" x14ac:dyDescent="0.25">
      <c r="A569" s="32" t="s">
        <v>16</v>
      </c>
      <c r="B569" s="32">
        <v>2</v>
      </c>
      <c r="C569" s="32">
        <v>1190888</v>
      </c>
      <c r="D569" s="39">
        <v>46163</v>
      </c>
      <c r="E569" s="32" t="s">
        <v>15</v>
      </c>
      <c r="F569" s="32" t="s">
        <v>28</v>
      </c>
      <c r="G569" s="62" t="str">
        <f t="shared" si="155"/>
        <v>007</v>
      </c>
      <c r="H569" s="38" t="s">
        <v>39</v>
      </c>
      <c r="I569" s="38">
        <v>1</v>
      </c>
      <c r="J569" s="37" t="s">
        <v>37</v>
      </c>
      <c r="K569" s="37">
        <v>44</v>
      </c>
      <c r="L569" s="117">
        <v>0.16</v>
      </c>
      <c r="M569" s="82">
        <v>4.6900000000000004</v>
      </c>
      <c r="N569" s="29">
        <f t="shared" si="153"/>
        <v>4.53</v>
      </c>
      <c r="O569" s="58" t="str">
        <f t="shared" si="152"/>
        <v>OK</v>
      </c>
    </row>
    <row r="570" spans="1:15" ht="12" customHeight="1" x14ac:dyDescent="0.25">
      <c r="A570" s="32" t="s">
        <v>16</v>
      </c>
      <c r="B570" s="32">
        <v>2</v>
      </c>
      <c r="C570" s="32">
        <v>1190888</v>
      </c>
      <c r="D570" s="39">
        <v>46163</v>
      </c>
      <c r="E570" s="32" t="s">
        <v>15</v>
      </c>
      <c r="F570" s="32" t="s">
        <v>28</v>
      </c>
      <c r="G570" s="62" t="str">
        <f t="shared" si="155"/>
        <v>007</v>
      </c>
      <c r="H570" s="38" t="s">
        <v>39</v>
      </c>
      <c r="I570" s="38">
        <v>1</v>
      </c>
      <c r="J570" s="37" t="s">
        <v>38</v>
      </c>
      <c r="K570" s="37">
        <v>44</v>
      </c>
      <c r="L570" s="117">
        <v>0.12</v>
      </c>
      <c r="M570" s="82">
        <v>4.16</v>
      </c>
      <c r="N570" s="29">
        <f t="shared" si="153"/>
        <v>4.04</v>
      </c>
      <c r="O570" s="58" t="str">
        <f t="shared" si="152"/>
        <v>OK</v>
      </c>
    </row>
    <row r="571" spans="1:15" ht="12" customHeight="1" x14ac:dyDescent="0.25">
      <c r="A571" s="32" t="s">
        <v>16</v>
      </c>
      <c r="B571" s="32">
        <v>2</v>
      </c>
      <c r="C571" s="32">
        <v>1190888</v>
      </c>
      <c r="D571" s="39">
        <v>46163</v>
      </c>
      <c r="E571" s="32" t="s">
        <v>15</v>
      </c>
      <c r="F571" s="32" t="s">
        <v>28</v>
      </c>
      <c r="G571" s="62" t="str">
        <f t="shared" si="155"/>
        <v>007</v>
      </c>
      <c r="H571" s="38" t="s">
        <v>30</v>
      </c>
      <c r="I571" s="38">
        <v>2</v>
      </c>
      <c r="J571" s="37" t="s">
        <v>31</v>
      </c>
      <c r="K571" s="37">
        <v>45</v>
      </c>
      <c r="L571" s="117">
        <v>1.24</v>
      </c>
      <c r="M571" s="82">
        <v>3.11</v>
      </c>
      <c r="N571" s="29">
        <f t="shared" si="153"/>
        <v>1.8699999999999999</v>
      </c>
      <c r="O571" s="58" t="str">
        <f t="shared" si="152"/>
        <v>OK</v>
      </c>
    </row>
    <row r="572" spans="1:15" ht="12" customHeight="1" x14ac:dyDescent="0.25">
      <c r="A572" s="32" t="s">
        <v>16</v>
      </c>
      <c r="B572" s="32">
        <v>2</v>
      </c>
      <c r="C572" s="32">
        <v>1190888</v>
      </c>
      <c r="D572" s="39">
        <v>46163</v>
      </c>
      <c r="E572" s="32" t="s">
        <v>15</v>
      </c>
      <c r="F572" s="32" t="s">
        <v>28</v>
      </c>
      <c r="G572" s="62" t="str">
        <f t="shared" si="155"/>
        <v>007</v>
      </c>
      <c r="H572" s="38" t="s">
        <v>30</v>
      </c>
      <c r="I572" s="38">
        <v>2</v>
      </c>
      <c r="J572" s="37" t="s">
        <v>32</v>
      </c>
      <c r="K572" s="37">
        <v>45</v>
      </c>
      <c r="L572" s="117">
        <v>0.54</v>
      </c>
      <c r="M572" s="82">
        <v>4.3</v>
      </c>
      <c r="N572" s="29">
        <f t="shared" si="153"/>
        <v>3.76</v>
      </c>
      <c r="O572" s="58" t="str">
        <f t="shared" si="152"/>
        <v>OK</v>
      </c>
    </row>
    <row r="573" spans="1:15" ht="12" customHeight="1" x14ac:dyDescent="0.25">
      <c r="A573" s="32" t="s">
        <v>16</v>
      </c>
      <c r="B573" s="32">
        <v>2</v>
      </c>
      <c r="C573" s="32">
        <v>1190888</v>
      </c>
      <c r="D573" s="39">
        <v>46163</v>
      </c>
      <c r="E573" s="32" t="s">
        <v>15</v>
      </c>
      <c r="F573" s="32" t="s">
        <v>28</v>
      </c>
      <c r="G573" s="62" t="str">
        <f t="shared" si="155"/>
        <v>007</v>
      </c>
      <c r="H573" s="38" t="s">
        <v>30</v>
      </c>
      <c r="I573" s="38">
        <v>2</v>
      </c>
      <c r="J573" s="37" t="s">
        <v>33</v>
      </c>
      <c r="K573" s="37">
        <v>46</v>
      </c>
      <c r="L573" s="117">
        <v>0.88</v>
      </c>
      <c r="M573" s="82">
        <v>3.68</v>
      </c>
      <c r="N573" s="29">
        <f t="shared" si="153"/>
        <v>2.8000000000000003</v>
      </c>
      <c r="O573" s="58" t="str">
        <f t="shared" si="152"/>
        <v>OK</v>
      </c>
    </row>
    <row r="574" spans="1:15" ht="12" customHeight="1" x14ac:dyDescent="0.25">
      <c r="A574" s="32" t="s">
        <v>16</v>
      </c>
      <c r="B574" s="32">
        <v>2</v>
      </c>
      <c r="C574" s="32">
        <v>1190888</v>
      </c>
      <c r="D574" s="39">
        <v>46163</v>
      </c>
      <c r="E574" s="32" t="s">
        <v>15</v>
      </c>
      <c r="F574" s="32" t="s">
        <v>28</v>
      </c>
      <c r="G574" s="62" t="str">
        <f t="shared" si="155"/>
        <v>007</v>
      </c>
      <c r="H574" s="38" t="s">
        <v>30</v>
      </c>
      <c r="I574" s="38">
        <v>2</v>
      </c>
      <c r="J574" s="37" t="s">
        <v>34</v>
      </c>
      <c r="K574" s="37">
        <v>46</v>
      </c>
      <c r="L574" s="117">
        <v>0.37</v>
      </c>
      <c r="M574" s="82">
        <v>1.24</v>
      </c>
      <c r="N574" s="29">
        <f t="shared" si="153"/>
        <v>0.87</v>
      </c>
      <c r="O574" s="58" t="str">
        <f t="shared" si="152"/>
        <v>Seguimiento</v>
      </c>
    </row>
    <row r="575" spans="1:15" ht="12" customHeight="1" x14ac:dyDescent="0.25">
      <c r="A575" s="32" t="s">
        <v>16</v>
      </c>
      <c r="B575" s="32">
        <v>2</v>
      </c>
      <c r="C575" s="32">
        <v>1190888</v>
      </c>
      <c r="D575" s="39">
        <v>46163</v>
      </c>
      <c r="E575" s="32" t="s">
        <v>15</v>
      </c>
      <c r="F575" s="32" t="s">
        <v>28</v>
      </c>
      <c r="G575" s="62" t="str">
        <f t="shared" si="155"/>
        <v>007</v>
      </c>
      <c r="H575" s="38" t="s">
        <v>30</v>
      </c>
      <c r="I575" s="38">
        <v>1</v>
      </c>
      <c r="J575" s="37" t="s">
        <v>35</v>
      </c>
      <c r="K575" s="37">
        <v>47</v>
      </c>
      <c r="L575" s="117">
        <v>1.2</v>
      </c>
      <c r="M575" s="82">
        <v>3.05</v>
      </c>
      <c r="N575" s="29">
        <f t="shared" si="153"/>
        <v>1.8499999999999999</v>
      </c>
      <c r="O575" s="58" t="str">
        <f t="shared" si="152"/>
        <v>OK</v>
      </c>
    </row>
    <row r="576" spans="1:15" ht="12" customHeight="1" x14ac:dyDescent="0.25">
      <c r="A576" s="32" t="s">
        <v>16</v>
      </c>
      <c r="B576" s="32">
        <v>2</v>
      </c>
      <c r="C576" s="32">
        <v>1190888</v>
      </c>
      <c r="D576" s="39">
        <v>46163</v>
      </c>
      <c r="E576" s="32" t="s">
        <v>15</v>
      </c>
      <c r="F576" s="32" t="s">
        <v>28</v>
      </c>
      <c r="G576" s="62" t="str">
        <f t="shared" si="155"/>
        <v>007</v>
      </c>
      <c r="H576" s="38" t="s">
        <v>30</v>
      </c>
      <c r="I576" s="38">
        <v>1</v>
      </c>
      <c r="J576" s="37" t="s">
        <v>36</v>
      </c>
      <c r="K576" s="37">
        <v>47</v>
      </c>
      <c r="L576" s="117">
        <v>0.44</v>
      </c>
      <c r="M576" s="82">
        <v>3.06</v>
      </c>
      <c r="N576" s="29">
        <f t="shared" si="153"/>
        <v>2.62</v>
      </c>
      <c r="O576" s="58" t="str">
        <f t="shared" si="152"/>
        <v>OK</v>
      </c>
    </row>
    <row r="577" spans="1:15" ht="12" customHeight="1" x14ac:dyDescent="0.25">
      <c r="A577" s="32" t="s">
        <v>16</v>
      </c>
      <c r="B577" s="32">
        <v>2</v>
      </c>
      <c r="C577" s="32">
        <v>1190888</v>
      </c>
      <c r="D577" s="39">
        <v>46163</v>
      </c>
      <c r="E577" s="32" t="s">
        <v>15</v>
      </c>
      <c r="F577" s="32" t="s">
        <v>28</v>
      </c>
      <c r="G577" s="62" t="str">
        <f t="shared" si="155"/>
        <v>007</v>
      </c>
      <c r="H577" s="38" t="s">
        <v>30</v>
      </c>
      <c r="I577" s="38">
        <v>1</v>
      </c>
      <c r="J577" s="37" t="s">
        <v>37</v>
      </c>
      <c r="K577" s="37">
        <v>48</v>
      </c>
      <c r="L577" s="117">
        <v>0.11</v>
      </c>
      <c r="M577" s="82">
        <v>1.98</v>
      </c>
      <c r="N577" s="29">
        <f t="shared" si="153"/>
        <v>1.8699999999999999</v>
      </c>
      <c r="O577" s="58" t="str">
        <f t="shared" si="152"/>
        <v>OK</v>
      </c>
    </row>
    <row r="578" spans="1:15" ht="12" customHeight="1" x14ac:dyDescent="0.25">
      <c r="A578" s="32" t="s">
        <v>16</v>
      </c>
      <c r="B578" s="32">
        <v>2</v>
      </c>
      <c r="C578" s="32">
        <v>1190888</v>
      </c>
      <c r="D578" s="39">
        <v>46163</v>
      </c>
      <c r="E578" s="32" t="s">
        <v>15</v>
      </c>
      <c r="F578" s="32" t="s">
        <v>28</v>
      </c>
      <c r="G578" s="62" t="str">
        <f t="shared" si="155"/>
        <v>007</v>
      </c>
      <c r="H578" s="38" t="s">
        <v>30</v>
      </c>
      <c r="I578" s="38">
        <v>1</v>
      </c>
      <c r="J578" s="37" t="s">
        <v>38</v>
      </c>
      <c r="K578" s="37">
        <v>48</v>
      </c>
      <c r="L578" s="117">
        <v>0.16</v>
      </c>
      <c r="M578" s="82">
        <v>1.94</v>
      </c>
      <c r="N578" s="29">
        <f t="shared" si="153"/>
        <v>1.78</v>
      </c>
      <c r="O578" s="58" t="str">
        <f t="shared" si="152"/>
        <v>OK</v>
      </c>
    </row>
    <row r="579" spans="1:15" ht="12" customHeight="1" x14ac:dyDescent="0.25">
      <c r="A579" s="43" t="s">
        <v>16</v>
      </c>
      <c r="B579" s="43">
        <v>2</v>
      </c>
      <c r="C579" s="43">
        <v>1199989</v>
      </c>
      <c r="D579" s="44">
        <v>46196</v>
      </c>
      <c r="E579" s="43" t="s">
        <v>17</v>
      </c>
      <c r="F579" s="43" t="s">
        <v>44</v>
      </c>
      <c r="G579" s="97" t="s">
        <v>53</v>
      </c>
      <c r="H579" s="45" t="s">
        <v>47</v>
      </c>
      <c r="I579" s="45">
        <v>2</v>
      </c>
      <c r="J579" s="46" t="s">
        <v>37</v>
      </c>
      <c r="K579" s="46">
        <v>24</v>
      </c>
      <c r="L579" s="125">
        <v>0.1</v>
      </c>
      <c r="M579" s="125">
        <v>2.1</v>
      </c>
      <c r="N579" s="94">
        <f t="shared" si="153"/>
        <v>2</v>
      </c>
      <c r="O579" s="58" t="str">
        <f t="shared" si="152"/>
        <v>OK</v>
      </c>
    </row>
    <row r="580" spans="1:15" ht="12" customHeight="1" x14ac:dyDescent="0.25">
      <c r="A580" s="32" t="s">
        <v>16</v>
      </c>
      <c r="B580" s="32">
        <v>2</v>
      </c>
      <c r="C580" s="32">
        <v>1199989</v>
      </c>
      <c r="D580" s="39">
        <v>46196</v>
      </c>
      <c r="E580" s="32" t="s">
        <v>17</v>
      </c>
      <c r="F580" s="32" t="s">
        <v>40</v>
      </c>
      <c r="G580" s="62" t="str">
        <f t="shared" ref="G580" si="156">G579</f>
        <v>303</v>
      </c>
      <c r="H580" s="38" t="s">
        <v>43</v>
      </c>
      <c r="I580" s="38">
        <v>1</v>
      </c>
      <c r="J580" s="37" t="s">
        <v>38</v>
      </c>
      <c r="K580" s="37">
        <v>36</v>
      </c>
      <c r="L580" s="117">
        <v>0.2</v>
      </c>
      <c r="M580" s="117">
        <v>2</v>
      </c>
      <c r="N580" s="29">
        <f t="shared" ref="N580" si="157">+M580-L580</f>
        <v>1.8</v>
      </c>
      <c r="O580" s="58" t="str">
        <f t="shared" ref="O580" si="158">IF(N580&lt;=0,"Critico",IF(N580&lt;=0.2,"Cambio",IF(N580&lt;=1,"Seguimiento",IF(L580&gt;=1.6,"Reperfilado","OK"))))</f>
        <v>OK</v>
      </c>
    </row>
  </sheetData>
  <conditionalFormatting sqref="L3:L98">
    <cfRule type="cellIs" dxfId="124" priority="81" operator="greaterThan">
      <formula>1.7</formula>
    </cfRule>
  </conditionalFormatting>
  <conditionalFormatting sqref="N3:N580">
    <cfRule type="cellIs" dxfId="123" priority="1" operator="lessThan">
      <formula>1</formula>
    </cfRule>
  </conditionalFormatting>
  <conditionalFormatting sqref="O3:O580">
    <cfRule type="cellIs" dxfId="122" priority="2" operator="equal">
      <formula>"OK"</formula>
    </cfRule>
    <cfRule type="cellIs" dxfId="121" priority="3" operator="equal">
      <formula>"Cambio"</formula>
    </cfRule>
    <cfRule type="cellIs" dxfId="120" priority="4" operator="equal">
      <formula>"Reperfilado"</formula>
    </cfRule>
    <cfRule type="cellIs" dxfId="119" priority="5" operator="equal">
      <formula>"Seguimiento"</formula>
    </cfRule>
    <cfRule type="cellIs" dxfId="118" priority="6" operator="equal">
      <formula>"Critico"</formula>
    </cfRule>
  </conditionalFormatting>
  <pageMargins left="0.7" right="0.7" top="0.75" bottom="0.75" header="0.3" footer="0.3"/>
  <ignoredErrors>
    <ignoredError sqref="F387:F482 H387:H482 I387:I482" calculatedColumn="1"/>
    <ignoredError sqref="G387:G450" numberStoredAsText="1" calculatedColumn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6A7C7-663F-4B6B-A591-0B775429AEA7}">
  <sheetPr codeName="Hoja7">
    <tabColor rgb="FFFF0000"/>
  </sheetPr>
  <dimension ref="A1:O674"/>
  <sheetViews>
    <sheetView workbookViewId="0">
      <pane ySplit="2" topLeftCell="A633" activePane="bottomLeft" state="frozen"/>
      <selection activeCell="R368" sqref="R368"/>
      <selection pane="bottomLeft" activeCell="R368" sqref="R368"/>
    </sheetView>
  </sheetViews>
  <sheetFormatPr baseColWidth="10" defaultColWidth="9.140625" defaultRowHeight="12" customHeight="1" x14ac:dyDescent="0.25"/>
  <cols>
    <col min="1" max="1" width="18.7109375" style="2" bestFit="1" customWidth="1"/>
    <col min="2" max="2" width="9" style="2" bestFit="1" customWidth="1"/>
    <col min="3" max="3" width="14.42578125" style="2" bestFit="1" customWidth="1"/>
    <col min="4" max="4" width="10.140625" style="2" bestFit="1" customWidth="1"/>
    <col min="5" max="5" width="10.7109375" style="2" bestFit="1" customWidth="1"/>
    <col min="6" max="6" width="10.42578125" style="2" bestFit="1" customWidth="1"/>
    <col min="7" max="7" width="12.7109375" style="2" bestFit="1" customWidth="1"/>
    <col min="8" max="8" width="9.85546875" style="2" bestFit="1" customWidth="1"/>
    <col min="9" max="9" width="7.7109375" style="2" bestFit="1" customWidth="1"/>
    <col min="10" max="10" width="17.28515625" style="2" bestFit="1" customWidth="1"/>
    <col min="11" max="11" width="11" style="2" bestFit="1" customWidth="1"/>
    <col min="12" max="12" width="6.5703125" style="2" bestFit="1" customWidth="1"/>
    <col min="13" max="13" width="6.28515625" style="2" bestFit="1" customWidth="1"/>
    <col min="14" max="14" width="8.140625" style="2" bestFit="1" customWidth="1"/>
    <col min="15" max="15" width="11.5703125" style="2" bestFit="1" customWidth="1"/>
    <col min="16" max="16384" width="9.140625" style="2"/>
  </cols>
  <sheetData>
    <row r="1" spans="1:15" ht="24.95" customHeight="1" x14ac:dyDescent="0.25"/>
    <row r="2" spans="1:15" x14ac:dyDescent="0.25">
      <c r="A2" s="89" t="s">
        <v>0</v>
      </c>
      <c r="B2" s="90" t="s">
        <v>1</v>
      </c>
      <c r="C2" s="90" t="s">
        <v>2</v>
      </c>
      <c r="D2" s="90" t="s">
        <v>3</v>
      </c>
      <c r="E2" s="90" t="s">
        <v>4</v>
      </c>
      <c r="F2" s="90" t="s">
        <v>5</v>
      </c>
      <c r="G2" s="90" t="s">
        <v>6</v>
      </c>
      <c r="H2" s="90" t="s">
        <v>7</v>
      </c>
      <c r="I2" s="90" t="s">
        <v>8</v>
      </c>
      <c r="J2" s="90" t="s">
        <v>9</v>
      </c>
      <c r="K2" s="90" t="s">
        <v>26</v>
      </c>
      <c r="L2" s="90" t="s">
        <v>11</v>
      </c>
      <c r="M2" s="90" t="s">
        <v>12</v>
      </c>
      <c r="N2" s="90" t="s">
        <v>13</v>
      </c>
      <c r="O2" s="60" t="s">
        <v>14</v>
      </c>
    </row>
    <row r="3" spans="1:15" ht="15" x14ac:dyDescent="0.25">
      <c r="A3" s="93"/>
      <c r="B3" s="36">
        <v>3</v>
      </c>
      <c r="C3" s="36">
        <v>1148629</v>
      </c>
      <c r="D3" s="52">
        <v>45750</v>
      </c>
      <c r="E3" s="36" t="s">
        <v>15</v>
      </c>
      <c r="F3" s="36" t="s">
        <v>28</v>
      </c>
      <c r="G3" s="80" t="s">
        <v>59</v>
      </c>
      <c r="H3" s="81" t="s">
        <v>30</v>
      </c>
      <c r="I3" s="81">
        <v>1</v>
      </c>
      <c r="J3" s="40" t="s">
        <v>31</v>
      </c>
      <c r="K3" s="37">
        <v>1</v>
      </c>
      <c r="L3" s="21">
        <v>0.34</v>
      </c>
      <c r="M3" s="19">
        <v>1.83</v>
      </c>
      <c r="N3" s="22">
        <f>+M3-L3</f>
        <v>1.49</v>
      </c>
      <c r="O3" s="20" t="str">
        <f>IF(N3&lt;=0,"Critico",IF(N3&lt;=0.2,"Cambio",IF(N3&lt;=1,"Seguimiento",IF(L3&gt;=1.7,"Reperfilado","OK"))))</f>
        <v>OK</v>
      </c>
    </row>
    <row r="4" spans="1:15" ht="15" x14ac:dyDescent="0.25">
      <c r="A4" s="91"/>
      <c r="B4" s="32">
        <v>3</v>
      </c>
      <c r="C4" s="32">
        <v>1148629</v>
      </c>
      <c r="D4" s="39">
        <v>45750</v>
      </c>
      <c r="E4" s="32" t="s">
        <v>15</v>
      </c>
      <c r="F4" s="32" t="str">
        <f t="shared" ref="F4:F18" si="0">F3</f>
        <v>M20</v>
      </c>
      <c r="G4" s="61" t="str">
        <f t="shared" ref="G4:G18" si="1">G3</f>
        <v>009</v>
      </c>
      <c r="H4" s="72" t="str">
        <f t="shared" ref="H4:H10" si="2">H3</f>
        <v>C1</v>
      </c>
      <c r="I4" s="72">
        <f t="shared" ref="I4:I6" si="3">I3</f>
        <v>1</v>
      </c>
      <c r="J4" s="37" t="s">
        <v>32</v>
      </c>
      <c r="K4" s="37">
        <v>1</v>
      </c>
      <c r="L4" s="17">
        <v>0.86</v>
      </c>
      <c r="M4" s="19">
        <v>3.8</v>
      </c>
      <c r="N4" s="18">
        <f t="shared" ref="N4:N67" si="4">+M4-L4</f>
        <v>2.94</v>
      </c>
      <c r="O4" s="20" t="str">
        <f t="shared" ref="O4:O67" si="5">IF(N4&lt;=0,"Critico",IF(N4&lt;=0.2,"Cambio",IF(N4&lt;=1,"Seguimiento",IF(L4&gt;=1.7,"Reperfilado","OK"))))</f>
        <v>OK</v>
      </c>
    </row>
    <row r="5" spans="1:15" ht="15" x14ac:dyDescent="0.25">
      <c r="A5" s="91"/>
      <c r="B5" s="32">
        <v>3</v>
      </c>
      <c r="C5" s="32">
        <v>1148629</v>
      </c>
      <c r="D5" s="39">
        <v>45750</v>
      </c>
      <c r="E5" s="32" t="s">
        <v>15</v>
      </c>
      <c r="F5" s="32" t="str">
        <f t="shared" si="0"/>
        <v>M20</v>
      </c>
      <c r="G5" s="61" t="str">
        <f t="shared" si="1"/>
        <v>009</v>
      </c>
      <c r="H5" s="72" t="str">
        <f t="shared" si="2"/>
        <v>C1</v>
      </c>
      <c r="I5" s="72">
        <f t="shared" si="3"/>
        <v>1</v>
      </c>
      <c r="J5" s="37" t="s">
        <v>33</v>
      </c>
      <c r="K5" s="37">
        <v>2</v>
      </c>
      <c r="L5" s="17">
        <v>1.03</v>
      </c>
      <c r="M5" s="19">
        <v>1.62</v>
      </c>
      <c r="N5" s="18">
        <f t="shared" si="4"/>
        <v>0.59000000000000008</v>
      </c>
      <c r="O5" s="20" t="str">
        <f t="shared" si="5"/>
        <v>Seguimiento</v>
      </c>
    </row>
    <row r="6" spans="1:15" ht="15" x14ac:dyDescent="0.25">
      <c r="A6" s="91"/>
      <c r="B6" s="32">
        <v>3</v>
      </c>
      <c r="C6" s="32">
        <v>1148629</v>
      </c>
      <c r="D6" s="39">
        <v>45750</v>
      </c>
      <c r="E6" s="32" t="s">
        <v>15</v>
      </c>
      <c r="F6" s="32" t="str">
        <f t="shared" si="0"/>
        <v>M20</v>
      </c>
      <c r="G6" s="61" t="str">
        <f t="shared" si="1"/>
        <v>009</v>
      </c>
      <c r="H6" s="72" t="str">
        <f t="shared" si="2"/>
        <v>C1</v>
      </c>
      <c r="I6" s="72">
        <f t="shared" si="3"/>
        <v>1</v>
      </c>
      <c r="J6" s="37" t="s">
        <v>34</v>
      </c>
      <c r="K6" s="37">
        <v>2</v>
      </c>
      <c r="L6" s="17">
        <v>0.93</v>
      </c>
      <c r="M6" s="19">
        <v>2.64</v>
      </c>
      <c r="N6" s="18">
        <f t="shared" si="4"/>
        <v>1.71</v>
      </c>
      <c r="O6" s="20" t="str">
        <f t="shared" si="5"/>
        <v>OK</v>
      </c>
    </row>
    <row r="7" spans="1:15" ht="15" x14ac:dyDescent="0.25">
      <c r="A7" s="91"/>
      <c r="B7" s="32">
        <v>3</v>
      </c>
      <c r="C7" s="32">
        <v>1148629</v>
      </c>
      <c r="D7" s="39">
        <v>45750</v>
      </c>
      <c r="E7" s="32" t="s">
        <v>15</v>
      </c>
      <c r="F7" s="32" t="str">
        <f t="shared" si="0"/>
        <v>M20</v>
      </c>
      <c r="G7" s="61" t="str">
        <f t="shared" si="1"/>
        <v>009</v>
      </c>
      <c r="H7" s="72" t="str">
        <f t="shared" si="2"/>
        <v>C1</v>
      </c>
      <c r="I7" s="72">
        <v>2</v>
      </c>
      <c r="J7" s="37" t="s">
        <v>35</v>
      </c>
      <c r="K7" s="37">
        <v>3</v>
      </c>
      <c r="L7" s="17">
        <v>0.1</v>
      </c>
      <c r="M7" s="19">
        <v>5.07</v>
      </c>
      <c r="N7" s="18">
        <f t="shared" si="4"/>
        <v>4.9700000000000006</v>
      </c>
      <c r="O7" s="20" t="str">
        <f t="shared" si="5"/>
        <v>OK</v>
      </c>
    </row>
    <row r="8" spans="1:15" ht="15" x14ac:dyDescent="0.25">
      <c r="A8" s="91"/>
      <c r="B8" s="32">
        <v>3</v>
      </c>
      <c r="C8" s="32">
        <v>1148629</v>
      </c>
      <c r="D8" s="39">
        <v>45750</v>
      </c>
      <c r="E8" s="32" t="s">
        <v>15</v>
      </c>
      <c r="F8" s="32" t="str">
        <f t="shared" si="0"/>
        <v>M20</v>
      </c>
      <c r="G8" s="61" t="str">
        <f t="shared" si="1"/>
        <v>009</v>
      </c>
      <c r="H8" s="72" t="str">
        <f t="shared" si="2"/>
        <v>C1</v>
      </c>
      <c r="I8" s="72">
        <f t="shared" ref="I8:I10" si="6">I7</f>
        <v>2</v>
      </c>
      <c r="J8" s="37" t="s">
        <v>36</v>
      </c>
      <c r="K8" s="37">
        <v>3</v>
      </c>
      <c r="L8" s="17">
        <v>0.35</v>
      </c>
      <c r="M8" s="19">
        <v>2.21</v>
      </c>
      <c r="N8" s="18">
        <f t="shared" si="4"/>
        <v>1.8599999999999999</v>
      </c>
      <c r="O8" s="20" t="str">
        <f t="shared" si="5"/>
        <v>OK</v>
      </c>
    </row>
    <row r="9" spans="1:15" ht="15" x14ac:dyDescent="0.25">
      <c r="A9" s="91"/>
      <c r="B9" s="32">
        <v>3</v>
      </c>
      <c r="C9" s="32">
        <v>1148629</v>
      </c>
      <c r="D9" s="39">
        <v>45750</v>
      </c>
      <c r="E9" s="32" t="s">
        <v>15</v>
      </c>
      <c r="F9" s="32" t="str">
        <f t="shared" si="0"/>
        <v>M20</v>
      </c>
      <c r="G9" s="61" t="str">
        <f t="shared" si="1"/>
        <v>009</v>
      </c>
      <c r="H9" s="72" t="str">
        <f t="shared" si="2"/>
        <v>C1</v>
      </c>
      <c r="I9" s="72">
        <f t="shared" si="6"/>
        <v>2</v>
      </c>
      <c r="J9" s="37" t="s">
        <v>37</v>
      </c>
      <c r="K9" s="37">
        <v>4</v>
      </c>
      <c r="L9" s="17">
        <v>1.63</v>
      </c>
      <c r="M9" s="19">
        <v>2.76</v>
      </c>
      <c r="N9" s="18">
        <f t="shared" si="4"/>
        <v>1.1299999999999999</v>
      </c>
      <c r="O9" s="20" t="str">
        <f t="shared" si="5"/>
        <v>OK</v>
      </c>
    </row>
    <row r="10" spans="1:15" ht="15" x14ac:dyDescent="0.25">
      <c r="A10" s="91"/>
      <c r="B10" s="32">
        <v>3</v>
      </c>
      <c r="C10" s="32">
        <v>1148629</v>
      </c>
      <c r="D10" s="39">
        <v>45750</v>
      </c>
      <c r="E10" s="32" t="s">
        <v>15</v>
      </c>
      <c r="F10" s="32" t="str">
        <f t="shared" si="0"/>
        <v>M20</v>
      </c>
      <c r="G10" s="61" t="str">
        <f t="shared" si="1"/>
        <v>009</v>
      </c>
      <c r="H10" s="72" t="str">
        <f t="shared" si="2"/>
        <v>C1</v>
      </c>
      <c r="I10" s="72">
        <f t="shared" si="6"/>
        <v>2</v>
      </c>
      <c r="J10" s="37" t="s">
        <v>38</v>
      </c>
      <c r="K10" s="37">
        <v>4</v>
      </c>
      <c r="L10" s="17">
        <v>0.53</v>
      </c>
      <c r="M10" s="19">
        <v>1.33</v>
      </c>
      <c r="N10" s="18">
        <f t="shared" si="4"/>
        <v>0.8</v>
      </c>
      <c r="O10" s="20" t="str">
        <f t="shared" si="5"/>
        <v>Seguimiento</v>
      </c>
    </row>
    <row r="11" spans="1:15" ht="15" x14ac:dyDescent="0.25">
      <c r="A11" s="91"/>
      <c r="B11" s="32">
        <v>3</v>
      </c>
      <c r="C11" s="32">
        <v>1148629</v>
      </c>
      <c r="D11" s="39">
        <v>45750</v>
      </c>
      <c r="E11" s="32" t="s">
        <v>15</v>
      </c>
      <c r="F11" s="32" t="str">
        <f t="shared" si="0"/>
        <v>M20</v>
      </c>
      <c r="G11" s="61" t="str">
        <f t="shared" si="1"/>
        <v>009</v>
      </c>
      <c r="H11" s="72" t="s">
        <v>39</v>
      </c>
      <c r="I11" s="72">
        <v>1</v>
      </c>
      <c r="J11" s="37" t="s">
        <v>31</v>
      </c>
      <c r="K11" s="37">
        <v>5</v>
      </c>
      <c r="L11" s="17">
        <v>0.6</v>
      </c>
      <c r="M11" s="19">
        <v>3.01</v>
      </c>
      <c r="N11" s="18">
        <f t="shared" si="4"/>
        <v>2.4099999999999997</v>
      </c>
      <c r="O11" s="20" t="str">
        <f t="shared" si="5"/>
        <v>OK</v>
      </c>
    </row>
    <row r="12" spans="1:15" ht="15" x14ac:dyDescent="0.25">
      <c r="A12" s="91"/>
      <c r="B12" s="32">
        <v>3</v>
      </c>
      <c r="C12" s="32">
        <v>1148629</v>
      </c>
      <c r="D12" s="39">
        <v>45750</v>
      </c>
      <c r="E12" s="32" t="s">
        <v>15</v>
      </c>
      <c r="F12" s="32" t="str">
        <f t="shared" si="0"/>
        <v>M20</v>
      </c>
      <c r="G12" s="61" t="str">
        <f t="shared" si="1"/>
        <v>009</v>
      </c>
      <c r="H12" s="72" t="str">
        <f t="shared" ref="H12:H18" si="7">H11</f>
        <v>C2</v>
      </c>
      <c r="I12" s="72">
        <f t="shared" ref="I12:I14" si="8">I11</f>
        <v>1</v>
      </c>
      <c r="J12" s="37" t="s">
        <v>32</v>
      </c>
      <c r="K12" s="37">
        <v>5</v>
      </c>
      <c r="L12" s="17">
        <v>0.84</v>
      </c>
      <c r="M12" s="19">
        <v>3.17</v>
      </c>
      <c r="N12" s="18">
        <f t="shared" si="4"/>
        <v>2.33</v>
      </c>
      <c r="O12" s="20" t="str">
        <f t="shared" si="5"/>
        <v>OK</v>
      </c>
    </row>
    <row r="13" spans="1:15" ht="15" x14ac:dyDescent="0.25">
      <c r="A13" s="91"/>
      <c r="B13" s="32">
        <v>3</v>
      </c>
      <c r="C13" s="32">
        <v>1148629</v>
      </c>
      <c r="D13" s="39">
        <v>45750</v>
      </c>
      <c r="E13" s="32" t="s">
        <v>15</v>
      </c>
      <c r="F13" s="32" t="str">
        <f t="shared" si="0"/>
        <v>M20</v>
      </c>
      <c r="G13" s="61" t="str">
        <f t="shared" si="1"/>
        <v>009</v>
      </c>
      <c r="H13" s="72" t="str">
        <f t="shared" si="7"/>
        <v>C2</v>
      </c>
      <c r="I13" s="72">
        <f t="shared" si="8"/>
        <v>1</v>
      </c>
      <c r="J13" s="37" t="s">
        <v>33</v>
      </c>
      <c r="K13" s="37">
        <v>6</v>
      </c>
      <c r="L13" s="17">
        <v>1.06</v>
      </c>
      <c r="M13" s="19">
        <v>4.2300000000000004</v>
      </c>
      <c r="N13" s="18">
        <f t="shared" si="4"/>
        <v>3.1700000000000004</v>
      </c>
      <c r="O13" s="20" t="str">
        <f t="shared" si="5"/>
        <v>OK</v>
      </c>
    </row>
    <row r="14" spans="1:15" ht="15" x14ac:dyDescent="0.25">
      <c r="A14" s="91"/>
      <c r="B14" s="32">
        <v>3</v>
      </c>
      <c r="C14" s="32">
        <v>1148629</v>
      </c>
      <c r="D14" s="39">
        <v>45750</v>
      </c>
      <c r="E14" s="32" t="s">
        <v>15</v>
      </c>
      <c r="F14" s="32" t="str">
        <f t="shared" si="0"/>
        <v>M20</v>
      </c>
      <c r="G14" s="61" t="str">
        <f t="shared" si="1"/>
        <v>009</v>
      </c>
      <c r="H14" s="72" t="str">
        <f t="shared" si="7"/>
        <v>C2</v>
      </c>
      <c r="I14" s="72">
        <f t="shared" si="8"/>
        <v>1</v>
      </c>
      <c r="J14" s="37" t="s">
        <v>34</v>
      </c>
      <c r="K14" s="37">
        <v>6</v>
      </c>
      <c r="L14" s="17">
        <v>0.39</v>
      </c>
      <c r="M14" s="19">
        <v>5.0199999999999996</v>
      </c>
      <c r="N14" s="18">
        <f t="shared" si="4"/>
        <v>4.63</v>
      </c>
      <c r="O14" s="20" t="str">
        <f t="shared" si="5"/>
        <v>OK</v>
      </c>
    </row>
    <row r="15" spans="1:15" ht="15" x14ac:dyDescent="0.25">
      <c r="A15" s="91"/>
      <c r="B15" s="32">
        <v>3</v>
      </c>
      <c r="C15" s="32">
        <v>1148629</v>
      </c>
      <c r="D15" s="39">
        <v>45750</v>
      </c>
      <c r="E15" s="32" t="s">
        <v>15</v>
      </c>
      <c r="F15" s="32" t="str">
        <f t="shared" si="0"/>
        <v>M20</v>
      </c>
      <c r="G15" s="61" t="str">
        <f t="shared" si="1"/>
        <v>009</v>
      </c>
      <c r="H15" s="72" t="str">
        <f t="shared" si="7"/>
        <v>C2</v>
      </c>
      <c r="I15" s="72">
        <v>2</v>
      </c>
      <c r="J15" s="37" t="s">
        <v>35</v>
      </c>
      <c r="K15" s="37">
        <v>7</v>
      </c>
      <c r="L15" s="17">
        <v>0.68</v>
      </c>
      <c r="M15" s="19">
        <v>3.04</v>
      </c>
      <c r="N15" s="18">
        <f t="shared" si="4"/>
        <v>2.36</v>
      </c>
      <c r="O15" s="20" t="str">
        <f t="shared" si="5"/>
        <v>OK</v>
      </c>
    </row>
    <row r="16" spans="1:15" ht="15" x14ac:dyDescent="0.25">
      <c r="A16" s="91"/>
      <c r="B16" s="32">
        <v>3</v>
      </c>
      <c r="C16" s="32">
        <v>1148629</v>
      </c>
      <c r="D16" s="39">
        <v>45750</v>
      </c>
      <c r="E16" s="32" t="s">
        <v>15</v>
      </c>
      <c r="F16" s="32" t="str">
        <f t="shared" si="0"/>
        <v>M20</v>
      </c>
      <c r="G16" s="61" t="str">
        <f t="shared" si="1"/>
        <v>009</v>
      </c>
      <c r="H16" s="72" t="str">
        <f t="shared" si="7"/>
        <v>C2</v>
      </c>
      <c r="I16" s="72">
        <f t="shared" ref="I16:I18" si="9">I15</f>
        <v>2</v>
      </c>
      <c r="J16" s="37" t="s">
        <v>36</v>
      </c>
      <c r="K16" s="37">
        <v>7</v>
      </c>
      <c r="L16" s="17">
        <v>0.86</v>
      </c>
      <c r="M16" s="19">
        <v>1.92</v>
      </c>
      <c r="N16" s="18">
        <f t="shared" si="4"/>
        <v>1.06</v>
      </c>
      <c r="O16" s="20" t="str">
        <f t="shared" si="5"/>
        <v>OK</v>
      </c>
    </row>
    <row r="17" spans="1:15" ht="15" x14ac:dyDescent="0.25">
      <c r="A17" s="91"/>
      <c r="B17" s="32">
        <v>3</v>
      </c>
      <c r="C17" s="32">
        <v>1148629</v>
      </c>
      <c r="D17" s="39">
        <v>45750</v>
      </c>
      <c r="E17" s="32" t="s">
        <v>15</v>
      </c>
      <c r="F17" s="32" t="str">
        <f t="shared" si="0"/>
        <v>M20</v>
      </c>
      <c r="G17" s="61" t="str">
        <f t="shared" si="1"/>
        <v>009</v>
      </c>
      <c r="H17" s="72" t="str">
        <f t="shared" si="7"/>
        <v>C2</v>
      </c>
      <c r="I17" s="72">
        <f t="shared" si="9"/>
        <v>2</v>
      </c>
      <c r="J17" s="37" t="s">
        <v>37</v>
      </c>
      <c r="K17" s="37">
        <v>8</v>
      </c>
      <c r="L17" s="17">
        <v>0.38</v>
      </c>
      <c r="M17" s="19">
        <v>2.61</v>
      </c>
      <c r="N17" s="18">
        <f t="shared" si="4"/>
        <v>2.23</v>
      </c>
      <c r="O17" s="20" t="str">
        <f t="shared" si="5"/>
        <v>OK</v>
      </c>
    </row>
    <row r="18" spans="1:15" ht="15" x14ac:dyDescent="0.25">
      <c r="A18" s="91"/>
      <c r="B18" s="32">
        <v>3</v>
      </c>
      <c r="C18" s="32">
        <v>1148629</v>
      </c>
      <c r="D18" s="39">
        <v>45750</v>
      </c>
      <c r="E18" s="32" t="s">
        <v>15</v>
      </c>
      <c r="F18" s="32" t="str">
        <f t="shared" si="0"/>
        <v>M20</v>
      </c>
      <c r="G18" s="61" t="str">
        <f t="shared" si="1"/>
        <v>009</v>
      </c>
      <c r="H18" s="72" t="str">
        <f t="shared" si="7"/>
        <v>C2</v>
      </c>
      <c r="I18" s="72">
        <f t="shared" si="9"/>
        <v>2</v>
      </c>
      <c r="J18" s="37" t="s">
        <v>38</v>
      </c>
      <c r="K18" s="37">
        <v>8</v>
      </c>
      <c r="L18" s="17">
        <v>0.72</v>
      </c>
      <c r="M18" s="19">
        <v>2.64</v>
      </c>
      <c r="N18" s="18">
        <f t="shared" si="4"/>
        <v>1.9200000000000002</v>
      </c>
      <c r="O18" s="20" t="str">
        <f t="shared" si="5"/>
        <v>OK</v>
      </c>
    </row>
    <row r="19" spans="1:15" ht="15" x14ac:dyDescent="0.25">
      <c r="A19" s="91"/>
      <c r="B19" s="32">
        <v>3</v>
      </c>
      <c r="C19" s="32">
        <v>1148629</v>
      </c>
      <c r="D19" s="39">
        <v>45750</v>
      </c>
      <c r="E19" s="32" t="s">
        <v>15</v>
      </c>
      <c r="F19" s="32" t="s">
        <v>40</v>
      </c>
      <c r="G19" s="61" t="s">
        <v>60</v>
      </c>
      <c r="H19" s="72" t="s">
        <v>42</v>
      </c>
      <c r="I19" s="72">
        <v>1</v>
      </c>
      <c r="J19" s="37" t="s">
        <v>31</v>
      </c>
      <c r="K19" s="37">
        <v>9</v>
      </c>
      <c r="L19" s="17">
        <v>0.78</v>
      </c>
      <c r="M19" s="19">
        <v>3.07</v>
      </c>
      <c r="N19" s="18">
        <f t="shared" si="4"/>
        <v>2.29</v>
      </c>
      <c r="O19" s="20" t="str">
        <f t="shared" si="5"/>
        <v>OK</v>
      </c>
    </row>
    <row r="20" spans="1:15" ht="15" x14ac:dyDescent="0.25">
      <c r="A20" s="91"/>
      <c r="B20" s="32">
        <v>3</v>
      </c>
      <c r="C20" s="32">
        <v>1148629</v>
      </c>
      <c r="D20" s="39">
        <v>45750</v>
      </c>
      <c r="E20" s="32" t="s">
        <v>15</v>
      </c>
      <c r="F20" s="32" t="str">
        <f t="shared" ref="F20:F34" si="10">F19</f>
        <v>M21</v>
      </c>
      <c r="G20" s="61" t="str">
        <f t="shared" ref="G20:G34" si="11">G19</f>
        <v>010</v>
      </c>
      <c r="H20" s="72" t="str">
        <f t="shared" ref="H20:H26" si="12">H19</f>
        <v>C3</v>
      </c>
      <c r="I20" s="72">
        <f t="shared" ref="I20:I22" si="13">I19</f>
        <v>1</v>
      </c>
      <c r="J20" s="37" t="s">
        <v>32</v>
      </c>
      <c r="K20" s="37">
        <v>9</v>
      </c>
      <c r="L20" s="17">
        <v>0.45</v>
      </c>
      <c r="M20" s="19">
        <v>3.11</v>
      </c>
      <c r="N20" s="18">
        <f t="shared" si="4"/>
        <v>2.6599999999999997</v>
      </c>
      <c r="O20" s="20" t="str">
        <f t="shared" si="5"/>
        <v>OK</v>
      </c>
    </row>
    <row r="21" spans="1:15" ht="15" x14ac:dyDescent="0.25">
      <c r="A21" s="91"/>
      <c r="B21" s="32">
        <v>3</v>
      </c>
      <c r="C21" s="32">
        <v>1148629</v>
      </c>
      <c r="D21" s="39">
        <v>45750</v>
      </c>
      <c r="E21" s="32" t="s">
        <v>15</v>
      </c>
      <c r="F21" s="32" t="str">
        <f t="shared" si="10"/>
        <v>M21</v>
      </c>
      <c r="G21" s="61" t="str">
        <f t="shared" si="11"/>
        <v>010</v>
      </c>
      <c r="H21" s="72" t="str">
        <f t="shared" si="12"/>
        <v>C3</v>
      </c>
      <c r="I21" s="72">
        <f t="shared" si="13"/>
        <v>1</v>
      </c>
      <c r="J21" s="37" t="s">
        <v>33</v>
      </c>
      <c r="K21" s="37">
        <v>10</v>
      </c>
      <c r="L21" s="17">
        <v>0.8</v>
      </c>
      <c r="M21" s="19">
        <v>3.6</v>
      </c>
      <c r="N21" s="18">
        <f t="shared" si="4"/>
        <v>2.8</v>
      </c>
      <c r="O21" s="20" t="str">
        <f t="shared" si="5"/>
        <v>OK</v>
      </c>
    </row>
    <row r="22" spans="1:15" ht="15" x14ac:dyDescent="0.25">
      <c r="A22" s="91"/>
      <c r="B22" s="32">
        <v>3</v>
      </c>
      <c r="C22" s="32">
        <v>1148629</v>
      </c>
      <c r="D22" s="39">
        <v>45750</v>
      </c>
      <c r="E22" s="32" t="s">
        <v>15</v>
      </c>
      <c r="F22" s="32" t="str">
        <f t="shared" si="10"/>
        <v>M21</v>
      </c>
      <c r="G22" s="61" t="str">
        <f t="shared" si="11"/>
        <v>010</v>
      </c>
      <c r="H22" s="72" t="str">
        <f t="shared" si="12"/>
        <v>C3</v>
      </c>
      <c r="I22" s="72">
        <f t="shared" si="13"/>
        <v>1</v>
      </c>
      <c r="J22" s="37" t="s">
        <v>34</v>
      </c>
      <c r="K22" s="37">
        <v>10</v>
      </c>
      <c r="L22" s="17">
        <v>1.23</v>
      </c>
      <c r="M22" s="19">
        <v>3.3</v>
      </c>
      <c r="N22" s="18">
        <f t="shared" si="4"/>
        <v>2.0699999999999998</v>
      </c>
      <c r="O22" s="20" t="str">
        <f t="shared" si="5"/>
        <v>OK</v>
      </c>
    </row>
    <row r="23" spans="1:15" ht="15" x14ac:dyDescent="0.25">
      <c r="A23" s="91"/>
      <c r="B23" s="32">
        <v>3</v>
      </c>
      <c r="C23" s="32">
        <v>1148629</v>
      </c>
      <c r="D23" s="39">
        <v>45750</v>
      </c>
      <c r="E23" s="32" t="s">
        <v>15</v>
      </c>
      <c r="F23" s="32" t="str">
        <f t="shared" si="10"/>
        <v>M21</v>
      </c>
      <c r="G23" s="61" t="str">
        <f t="shared" si="11"/>
        <v>010</v>
      </c>
      <c r="H23" s="72" t="str">
        <f t="shared" si="12"/>
        <v>C3</v>
      </c>
      <c r="I23" s="72">
        <v>2</v>
      </c>
      <c r="J23" s="37" t="s">
        <v>35</v>
      </c>
      <c r="K23" s="37">
        <v>11</v>
      </c>
      <c r="L23" s="17">
        <v>1.18</v>
      </c>
      <c r="M23" s="19">
        <v>4.58</v>
      </c>
      <c r="N23" s="18">
        <f t="shared" si="4"/>
        <v>3.4000000000000004</v>
      </c>
      <c r="O23" s="20" t="str">
        <f t="shared" si="5"/>
        <v>OK</v>
      </c>
    </row>
    <row r="24" spans="1:15" ht="15" x14ac:dyDescent="0.25">
      <c r="A24" s="91"/>
      <c r="B24" s="32">
        <v>3</v>
      </c>
      <c r="C24" s="32">
        <v>1148629</v>
      </c>
      <c r="D24" s="39">
        <v>45750</v>
      </c>
      <c r="E24" s="32" t="s">
        <v>15</v>
      </c>
      <c r="F24" s="32" t="str">
        <f t="shared" si="10"/>
        <v>M21</v>
      </c>
      <c r="G24" s="61" t="str">
        <f t="shared" si="11"/>
        <v>010</v>
      </c>
      <c r="H24" s="72" t="str">
        <f t="shared" si="12"/>
        <v>C3</v>
      </c>
      <c r="I24" s="72">
        <f t="shared" ref="I24:I26" si="14">I23</f>
        <v>2</v>
      </c>
      <c r="J24" s="37" t="s">
        <v>36</v>
      </c>
      <c r="K24" s="37">
        <v>11</v>
      </c>
      <c r="L24" s="17">
        <v>0.88</v>
      </c>
      <c r="M24" s="19">
        <v>3.72</v>
      </c>
      <c r="N24" s="18">
        <f t="shared" si="4"/>
        <v>2.8400000000000003</v>
      </c>
      <c r="O24" s="20" t="str">
        <f t="shared" si="5"/>
        <v>OK</v>
      </c>
    </row>
    <row r="25" spans="1:15" ht="15" x14ac:dyDescent="0.25">
      <c r="A25" s="91"/>
      <c r="B25" s="32">
        <v>3</v>
      </c>
      <c r="C25" s="32">
        <v>1148629</v>
      </c>
      <c r="D25" s="39">
        <v>45750</v>
      </c>
      <c r="E25" s="32" t="s">
        <v>15</v>
      </c>
      <c r="F25" s="32" t="str">
        <f t="shared" si="10"/>
        <v>M21</v>
      </c>
      <c r="G25" s="61" t="str">
        <f t="shared" si="11"/>
        <v>010</v>
      </c>
      <c r="H25" s="72" t="str">
        <f t="shared" si="12"/>
        <v>C3</v>
      </c>
      <c r="I25" s="72">
        <f t="shared" si="14"/>
        <v>2</v>
      </c>
      <c r="J25" s="37" t="s">
        <v>37</v>
      </c>
      <c r="K25" s="37">
        <v>12</v>
      </c>
      <c r="L25" s="17">
        <v>0.89</v>
      </c>
      <c r="M25" s="19">
        <v>4.5</v>
      </c>
      <c r="N25" s="18">
        <f t="shared" si="4"/>
        <v>3.61</v>
      </c>
      <c r="O25" s="20" t="str">
        <f t="shared" si="5"/>
        <v>OK</v>
      </c>
    </row>
    <row r="26" spans="1:15" ht="15" x14ac:dyDescent="0.25">
      <c r="A26" s="91"/>
      <c r="B26" s="32">
        <v>3</v>
      </c>
      <c r="C26" s="32">
        <v>1148629</v>
      </c>
      <c r="D26" s="39">
        <v>45750</v>
      </c>
      <c r="E26" s="32" t="s">
        <v>15</v>
      </c>
      <c r="F26" s="32" t="str">
        <f t="shared" si="10"/>
        <v>M21</v>
      </c>
      <c r="G26" s="61" t="str">
        <f t="shared" si="11"/>
        <v>010</v>
      </c>
      <c r="H26" s="72" t="str">
        <f t="shared" si="12"/>
        <v>C3</v>
      </c>
      <c r="I26" s="72">
        <f t="shared" si="14"/>
        <v>2</v>
      </c>
      <c r="J26" s="37" t="s">
        <v>38</v>
      </c>
      <c r="K26" s="37">
        <v>12</v>
      </c>
      <c r="L26" s="17">
        <v>0.97</v>
      </c>
      <c r="M26" s="19">
        <v>4.3899999999999997</v>
      </c>
      <c r="N26" s="18">
        <f t="shared" si="4"/>
        <v>3.42</v>
      </c>
      <c r="O26" s="20" t="str">
        <f t="shared" si="5"/>
        <v>OK</v>
      </c>
    </row>
    <row r="27" spans="1:15" ht="15" x14ac:dyDescent="0.25">
      <c r="A27" s="91"/>
      <c r="B27" s="32">
        <v>3</v>
      </c>
      <c r="C27" s="32">
        <v>1148629</v>
      </c>
      <c r="D27" s="39">
        <v>45750</v>
      </c>
      <c r="E27" s="32" t="s">
        <v>15</v>
      </c>
      <c r="F27" s="32" t="str">
        <f t="shared" si="10"/>
        <v>M21</v>
      </c>
      <c r="G27" s="61" t="str">
        <f t="shared" si="11"/>
        <v>010</v>
      </c>
      <c r="H27" s="72" t="s">
        <v>43</v>
      </c>
      <c r="I27" s="72">
        <v>1</v>
      </c>
      <c r="J27" s="37" t="s">
        <v>31</v>
      </c>
      <c r="K27" s="37">
        <v>13</v>
      </c>
      <c r="L27" s="17">
        <v>1.74</v>
      </c>
      <c r="M27" s="19">
        <v>4.17</v>
      </c>
      <c r="N27" s="18">
        <f t="shared" si="4"/>
        <v>2.4299999999999997</v>
      </c>
      <c r="O27" s="20" t="str">
        <f t="shared" si="5"/>
        <v>Reperfilado</v>
      </c>
    </row>
    <row r="28" spans="1:15" ht="15" x14ac:dyDescent="0.25">
      <c r="A28" s="91"/>
      <c r="B28" s="32">
        <v>3</v>
      </c>
      <c r="C28" s="32">
        <v>1148629</v>
      </c>
      <c r="D28" s="39">
        <v>45750</v>
      </c>
      <c r="E28" s="32" t="s">
        <v>15</v>
      </c>
      <c r="F28" s="32" t="str">
        <f t="shared" si="10"/>
        <v>M21</v>
      </c>
      <c r="G28" s="61" t="str">
        <f t="shared" si="11"/>
        <v>010</v>
      </c>
      <c r="H28" s="72" t="str">
        <f t="shared" ref="H28:H34" si="15">H27</f>
        <v>C4</v>
      </c>
      <c r="I28" s="72">
        <f t="shared" ref="I28:I30" si="16">I27</f>
        <v>1</v>
      </c>
      <c r="J28" s="37" t="s">
        <v>32</v>
      </c>
      <c r="K28" s="37">
        <v>13</v>
      </c>
      <c r="L28" s="17">
        <v>0.94</v>
      </c>
      <c r="M28" s="19">
        <v>3.77</v>
      </c>
      <c r="N28" s="18">
        <f t="shared" si="4"/>
        <v>2.83</v>
      </c>
      <c r="O28" s="20" t="str">
        <f t="shared" si="5"/>
        <v>OK</v>
      </c>
    </row>
    <row r="29" spans="1:15" ht="15" x14ac:dyDescent="0.25">
      <c r="A29" s="91"/>
      <c r="B29" s="32">
        <v>3</v>
      </c>
      <c r="C29" s="32">
        <v>1148629</v>
      </c>
      <c r="D29" s="39">
        <v>45750</v>
      </c>
      <c r="E29" s="32" t="s">
        <v>15</v>
      </c>
      <c r="F29" s="32" t="str">
        <f t="shared" si="10"/>
        <v>M21</v>
      </c>
      <c r="G29" s="61" t="str">
        <f t="shared" si="11"/>
        <v>010</v>
      </c>
      <c r="H29" s="72" t="str">
        <f t="shared" si="15"/>
        <v>C4</v>
      </c>
      <c r="I29" s="72">
        <f t="shared" si="16"/>
        <v>1</v>
      </c>
      <c r="J29" s="37" t="s">
        <v>33</v>
      </c>
      <c r="K29" s="37">
        <v>14</v>
      </c>
      <c r="L29" s="17">
        <v>0.42</v>
      </c>
      <c r="M29" s="19">
        <v>3.22</v>
      </c>
      <c r="N29" s="18">
        <f t="shared" si="4"/>
        <v>2.8000000000000003</v>
      </c>
      <c r="O29" s="20" t="str">
        <f t="shared" si="5"/>
        <v>OK</v>
      </c>
    </row>
    <row r="30" spans="1:15" ht="15" x14ac:dyDescent="0.25">
      <c r="A30" s="91"/>
      <c r="B30" s="32">
        <v>3</v>
      </c>
      <c r="C30" s="32">
        <v>1148629</v>
      </c>
      <c r="D30" s="39">
        <v>45750</v>
      </c>
      <c r="E30" s="32" t="s">
        <v>15</v>
      </c>
      <c r="F30" s="32" t="str">
        <f t="shared" si="10"/>
        <v>M21</v>
      </c>
      <c r="G30" s="61" t="str">
        <f t="shared" si="11"/>
        <v>010</v>
      </c>
      <c r="H30" s="72" t="str">
        <f t="shared" si="15"/>
        <v>C4</v>
      </c>
      <c r="I30" s="72">
        <f t="shared" si="16"/>
        <v>1</v>
      </c>
      <c r="J30" s="37" t="s">
        <v>34</v>
      </c>
      <c r="K30" s="37">
        <v>14</v>
      </c>
      <c r="L30" s="17">
        <v>1.41</v>
      </c>
      <c r="M30" s="19">
        <v>3.8</v>
      </c>
      <c r="N30" s="18">
        <f t="shared" si="4"/>
        <v>2.3899999999999997</v>
      </c>
      <c r="O30" s="20" t="str">
        <f t="shared" si="5"/>
        <v>OK</v>
      </c>
    </row>
    <row r="31" spans="1:15" ht="15" x14ac:dyDescent="0.25">
      <c r="A31" s="91"/>
      <c r="B31" s="32">
        <v>3</v>
      </c>
      <c r="C31" s="32">
        <v>1148629</v>
      </c>
      <c r="D31" s="39">
        <v>45750</v>
      </c>
      <c r="E31" s="32" t="s">
        <v>15</v>
      </c>
      <c r="F31" s="32" t="str">
        <f t="shared" si="10"/>
        <v>M21</v>
      </c>
      <c r="G31" s="61" t="str">
        <f t="shared" si="11"/>
        <v>010</v>
      </c>
      <c r="H31" s="72" t="str">
        <f t="shared" si="15"/>
        <v>C4</v>
      </c>
      <c r="I31" s="72">
        <v>2</v>
      </c>
      <c r="J31" s="37" t="s">
        <v>35</v>
      </c>
      <c r="K31" s="37">
        <v>15</v>
      </c>
      <c r="L31" s="17">
        <v>0.56999999999999995</v>
      </c>
      <c r="M31" s="19">
        <v>3.23</v>
      </c>
      <c r="N31" s="18">
        <f t="shared" si="4"/>
        <v>2.66</v>
      </c>
      <c r="O31" s="20" t="str">
        <f t="shared" si="5"/>
        <v>OK</v>
      </c>
    </row>
    <row r="32" spans="1:15" ht="15" x14ac:dyDescent="0.25">
      <c r="A32" s="91"/>
      <c r="B32" s="32">
        <v>3</v>
      </c>
      <c r="C32" s="32">
        <v>1148629</v>
      </c>
      <c r="D32" s="39">
        <v>45750</v>
      </c>
      <c r="E32" s="32" t="s">
        <v>15</v>
      </c>
      <c r="F32" s="32" t="str">
        <f t="shared" si="10"/>
        <v>M21</v>
      </c>
      <c r="G32" s="61" t="str">
        <f t="shared" si="11"/>
        <v>010</v>
      </c>
      <c r="H32" s="72" t="str">
        <f t="shared" si="15"/>
        <v>C4</v>
      </c>
      <c r="I32" s="72">
        <f t="shared" ref="I32:I34" si="17">I31</f>
        <v>2</v>
      </c>
      <c r="J32" s="37" t="s">
        <v>36</v>
      </c>
      <c r="K32" s="37">
        <v>15</v>
      </c>
      <c r="L32" s="17">
        <v>0.56999999999999995</v>
      </c>
      <c r="M32" s="19">
        <v>4</v>
      </c>
      <c r="N32" s="18">
        <f t="shared" si="4"/>
        <v>3.43</v>
      </c>
      <c r="O32" s="20" t="str">
        <f t="shared" si="5"/>
        <v>OK</v>
      </c>
    </row>
    <row r="33" spans="1:15" ht="15" x14ac:dyDescent="0.25">
      <c r="A33" s="91"/>
      <c r="B33" s="32">
        <v>3</v>
      </c>
      <c r="C33" s="32">
        <v>1148629</v>
      </c>
      <c r="D33" s="39">
        <v>45750</v>
      </c>
      <c r="E33" s="32" t="s">
        <v>15</v>
      </c>
      <c r="F33" s="32" t="str">
        <f t="shared" si="10"/>
        <v>M21</v>
      </c>
      <c r="G33" s="61" t="str">
        <f t="shared" si="11"/>
        <v>010</v>
      </c>
      <c r="H33" s="72" t="str">
        <f t="shared" si="15"/>
        <v>C4</v>
      </c>
      <c r="I33" s="72">
        <f t="shared" si="17"/>
        <v>2</v>
      </c>
      <c r="J33" s="37" t="s">
        <v>37</v>
      </c>
      <c r="K33" s="37">
        <v>16</v>
      </c>
      <c r="L33" s="17">
        <v>0.54</v>
      </c>
      <c r="M33" s="19">
        <v>4.0199999999999996</v>
      </c>
      <c r="N33" s="18">
        <f t="shared" si="4"/>
        <v>3.4799999999999995</v>
      </c>
      <c r="O33" s="20" t="str">
        <f t="shared" si="5"/>
        <v>OK</v>
      </c>
    </row>
    <row r="34" spans="1:15" ht="15" x14ac:dyDescent="0.25">
      <c r="A34" s="91"/>
      <c r="B34" s="32">
        <v>3</v>
      </c>
      <c r="C34" s="32">
        <v>1148629</v>
      </c>
      <c r="D34" s="39">
        <v>45750</v>
      </c>
      <c r="E34" s="32" t="s">
        <v>15</v>
      </c>
      <c r="F34" s="32" t="str">
        <f t="shared" si="10"/>
        <v>M21</v>
      </c>
      <c r="G34" s="61" t="str">
        <f t="shared" si="11"/>
        <v>010</v>
      </c>
      <c r="H34" s="72" t="str">
        <f t="shared" si="15"/>
        <v>C4</v>
      </c>
      <c r="I34" s="72">
        <f t="shared" si="17"/>
        <v>2</v>
      </c>
      <c r="J34" s="37" t="s">
        <v>38</v>
      </c>
      <c r="K34" s="37">
        <v>16</v>
      </c>
      <c r="L34" s="17">
        <v>1.43</v>
      </c>
      <c r="M34" s="19">
        <v>3.1</v>
      </c>
      <c r="N34" s="18">
        <f t="shared" si="4"/>
        <v>1.6700000000000002</v>
      </c>
      <c r="O34" s="20" t="str">
        <f t="shared" si="5"/>
        <v>OK</v>
      </c>
    </row>
    <row r="35" spans="1:15" ht="15" x14ac:dyDescent="0.25">
      <c r="A35" s="91"/>
      <c r="B35" s="32">
        <v>3</v>
      </c>
      <c r="C35" s="32">
        <v>1148629</v>
      </c>
      <c r="D35" s="39">
        <v>45750</v>
      </c>
      <c r="E35" s="32" t="s">
        <v>15</v>
      </c>
      <c r="F35" s="32" t="s">
        <v>44</v>
      </c>
      <c r="G35" s="61" t="s">
        <v>61</v>
      </c>
      <c r="H35" s="72" t="s">
        <v>46</v>
      </c>
      <c r="I35" s="72">
        <v>1</v>
      </c>
      <c r="J35" s="37" t="s">
        <v>31</v>
      </c>
      <c r="K35" s="37">
        <v>17</v>
      </c>
      <c r="L35" s="17">
        <v>1.66</v>
      </c>
      <c r="M35" s="19">
        <v>3.83</v>
      </c>
      <c r="N35" s="18">
        <f t="shared" si="4"/>
        <v>2.17</v>
      </c>
      <c r="O35" s="20" t="str">
        <f t="shared" si="5"/>
        <v>OK</v>
      </c>
    </row>
    <row r="36" spans="1:15" ht="15" x14ac:dyDescent="0.25">
      <c r="A36" s="91"/>
      <c r="B36" s="32">
        <v>3</v>
      </c>
      <c r="C36" s="32">
        <v>1148629</v>
      </c>
      <c r="D36" s="39">
        <v>45750</v>
      </c>
      <c r="E36" s="32" t="s">
        <v>15</v>
      </c>
      <c r="F36" s="32" t="str">
        <f t="shared" ref="F36:F50" si="18">F35</f>
        <v>M22</v>
      </c>
      <c r="G36" s="61" t="str">
        <f t="shared" ref="G36:G50" si="19">G35</f>
        <v>307</v>
      </c>
      <c r="H36" s="72" t="str">
        <f t="shared" ref="H36:H42" si="20">H35</f>
        <v>C5</v>
      </c>
      <c r="I36" s="72">
        <f t="shared" ref="I36:I38" si="21">I35</f>
        <v>1</v>
      </c>
      <c r="J36" s="37" t="s">
        <v>32</v>
      </c>
      <c r="K36" s="37">
        <v>17</v>
      </c>
      <c r="L36" s="17">
        <v>0.44</v>
      </c>
      <c r="M36" s="19">
        <v>1.2</v>
      </c>
      <c r="N36" s="18">
        <f t="shared" si="4"/>
        <v>0.76</v>
      </c>
      <c r="O36" s="20" t="str">
        <f t="shared" si="5"/>
        <v>Seguimiento</v>
      </c>
    </row>
    <row r="37" spans="1:15" ht="15" x14ac:dyDescent="0.25">
      <c r="A37" s="91"/>
      <c r="B37" s="32">
        <v>3</v>
      </c>
      <c r="C37" s="32">
        <v>1148629</v>
      </c>
      <c r="D37" s="39">
        <v>45750</v>
      </c>
      <c r="E37" s="32" t="s">
        <v>15</v>
      </c>
      <c r="F37" s="32" t="str">
        <f t="shared" si="18"/>
        <v>M22</v>
      </c>
      <c r="G37" s="61" t="str">
        <f t="shared" si="19"/>
        <v>307</v>
      </c>
      <c r="H37" s="72" t="str">
        <f t="shared" si="20"/>
        <v>C5</v>
      </c>
      <c r="I37" s="72">
        <f t="shared" si="21"/>
        <v>1</v>
      </c>
      <c r="J37" s="37" t="s">
        <v>33</v>
      </c>
      <c r="K37" s="37">
        <v>18</v>
      </c>
      <c r="L37" s="17">
        <v>1.23</v>
      </c>
      <c r="M37" s="19">
        <v>4.82</v>
      </c>
      <c r="N37" s="18">
        <f t="shared" si="4"/>
        <v>3.5900000000000003</v>
      </c>
      <c r="O37" s="20" t="str">
        <f t="shared" si="5"/>
        <v>OK</v>
      </c>
    </row>
    <row r="38" spans="1:15" ht="15" x14ac:dyDescent="0.25">
      <c r="A38" s="91"/>
      <c r="B38" s="32">
        <v>3</v>
      </c>
      <c r="C38" s="32">
        <v>1148629</v>
      </c>
      <c r="D38" s="39">
        <v>45750</v>
      </c>
      <c r="E38" s="32" t="s">
        <v>15</v>
      </c>
      <c r="F38" s="32" t="str">
        <f t="shared" si="18"/>
        <v>M22</v>
      </c>
      <c r="G38" s="61" t="str">
        <f t="shared" si="19"/>
        <v>307</v>
      </c>
      <c r="H38" s="72" t="str">
        <f t="shared" si="20"/>
        <v>C5</v>
      </c>
      <c r="I38" s="72">
        <f t="shared" si="21"/>
        <v>1</v>
      </c>
      <c r="J38" s="37" t="s">
        <v>34</v>
      </c>
      <c r="K38" s="37">
        <v>18</v>
      </c>
      <c r="L38" s="17">
        <v>0.23</v>
      </c>
      <c r="M38" s="19">
        <v>0.43</v>
      </c>
      <c r="N38" s="18">
        <f t="shared" si="4"/>
        <v>0.19999999999999998</v>
      </c>
      <c r="O38" s="20" t="str">
        <f t="shared" si="5"/>
        <v>Cambio</v>
      </c>
    </row>
    <row r="39" spans="1:15" ht="15" x14ac:dyDescent="0.25">
      <c r="A39" s="91"/>
      <c r="B39" s="32">
        <v>3</v>
      </c>
      <c r="C39" s="32">
        <v>1148629</v>
      </c>
      <c r="D39" s="39">
        <v>45750</v>
      </c>
      <c r="E39" s="32" t="s">
        <v>15</v>
      </c>
      <c r="F39" s="32" t="str">
        <f t="shared" si="18"/>
        <v>M22</v>
      </c>
      <c r="G39" s="61" t="str">
        <f t="shared" si="19"/>
        <v>307</v>
      </c>
      <c r="H39" s="72" t="str">
        <f t="shared" si="20"/>
        <v>C5</v>
      </c>
      <c r="I39" s="72">
        <v>2</v>
      </c>
      <c r="J39" s="37" t="s">
        <v>35</v>
      </c>
      <c r="K39" s="37">
        <v>19</v>
      </c>
      <c r="L39" s="17">
        <v>0.52</v>
      </c>
      <c r="M39" s="19">
        <v>1.59</v>
      </c>
      <c r="N39" s="18">
        <f t="shared" si="4"/>
        <v>1.07</v>
      </c>
      <c r="O39" s="20" t="str">
        <f t="shared" si="5"/>
        <v>OK</v>
      </c>
    </row>
    <row r="40" spans="1:15" ht="15" x14ac:dyDescent="0.25">
      <c r="A40" s="91"/>
      <c r="B40" s="32">
        <v>3</v>
      </c>
      <c r="C40" s="32">
        <v>1148629</v>
      </c>
      <c r="D40" s="39">
        <v>45750</v>
      </c>
      <c r="E40" s="32" t="s">
        <v>15</v>
      </c>
      <c r="F40" s="32" t="str">
        <f t="shared" si="18"/>
        <v>M22</v>
      </c>
      <c r="G40" s="61" t="str">
        <f t="shared" si="19"/>
        <v>307</v>
      </c>
      <c r="H40" s="72" t="str">
        <f t="shared" si="20"/>
        <v>C5</v>
      </c>
      <c r="I40" s="72">
        <f t="shared" ref="I40:I42" si="22">I39</f>
        <v>2</v>
      </c>
      <c r="J40" s="37" t="s">
        <v>36</v>
      </c>
      <c r="K40" s="37">
        <v>19</v>
      </c>
      <c r="L40" s="17">
        <v>1.55</v>
      </c>
      <c r="M40" s="19">
        <v>4.71</v>
      </c>
      <c r="N40" s="18">
        <f t="shared" si="4"/>
        <v>3.16</v>
      </c>
      <c r="O40" s="20" t="str">
        <f t="shared" si="5"/>
        <v>OK</v>
      </c>
    </row>
    <row r="41" spans="1:15" ht="15" x14ac:dyDescent="0.25">
      <c r="A41" s="91"/>
      <c r="B41" s="32">
        <v>3</v>
      </c>
      <c r="C41" s="32">
        <v>1148629</v>
      </c>
      <c r="D41" s="39">
        <v>45750</v>
      </c>
      <c r="E41" s="32" t="s">
        <v>15</v>
      </c>
      <c r="F41" s="32" t="str">
        <f t="shared" si="18"/>
        <v>M22</v>
      </c>
      <c r="G41" s="61" t="str">
        <f t="shared" si="19"/>
        <v>307</v>
      </c>
      <c r="H41" s="72" t="str">
        <f t="shared" si="20"/>
        <v>C5</v>
      </c>
      <c r="I41" s="72">
        <f t="shared" si="22"/>
        <v>2</v>
      </c>
      <c r="J41" s="37" t="s">
        <v>37</v>
      </c>
      <c r="K41" s="37">
        <v>20</v>
      </c>
      <c r="L41" s="17">
        <v>1.52</v>
      </c>
      <c r="M41" s="19">
        <v>4.82</v>
      </c>
      <c r="N41" s="18">
        <f t="shared" si="4"/>
        <v>3.3000000000000003</v>
      </c>
      <c r="O41" s="20" t="str">
        <f t="shared" si="5"/>
        <v>OK</v>
      </c>
    </row>
    <row r="42" spans="1:15" ht="15" x14ac:dyDescent="0.25">
      <c r="A42" s="91"/>
      <c r="B42" s="32">
        <v>3</v>
      </c>
      <c r="C42" s="32">
        <v>1148629</v>
      </c>
      <c r="D42" s="39">
        <v>45750</v>
      </c>
      <c r="E42" s="32" t="s">
        <v>15</v>
      </c>
      <c r="F42" s="32" t="str">
        <f t="shared" si="18"/>
        <v>M22</v>
      </c>
      <c r="G42" s="61" t="str">
        <f t="shared" si="19"/>
        <v>307</v>
      </c>
      <c r="H42" s="72" t="str">
        <f t="shared" si="20"/>
        <v>C5</v>
      </c>
      <c r="I42" s="72">
        <f t="shared" si="22"/>
        <v>2</v>
      </c>
      <c r="J42" s="37" t="s">
        <v>38</v>
      </c>
      <c r="K42" s="37">
        <v>20</v>
      </c>
      <c r="L42" s="17">
        <v>1.1000000000000001</v>
      </c>
      <c r="M42" s="19">
        <v>4.58</v>
      </c>
      <c r="N42" s="18">
        <f t="shared" si="4"/>
        <v>3.48</v>
      </c>
      <c r="O42" s="20" t="str">
        <f t="shared" si="5"/>
        <v>OK</v>
      </c>
    </row>
    <row r="43" spans="1:15" ht="15" x14ac:dyDescent="0.25">
      <c r="A43" s="91"/>
      <c r="B43" s="32">
        <v>3</v>
      </c>
      <c r="C43" s="32">
        <v>1148629</v>
      </c>
      <c r="D43" s="39">
        <v>45750</v>
      </c>
      <c r="E43" s="32" t="s">
        <v>15</v>
      </c>
      <c r="F43" s="32" t="str">
        <f t="shared" si="18"/>
        <v>M22</v>
      </c>
      <c r="G43" s="61" t="str">
        <f t="shared" si="19"/>
        <v>307</v>
      </c>
      <c r="H43" s="72" t="s">
        <v>47</v>
      </c>
      <c r="I43" s="72">
        <v>1</v>
      </c>
      <c r="J43" s="37" t="s">
        <v>31</v>
      </c>
      <c r="K43" s="37">
        <v>21</v>
      </c>
      <c r="L43" s="17">
        <v>1.07</v>
      </c>
      <c r="M43" s="19">
        <v>4.9800000000000004</v>
      </c>
      <c r="N43" s="18">
        <f t="shared" si="4"/>
        <v>3.91</v>
      </c>
      <c r="O43" s="20" t="str">
        <f t="shared" si="5"/>
        <v>OK</v>
      </c>
    </row>
    <row r="44" spans="1:15" ht="15" x14ac:dyDescent="0.25">
      <c r="A44" s="91"/>
      <c r="B44" s="32">
        <v>3</v>
      </c>
      <c r="C44" s="32">
        <v>1148629</v>
      </c>
      <c r="D44" s="39">
        <v>45750</v>
      </c>
      <c r="E44" s="32" t="s">
        <v>15</v>
      </c>
      <c r="F44" s="32" t="str">
        <f t="shared" si="18"/>
        <v>M22</v>
      </c>
      <c r="G44" s="61" t="str">
        <f t="shared" si="19"/>
        <v>307</v>
      </c>
      <c r="H44" s="72" t="str">
        <f t="shared" ref="H44:H50" si="23">H43</f>
        <v>C6</v>
      </c>
      <c r="I44" s="72">
        <f t="shared" ref="I44:I46" si="24">I43</f>
        <v>1</v>
      </c>
      <c r="J44" s="37" t="s">
        <v>32</v>
      </c>
      <c r="K44" s="37">
        <v>21</v>
      </c>
      <c r="L44" s="17">
        <v>1.55</v>
      </c>
      <c r="M44" s="19">
        <v>4.88</v>
      </c>
      <c r="N44" s="18">
        <f t="shared" si="4"/>
        <v>3.33</v>
      </c>
      <c r="O44" s="20" t="str">
        <f t="shared" si="5"/>
        <v>OK</v>
      </c>
    </row>
    <row r="45" spans="1:15" ht="15" x14ac:dyDescent="0.25">
      <c r="A45" s="91"/>
      <c r="B45" s="32">
        <v>3</v>
      </c>
      <c r="C45" s="32">
        <v>1148629</v>
      </c>
      <c r="D45" s="39">
        <v>45750</v>
      </c>
      <c r="E45" s="32" t="s">
        <v>15</v>
      </c>
      <c r="F45" s="32" t="str">
        <f t="shared" si="18"/>
        <v>M22</v>
      </c>
      <c r="G45" s="61" t="str">
        <f t="shared" si="19"/>
        <v>307</v>
      </c>
      <c r="H45" s="72" t="str">
        <f t="shared" si="23"/>
        <v>C6</v>
      </c>
      <c r="I45" s="72">
        <f t="shared" si="24"/>
        <v>1</v>
      </c>
      <c r="J45" s="37" t="s">
        <v>33</v>
      </c>
      <c r="K45" s="37">
        <v>22</v>
      </c>
      <c r="L45" s="17">
        <v>1.32</v>
      </c>
      <c r="M45" s="19">
        <v>4.91</v>
      </c>
      <c r="N45" s="18">
        <f t="shared" si="4"/>
        <v>3.59</v>
      </c>
      <c r="O45" s="20" t="str">
        <f t="shared" si="5"/>
        <v>OK</v>
      </c>
    </row>
    <row r="46" spans="1:15" ht="15" x14ac:dyDescent="0.25">
      <c r="A46" s="91"/>
      <c r="B46" s="32">
        <v>3</v>
      </c>
      <c r="C46" s="32">
        <v>1148629</v>
      </c>
      <c r="D46" s="39">
        <v>45750</v>
      </c>
      <c r="E46" s="32" t="s">
        <v>15</v>
      </c>
      <c r="F46" s="32" t="str">
        <f t="shared" si="18"/>
        <v>M22</v>
      </c>
      <c r="G46" s="61" t="str">
        <f t="shared" si="19"/>
        <v>307</v>
      </c>
      <c r="H46" s="72" t="str">
        <f t="shared" si="23"/>
        <v>C6</v>
      </c>
      <c r="I46" s="72">
        <f t="shared" si="24"/>
        <v>1</v>
      </c>
      <c r="J46" s="37" t="s">
        <v>34</v>
      </c>
      <c r="K46" s="37">
        <v>22</v>
      </c>
      <c r="L46" s="17">
        <v>0.62</v>
      </c>
      <c r="M46" s="19">
        <v>4.7</v>
      </c>
      <c r="N46" s="18">
        <f t="shared" si="4"/>
        <v>4.08</v>
      </c>
      <c r="O46" s="20" t="str">
        <f t="shared" si="5"/>
        <v>OK</v>
      </c>
    </row>
    <row r="47" spans="1:15" ht="15" x14ac:dyDescent="0.25">
      <c r="A47" s="91"/>
      <c r="B47" s="32">
        <v>3</v>
      </c>
      <c r="C47" s="32">
        <v>1148629</v>
      </c>
      <c r="D47" s="39">
        <v>45750</v>
      </c>
      <c r="E47" s="32" t="s">
        <v>15</v>
      </c>
      <c r="F47" s="32" t="str">
        <f t="shared" si="18"/>
        <v>M22</v>
      </c>
      <c r="G47" s="61" t="str">
        <f t="shared" si="19"/>
        <v>307</v>
      </c>
      <c r="H47" s="72" t="str">
        <f t="shared" si="23"/>
        <v>C6</v>
      </c>
      <c r="I47" s="72">
        <v>2</v>
      </c>
      <c r="J47" s="37" t="s">
        <v>35</v>
      </c>
      <c r="K47" s="37">
        <v>23</v>
      </c>
      <c r="L47" s="17">
        <v>0.35</v>
      </c>
      <c r="M47" s="19">
        <v>5.0199999999999996</v>
      </c>
      <c r="N47" s="18">
        <f t="shared" si="4"/>
        <v>4.67</v>
      </c>
      <c r="O47" s="20" t="str">
        <f t="shared" si="5"/>
        <v>OK</v>
      </c>
    </row>
    <row r="48" spans="1:15" ht="15" x14ac:dyDescent="0.25">
      <c r="A48" s="91"/>
      <c r="B48" s="32">
        <v>3</v>
      </c>
      <c r="C48" s="32">
        <v>1148629</v>
      </c>
      <c r="D48" s="39">
        <v>45750</v>
      </c>
      <c r="E48" s="32" t="s">
        <v>15</v>
      </c>
      <c r="F48" s="32" t="str">
        <f t="shared" si="18"/>
        <v>M22</v>
      </c>
      <c r="G48" s="61" t="str">
        <f t="shared" si="19"/>
        <v>307</v>
      </c>
      <c r="H48" s="72" t="str">
        <f t="shared" si="23"/>
        <v>C6</v>
      </c>
      <c r="I48" s="72">
        <f t="shared" ref="I48:I50" si="25">I47</f>
        <v>2</v>
      </c>
      <c r="J48" s="37" t="s">
        <v>36</v>
      </c>
      <c r="K48" s="37">
        <v>23</v>
      </c>
      <c r="L48" s="17">
        <v>1.04</v>
      </c>
      <c r="M48" s="19">
        <v>4.3899999999999997</v>
      </c>
      <c r="N48" s="18">
        <f t="shared" si="4"/>
        <v>3.3499999999999996</v>
      </c>
      <c r="O48" s="20" t="str">
        <f t="shared" si="5"/>
        <v>OK</v>
      </c>
    </row>
    <row r="49" spans="1:15" ht="15" x14ac:dyDescent="0.25">
      <c r="A49" s="91"/>
      <c r="B49" s="32">
        <v>3</v>
      </c>
      <c r="C49" s="32">
        <v>1148629</v>
      </c>
      <c r="D49" s="39">
        <v>45750</v>
      </c>
      <c r="E49" s="32" t="s">
        <v>15</v>
      </c>
      <c r="F49" s="32" t="str">
        <f t="shared" si="18"/>
        <v>M22</v>
      </c>
      <c r="G49" s="61" t="str">
        <f t="shared" si="19"/>
        <v>307</v>
      </c>
      <c r="H49" s="72" t="str">
        <f t="shared" si="23"/>
        <v>C6</v>
      </c>
      <c r="I49" s="72">
        <f t="shared" si="25"/>
        <v>2</v>
      </c>
      <c r="J49" s="37" t="s">
        <v>37</v>
      </c>
      <c r="K49" s="37">
        <v>24</v>
      </c>
      <c r="L49" s="17">
        <v>1.1599999999999999</v>
      </c>
      <c r="M49" s="19">
        <v>4.8</v>
      </c>
      <c r="N49" s="18">
        <f t="shared" si="4"/>
        <v>3.6399999999999997</v>
      </c>
      <c r="O49" s="20" t="str">
        <f t="shared" si="5"/>
        <v>OK</v>
      </c>
    </row>
    <row r="50" spans="1:15" ht="15" x14ac:dyDescent="0.25">
      <c r="A50" s="91"/>
      <c r="B50" s="32">
        <v>3</v>
      </c>
      <c r="C50" s="32">
        <v>1148629</v>
      </c>
      <c r="D50" s="39">
        <v>45750</v>
      </c>
      <c r="E50" s="32" t="s">
        <v>15</v>
      </c>
      <c r="F50" s="32" t="str">
        <f t="shared" si="18"/>
        <v>M22</v>
      </c>
      <c r="G50" s="61" t="str">
        <f t="shared" si="19"/>
        <v>307</v>
      </c>
      <c r="H50" s="72" t="str">
        <f t="shared" si="23"/>
        <v>C6</v>
      </c>
      <c r="I50" s="72">
        <f t="shared" si="25"/>
        <v>2</v>
      </c>
      <c r="J50" s="37" t="s">
        <v>38</v>
      </c>
      <c r="K50" s="37">
        <v>24</v>
      </c>
      <c r="L50" s="17">
        <v>1.67</v>
      </c>
      <c r="M50" s="19">
        <v>4.7699999999999996</v>
      </c>
      <c r="N50" s="18">
        <f t="shared" si="4"/>
        <v>3.0999999999999996</v>
      </c>
      <c r="O50" s="20" t="str">
        <f t="shared" si="5"/>
        <v>OK</v>
      </c>
    </row>
    <row r="51" spans="1:15" ht="15" x14ac:dyDescent="0.25">
      <c r="A51" s="91"/>
      <c r="B51" s="32">
        <v>3</v>
      </c>
      <c r="C51" s="32">
        <v>1148629</v>
      </c>
      <c r="D51" s="39">
        <v>45750</v>
      </c>
      <c r="E51" s="32" t="s">
        <v>15</v>
      </c>
      <c r="F51" s="32" t="s">
        <v>44</v>
      </c>
      <c r="G51" s="61" t="s">
        <v>62</v>
      </c>
      <c r="H51" s="72" t="s">
        <v>47</v>
      </c>
      <c r="I51" s="72">
        <v>2</v>
      </c>
      <c r="J51" s="37" t="s">
        <v>31</v>
      </c>
      <c r="K51" s="37">
        <v>25</v>
      </c>
      <c r="L51" s="17">
        <v>1.17</v>
      </c>
      <c r="M51" s="19">
        <v>3.66</v>
      </c>
      <c r="N51" s="18">
        <f t="shared" si="4"/>
        <v>2.4900000000000002</v>
      </c>
      <c r="O51" s="20" t="str">
        <f t="shared" si="5"/>
        <v>OK</v>
      </c>
    </row>
    <row r="52" spans="1:15" ht="15" x14ac:dyDescent="0.25">
      <c r="A52" s="91"/>
      <c r="B52" s="32">
        <v>3</v>
      </c>
      <c r="C52" s="32">
        <v>1148629</v>
      </c>
      <c r="D52" s="39">
        <v>45750</v>
      </c>
      <c r="E52" s="32" t="s">
        <v>15</v>
      </c>
      <c r="F52" s="32" t="str">
        <f t="shared" ref="F52:F66" si="26">F51</f>
        <v>M22</v>
      </c>
      <c r="G52" s="61" t="str">
        <f t="shared" ref="G52:G66" si="27">G51</f>
        <v>306</v>
      </c>
      <c r="H52" s="72" t="str">
        <f t="shared" ref="H52:H58" si="28">H51</f>
        <v>C6</v>
      </c>
      <c r="I52" s="72">
        <f t="shared" ref="I52:I54" si="29">I51</f>
        <v>2</v>
      </c>
      <c r="J52" s="37" t="s">
        <v>32</v>
      </c>
      <c r="K52" s="37">
        <v>25</v>
      </c>
      <c r="L52" s="17">
        <v>0.49</v>
      </c>
      <c r="M52" s="19">
        <v>1.1299999999999999</v>
      </c>
      <c r="N52" s="18">
        <f t="shared" si="4"/>
        <v>0.6399999999999999</v>
      </c>
      <c r="O52" s="20" t="str">
        <f t="shared" si="5"/>
        <v>Seguimiento</v>
      </c>
    </row>
    <row r="53" spans="1:15" ht="15" x14ac:dyDescent="0.25">
      <c r="A53" s="91"/>
      <c r="B53" s="32">
        <v>3</v>
      </c>
      <c r="C53" s="32">
        <v>1148629</v>
      </c>
      <c r="D53" s="39">
        <v>45750</v>
      </c>
      <c r="E53" s="32" t="s">
        <v>15</v>
      </c>
      <c r="F53" s="32" t="str">
        <f t="shared" si="26"/>
        <v>M22</v>
      </c>
      <c r="G53" s="61" t="str">
        <f t="shared" si="27"/>
        <v>306</v>
      </c>
      <c r="H53" s="72" t="str">
        <f t="shared" si="28"/>
        <v>C6</v>
      </c>
      <c r="I53" s="72">
        <f t="shared" si="29"/>
        <v>2</v>
      </c>
      <c r="J53" s="37" t="s">
        <v>33</v>
      </c>
      <c r="K53" s="37">
        <v>26</v>
      </c>
      <c r="L53" s="17">
        <v>0.44</v>
      </c>
      <c r="M53" s="19">
        <v>4.97</v>
      </c>
      <c r="N53" s="18">
        <f t="shared" si="4"/>
        <v>4.5299999999999994</v>
      </c>
      <c r="O53" s="20" t="str">
        <f t="shared" si="5"/>
        <v>OK</v>
      </c>
    </row>
    <row r="54" spans="1:15" ht="15" x14ac:dyDescent="0.25">
      <c r="A54" s="91"/>
      <c r="B54" s="32">
        <v>3</v>
      </c>
      <c r="C54" s="32">
        <v>1148629</v>
      </c>
      <c r="D54" s="39">
        <v>45750</v>
      </c>
      <c r="E54" s="32" t="s">
        <v>15</v>
      </c>
      <c r="F54" s="32" t="str">
        <f t="shared" si="26"/>
        <v>M22</v>
      </c>
      <c r="G54" s="61" t="str">
        <f t="shared" si="27"/>
        <v>306</v>
      </c>
      <c r="H54" s="72" t="str">
        <f t="shared" si="28"/>
        <v>C6</v>
      </c>
      <c r="I54" s="72">
        <f t="shared" si="29"/>
        <v>2</v>
      </c>
      <c r="J54" s="37" t="s">
        <v>34</v>
      </c>
      <c r="K54" s="37">
        <v>26</v>
      </c>
      <c r="L54" s="17">
        <v>0.45</v>
      </c>
      <c r="M54" s="19">
        <v>2.06</v>
      </c>
      <c r="N54" s="18">
        <f t="shared" si="4"/>
        <v>1.61</v>
      </c>
      <c r="O54" s="20" t="str">
        <f t="shared" si="5"/>
        <v>OK</v>
      </c>
    </row>
    <row r="55" spans="1:15" ht="15" x14ac:dyDescent="0.25">
      <c r="A55" s="91"/>
      <c r="B55" s="32">
        <v>3</v>
      </c>
      <c r="C55" s="32">
        <v>1148629</v>
      </c>
      <c r="D55" s="39">
        <v>45750</v>
      </c>
      <c r="E55" s="32" t="s">
        <v>15</v>
      </c>
      <c r="F55" s="32" t="str">
        <f t="shared" si="26"/>
        <v>M22</v>
      </c>
      <c r="G55" s="61" t="str">
        <f t="shared" si="27"/>
        <v>306</v>
      </c>
      <c r="H55" s="72" t="str">
        <f t="shared" si="28"/>
        <v>C6</v>
      </c>
      <c r="I55" s="72">
        <v>1</v>
      </c>
      <c r="J55" s="37" t="s">
        <v>35</v>
      </c>
      <c r="K55" s="37">
        <v>27</v>
      </c>
      <c r="L55" s="17">
        <v>0.25</v>
      </c>
      <c r="M55" s="19">
        <v>1.79</v>
      </c>
      <c r="N55" s="18">
        <f t="shared" si="4"/>
        <v>1.54</v>
      </c>
      <c r="O55" s="20" t="str">
        <f t="shared" si="5"/>
        <v>OK</v>
      </c>
    </row>
    <row r="56" spans="1:15" ht="15" x14ac:dyDescent="0.25">
      <c r="A56" s="91"/>
      <c r="B56" s="32">
        <v>3</v>
      </c>
      <c r="C56" s="32">
        <v>1148629</v>
      </c>
      <c r="D56" s="39">
        <v>45750</v>
      </c>
      <c r="E56" s="32" t="s">
        <v>15</v>
      </c>
      <c r="F56" s="32" t="str">
        <f t="shared" si="26"/>
        <v>M22</v>
      </c>
      <c r="G56" s="61" t="str">
        <f t="shared" si="27"/>
        <v>306</v>
      </c>
      <c r="H56" s="72" t="str">
        <f t="shared" si="28"/>
        <v>C6</v>
      </c>
      <c r="I56" s="72">
        <f t="shared" ref="I56:I58" si="30">I55</f>
        <v>1</v>
      </c>
      <c r="J56" s="37" t="s">
        <v>36</v>
      </c>
      <c r="K56" s="37">
        <v>27</v>
      </c>
      <c r="L56" s="17">
        <v>0.49</v>
      </c>
      <c r="M56" s="19">
        <v>4.9400000000000004</v>
      </c>
      <c r="N56" s="18">
        <f t="shared" si="4"/>
        <v>4.45</v>
      </c>
      <c r="O56" s="20" t="str">
        <f t="shared" si="5"/>
        <v>OK</v>
      </c>
    </row>
    <row r="57" spans="1:15" ht="15" x14ac:dyDescent="0.25">
      <c r="A57" s="91"/>
      <c r="B57" s="32">
        <v>3</v>
      </c>
      <c r="C57" s="32">
        <v>1148629</v>
      </c>
      <c r="D57" s="39">
        <v>45750</v>
      </c>
      <c r="E57" s="32" t="s">
        <v>15</v>
      </c>
      <c r="F57" s="32" t="str">
        <f t="shared" si="26"/>
        <v>M22</v>
      </c>
      <c r="G57" s="61" t="str">
        <f t="shared" si="27"/>
        <v>306</v>
      </c>
      <c r="H57" s="72" t="str">
        <f t="shared" si="28"/>
        <v>C6</v>
      </c>
      <c r="I57" s="72">
        <f t="shared" si="30"/>
        <v>1</v>
      </c>
      <c r="J57" s="37" t="s">
        <v>37</v>
      </c>
      <c r="K57" s="37">
        <v>28</v>
      </c>
      <c r="L57" s="17">
        <v>0.6</v>
      </c>
      <c r="M57" s="19">
        <v>4.8099999999999996</v>
      </c>
      <c r="N57" s="18">
        <f t="shared" si="4"/>
        <v>4.21</v>
      </c>
      <c r="O57" s="20" t="str">
        <f t="shared" si="5"/>
        <v>OK</v>
      </c>
    </row>
    <row r="58" spans="1:15" ht="15" x14ac:dyDescent="0.25">
      <c r="A58" s="91"/>
      <c r="B58" s="32">
        <v>3</v>
      </c>
      <c r="C58" s="32">
        <v>1148629</v>
      </c>
      <c r="D58" s="39">
        <v>45750</v>
      </c>
      <c r="E58" s="32" t="s">
        <v>15</v>
      </c>
      <c r="F58" s="32" t="str">
        <f t="shared" si="26"/>
        <v>M22</v>
      </c>
      <c r="G58" s="61" t="str">
        <f t="shared" si="27"/>
        <v>306</v>
      </c>
      <c r="H58" s="72" t="str">
        <f t="shared" si="28"/>
        <v>C6</v>
      </c>
      <c r="I58" s="72">
        <f t="shared" si="30"/>
        <v>1</v>
      </c>
      <c r="J58" s="37" t="s">
        <v>38</v>
      </c>
      <c r="K58" s="37">
        <v>28</v>
      </c>
      <c r="L58" s="17">
        <v>0.44</v>
      </c>
      <c r="M58" s="19">
        <v>4.78</v>
      </c>
      <c r="N58" s="18">
        <f t="shared" si="4"/>
        <v>4.34</v>
      </c>
      <c r="O58" s="20" t="str">
        <f t="shared" si="5"/>
        <v>OK</v>
      </c>
    </row>
    <row r="59" spans="1:15" ht="15" x14ac:dyDescent="0.25">
      <c r="A59" s="91"/>
      <c r="B59" s="32">
        <v>3</v>
      </c>
      <c r="C59" s="32">
        <v>1148629</v>
      </c>
      <c r="D59" s="39">
        <v>45750</v>
      </c>
      <c r="E59" s="32" t="s">
        <v>15</v>
      </c>
      <c r="F59" s="32" t="str">
        <f t="shared" si="26"/>
        <v>M22</v>
      </c>
      <c r="G59" s="61" t="str">
        <f t="shared" si="27"/>
        <v>306</v>
      </c>
      <c r="H59" s="72" t="s">
        <v>46</v>
      </c>
      <c r="I59" s="72">
        <v>2</v>
      </c>
      <c r="J59" s="37" t="s">
        <v>31</v>
      </c>
      <c r="K59" s="37">
        <v>29</v>
      </c>
      <c r="L59" s="17">
        <v>0.8</v>
      </c>
      <c r="M59" s="19">
        <v>4.08</v>
      </c>
      <c r="N59" s="18">
        <f t="shared" si="4"/>
        <v>3.2800000000000002</v>
      </c>
      <c r="O59" s="20" t="str">
        <f t="shared" si="5"/>
        <v>OK</v>
      </c>
    </row>
    <row r="60" spans="1:15" ht="15" x14ac:dyDescent="0.25">
      <c r="A60" s="91"/>
      <c r="B60" s="32">
        <v>3</v>
      </c>
      <c r="C60" s="32">
        <v>1148629</v>
      </c>
      <c r="D60" s="39">
        <v>45750</v>
      </c>
      <c r="E60" s="32" t="s">
        <v>15</v>
      </c>
      <c r="F60" s="32" t="str">
        <f t="shared" si="26"/>
        <v>M22</v>
      </c>
      <c r="G60" s="61" t="str">
        <f t="shared" si="27"/>
        <v>306</v>
      </c>
      <c r="H60" s="72" t="str">
        <f t="shared" ref="H60:H66" si="31">H59</f>
        <v>C5</v>
      </c>
      <c r="I60" s="72">
        <f t="shared" ref="I60:I62" si="32">I59</f>
        <v>2</v>
      </c>
      <c r="J60" s="37" t="s">
        <v>32</v>
      </c>
      <c r="K60" s="37">
        <v>29</v>
      </c>
      <c r="L60" s="17">
        <v>0.44</v>
      </c>
      <c r="M60" s="19">
        <v>4.92</v>
      </c>
      <c r="N60" s="18">
        <f t="shared" si="4"/>
        <v>4.4799999999999995</v>
      </c>
      <c r="O60" s="20" t="str">
        <f t="shared" si="5"/>
        <v>OK</v>
      </c>
    </row>
    <row r="61" spans="1:15" ht="15" x14ac:dyDescent="0.25">
      <c r="A61" s="91"/>
      <c r="B61" s="32">
        <v>3</v>
      </c>
      <c r="C61" s="32">
        <v>1148629</v>
      </c>
      <c r="D61" s="39">
        <v>45750</v>
      </c>
      <c r="E61" s="32" t="s">
        <v>15</v>
      </c>
      <c r="F61" s="32" t="str">
        <f t="shared" si="26"/>
        <v>M22</v>
      </c>
      <c r="G61" s="61" t="str">
        <f t="shared" si="27"/>
        <v>306</v>
      </c>
      <c r="H61" s="72" t="str">
        <f t="shared" si="31"/>
        <v>C5</v>
      </c>
      <c r="I61" s="72">
        <f t="shared" si="32"/>
        <v>2</v>
      </c>
      <c r="J61" s="37" t="s">
        <v>33</v>
      </c>
      <c r="K61" s="37">
        <v>30</v>
      </c>
      <c r="L61" s="17">
        <v>0.28999999999999998</v>
      </c>
      <c r="M61" s="19">
        <v>5.0599999999999996</v>
      </c>
      <c r="N61" s="18">
        <f t="shared" si="4"/>
        <v>4.7699999999999996</v>
      </c>
      <c r="O61" s="20" t="str">
        <f t="shared" si="5"/>
        <v>OK</v>
      </c>
    </row>
    <row r="62" spans="1:15" ht="15" x14ac:dyDescent="0.25">
      <c r="A62" s="91"/>
      <c r="B62" s="32">
        <v>3</v>
      </c>
      <c r="C62" s="32">
        <v>1148629</v>
      </c>
      <c r="D62" s="39">
        <v>45750</v>
      </c>
      <c r="E62" s="32" t="s">
        <v>15</v>
      </c>
      <c r="F62" s="32" t="str">
        <f t="shared" si="26"/>
        <v>M22</v>
      </c>
      <c r="G62" s="61" t="str">
        <f t="shared" si="27"/>
        <v>306</v>
      </c>
      <c r="H62" s="72" t="str">
        <f t="shared" si="31"/>
        <v>C5</v>
      </c>
      <c r="I62" s="72">
        <f t="shared" si="32"/>
        <v>2</v>
      </c>
      <c r="J62" s="37" t="s">
        <v>34</v>
      </c>
      <c r="K62" s="37">
        <v>30</v>
      </c>
      <c r="L62" s="17">
        <v>0.28999999999999998</v>
      </c>
      <c r="M62" s="19">
        <v>3.99</v>
      </c>
      <c r="N62" s="18">
        <f t="shared" si="4"/>
        <v>3.7</v>
      </c>
      <c r="O62" s="20" t="str">
        <f t="shared" si="5"/>
        <v>OK</v>
      </c>
    </row>
    <row r="63" spans="1:15" ht="15" x14ac:dyDescent="0.25">
      <c r="A63" s="91"/>
      <c r="B63" s="32">
        <v>3</v>
      </c>
      <c r="C63" s="32">
        <v>1148629</v>
      </c>
      <c r="D63" s="39">
        <v>45750</v>
      </c>
      <c r="E63" s="32" t="s">
        <v>15</v>
      </c>
      <c r="F63" s="32" t="str">
        <f t="shared" si="26"/>
        <v>M22</v>
      </c>
      <c r="G63" s="61" t="str">
        <f t="shared" si="27"/>
        <v>306</v>
      </c>
      <c r="H63" s="72" t="str">
        <f t="shared" si="31"/>
        <v>C5</v>
      </c>
      <c r="I63" s="72">
        <v>1</v>
      </c>
      <c r="J63" s="37" t="s">
        <v>35</v>
      </c>
      <c r="K63" s="37">
        <v>31</v>
      </c>
      <c r="L63" s="17">
        <v>0.89</v>
      </c>
      <c r="M63" s="19">
        <v>1.69</v>
      </c>
      <c r="N63" s="18">
        <f t="shared" si="4"/>
        <v>0.79999999999999993</v>
      </c>
      <c r="O63" s="20" t="str">
        <f t="shared" si="5"/>
        <v>Seguimiento</v>
      </c>
    </row>
    <row r="64" spans="1:15" ht="15" x14ac:dyDescent="0.25">
      <c r="A64" s="91"/>
      <c r="B64" s="32">
        <v>3</v>
      </c>
      <c r="C64" s="32">
        <v>1148629</v>
      </c>
      <c r="D64" s="39">
        <v>45750</v>
      </c>
      <c r="E64" s="32" t="s">
        <v>15</v>
      </c>
      <c r="F64" s="32" t="str">
        <f t="shared" si="26"/>
        <v>M22</v>
      </c>
      <c r="G64" s="61" t="str">
        <f t="shared" si="27"/>
        <v>306</v>
      </c>
      <c r="H64" s="72" t="str">
        <f t="shared" si="31"/>
        <v>C5</v>
      </c>
      <c r="I64" s="72">
        <f t="shared" ref="I64:I66" si="33">I63</f>
        <v>1</v>
      </c>
      <c r="J64" s="37" t="s">
        <v>36</v>
      </c>
      <c r="K64" s="37">
        <v>31</v>
      </c>
      <c r="L64" s="17">
        <v>0.64</v>
      </c>
      <c r="M64" s="19">
        <v>4.92</v>
      </c>
      <c r="N64" s="18">
        <f t="shared" si="4"/>
        <v>4.28</v>
      </c>
      <c r="O64" s="20" t="str">
        <f t="shared" si="5"/>
        <v>OK</v>
      </c>
    </row>
    <row r="65" spans="1:15" ht="15" x14ac:dyDescent="0.25">
      <c r="A65" s="91"/>
      <c r="B65" s="32">
        <v>3</v>
      </c>
      <c r="C65" s="32">
        <v>1148629</v>
      </c>
      <c r="D65" s="39">
        <v>45750</v>
      </c>
      <c r="E65" s="32" t="s">
        <v>15</v>
      </c>
      <c r="F65" s="32" t="str">
        <f t="shared" si="26"/>
        <v>M22</v>
      </c>
      <c r="G65" s="61" t="str">
        <f t="shared" si="27"/>
        <v>306</v>
      </c>
      <c r="H65" s="72" t="str">
        <f t="shared" si="31"/>
        <v>C5</v>
      </c>
      <c r="I65" s="72">
        <f t="shared" si="33"/>
        <v>1</v>
      </c>
      <c r="J65" s="37" t="s">
        <v>37</v>
      </c>
      <c r="K65" s="37">
        <v>32</v>
      </c>
      <c r="L65" s="17">
        <v>0.33</v>
      </c>
      <c r="M65" s="19">
        <v>4.95</v>
      </c>
      <c r="N65" s="18">
        <f t="shared" si="4"/>
        <v>4.62</v>
      </c>
      <c r="O65" s="20" t="str">
        <f t="shared" si="5"/>
        <v>OK</v>
      </c>
    </row>
    <row r="66" spans="1:15" ht="15" x14ac:dyDescent="0.25">
      <c r="A66" s="91"/>
      <c r="B66" s="32">
        <v>3</v>
      </c>
      <c r="C66" s="32">
        <v>1148629</v>
      </c>
      <c r="D66" s="39">
        <v>45750</v>
      </c>
      <c r="E66" s="32" t="s">
        <v>15</v>
      </c>
      <c r="F66" s="32" t="str">
        <f t="shared" si="26"/>
        <v>M22</v>
      </c>
      <c r="G66" s="61" t="str">
        <f t="shared" si="27"/>
        <v>306</v>
      </c>
      <c r="H66" s="72" t="str">
        <f t="shared" si="31"/>
        <v>C5</v>
      </c>
      <c r="I66" s="72">
        <f t="shared" si="33"/>
        <v>1</v>
      </c>
      <c r="J66" s="37" t="s">
        <v>38</v>
      </c>
      <c r="K66" s="37">
        <v>32</v>
      </c>
      <c r="L66" s="17">
        <v>0.57999999999999996</v>
      </c>
      <c r="M66" s="19">
        <v>4.41</v>
      </c>
      <c r="N66" s="18">
        <f t="shared" si="4"/>
        <v>3.83</v>
      </c>
      <c r="O66" s="20" t="str">
        <f t="shared" si="5"/>
        <v>OK</v>
      </c>
    </row>
    <row r="67" spans="1:15" ht="15" x14ac:dyDescent="0.25">
      <c r="A67" s="91"/>
      <c r="B67" s="32">
        <v>3</v>
      </c>
      <c r="C67" s="32">
        <v>1148629</v>
      </c>
      <c r="D67" s="39">
        <v>45750</v>
      </c>
      <c r="E67" s="32" t="s">
        <v>15</v>
      </c>
      <c r="F67" s="32" t="s">
        <v>40</v>
      </c>
      <c r="G67" s="61" t="s">
        <v>63</v>
      </c>
      <c r="H67" s="72" t="s">
        <v>43</v>
      </c>
      <c r="I67" s="72">
        <v>2</v>
      </c>
      <c r="J67" s="37" t="s">
        <v>31</v>
      </c>
      <c r="K67" s="37">
        <v>33</v>
      </c>
      <c r="L67" s="17">
        <v>0.19</v>
      </c>
      <c r="M67" s="19">
        <v>3.18</v>
      </c>
      <c r="N67" s="18">
        <f t="shared" si="4"/>
        <v>2.99</v>
      </c>
      <c r="O67" s="20" t="str">
        <f t="shared" si="5"/>
        <v>OK</v>
      </c>
    </row>
    <row r="68" spans="1:15" ht="15" x14ac:dyDescent="0.25">
      <c r="A68" s="91"/>
      <c r="B68" s="32">
        <v>3</v>
      </c>
      <c r="C68" s="32">
        <v>1148629</v>
      </c>
      <c r="D68" s="39">
        <v>45750</v>
      </c>
      <c r="E68" s="32" t="s">
        <v>15</v>
      </c>
      <c r="F68" s="32" t="str">
        <f t="shared" ref="F68:F82" si="34">F67</f>
        <v>M21</v>
      </c>
      <c r="G68" s="61" t="str">
        <f t="shared" ref="G68:G82" si="35">G67</f>
        <v>012</v>
      </c>
      <c r="H68" s="72" t="str">
        <f t="shared" ref="H68:H74" si="36">H67</f>
        <v>C4</v>
      </c>
      <c r="I68" s="72">
        <f t="shared" ref="I68:I70" si="37">I67</f>
        <v>2</v>
      </c>
      <c r="J68" s="37" t="s">
        <v>32</v>
      </c>
      <c r="K68" s="37">
        <v>33</v>
      </c>
      <c r="L68" s="17">
        <v>0.23</v>
      </c>
      <c r="M68" s="19">
        <v>4.2699999999999996</v>
      </c>
      <c r="N68" s="18">
        <f t="shared" ref="N68:N98" si="38">+M68-L68</f>
        <v>4.0399999999999991</v>
      </c>
      <c r="O68" s="20" t="str">
        <f t="shared" ref="O68:O131" si="39">IF(N68&lt;=0,"Critico",IF(N68&lt;=0.2,"Cambio",IF(N68&lt;=1,"Seguimiento",IF(L68&gt;=1.7,"Reperfilado","OK"))))</f>
        <v>OK</v>
      </c>
    </row>
    <row r="69" spans="1:15" ht="15" x14ac:dyDescent="0.25">
      <c r="A69" s="91"/>
      <c r="B69" s="32">
        <v>3</v>
      </c>
      <c r="C69" s="32">
        <v>1148629</v>
      </c>
      <c r="D69" s="39">
        <v>45750</v>
      </c>
      <c r="E69" s="32" t="s">
        <v>15</v>
      </c>
      <c r="F69" s="32" t="str">
        <f t="shared" si="34"/>
        <v>M21</v>
      </c>
      <c r="G69" s="61" t="str">
        <f t="shared" si="35"/>
        <v>012</v>
      </c>
      <c r="H69" s="72" t="str">
        <f t="shared" si="36"/>
        <v>C4</v>
      </c>
      <c r="I69" s="72">
        <f t="shared" si="37"/>
        <v>2</v>
      </c>
      <c r="J69" s="37" t="s">
        <v>33</v>
      </c>
      <c r="K69" s="37">
        <v>34</v>
      </c>
      <c r="L69" s="17">
        <v>0.45</v>
      </c>
      <c r="M69" s="19">
        <v>4.0199999999999996</v>
      </c>
      <c r="N69" s="18">
        <f t="shared" si="38"/>
        <v>3.5699999999999994</v>
      </c>
      <c r="O69" s="20" t="str">
        <f t="shared" si="39"/>
        <v>OK</v>
      </c>
    </row>
    <row r="70" spans="1:15" ht="15" x14ac:dyDescent="0.25">
      <c r="A70" s="91"/>
      <c r="B70" s="32">
        <v>3</v>
      </c>
      <c r="C70" s="32">
        <v>1148629</v>
      </c>
      <c r="D70" s="39">
        <v>45750</v>
      </c>
      <c r="E70" s="32" t="s">
        <v>15</v>
      </c>
      <c r="F70" s="32" t="str">
        <f t="shared" si="34"/>
        <v>M21</v>
      </c>
      <c r="G70" s="61" t="str">
        <f t="shared" si="35"/>
        <v>012</v>
      </c>
      <c r="H70" s="72" t="str">
        <f t="shared" si="36"/>
        <v>C4</v>
      </c>
      <c r="I70" s="72">
        <f t="shared" si="37"/>
        <v>2</v>
      </c>
      <c r="J70" s="37" t="s">
        <v>34</v>
      </c>
      <c r="K70" s="37">
        <v>34</v>
      </c>
      <c r="L70" s="17">
        <v>0.19</v>
      </c>
      <c r="M70" s="19">
        <v>2.2999999999999998</v>
      </c>
      <c r="N70" s="18">
        <f t="shared" si="38"/>
        <v>2.11</v>
      </c>
      <c r="O70" s="20" t="str">
        <f t="shared" si="39"/>
        <v>OK</v>
      </c>
    </row>
    <row r="71" spans="1:15" ht="15" x14ac:dyDescent="0.25">
      <c r="A71" s="91"/>
      <c r="B71" s="32">
        <v>3</v>
      </c>
      <c r="C71" s="32">
        <v>1148629</v>
      </c>
      <c r="D71" s="39">
        <v>45750</v>
      </c>
      <c r="E71" s="32" t="s">
        <v>15</v>
      </c>
      <c r="F71" s="32" t="str">
        <f t="shared" si="34"/>
        <v>M21</v>
      </c>
      <c r="G71" s="61" t="str">
        <f t="shared" si="35"/>
        <v>012</v>
      </c>
      <c r="H71" s="72" t="str">
        <f t="shared" si="36"/>
        <v>C4</v>
      </c>
      <c r="I71" s="72">
        <v>1</v>
      </c>
      <c r="J71" s="37" t="s">
        <v>35</v>
      </c>
      <c r="K71" s="37">
        <v>35</v>
      </c>
      <c r="L71" s="17">
        <v>0.87</v>
      </c>
      <c r="M71" s="19">
        <v>3.12</v>
      </c>
      <c r="N71" s="18">
        <f t="shared" si="38"/>
        <v>2.25</v>
      </c>
      <c r="O71" s="20" t="str">
        <f t="shared" si="39"/>
        <v>OK</v>
      </c>
    </row>
    <row r="72" spans="1:15" ht="15" x14ac:dyDescent="0.25">
      <c r="A72" s="91"/>
      <c r="B72" s="32">
        <v>3</v>
      </c>
      <c r="C72" s="32">
        <v>1148629</v>
      </c>
      <c r="D72" s="39">
        <v>45750</v>
      </c>
      <c r="E72" s="32" t="s">
        <v>15</v>
      </c>
      <c r="F72" s="32" t="str">
        <f t="shared" si="34"/>
        <v>M21</v>
      </c>
      <c r="G72" s="61" t="str">
        <f t="shared" si="35"/>
        <v>012</v>
      </c>
      <c r="H72" s="72" t="str">
        <f t="shared" si="36"/>
        <v>C4</v>
      </c>
      <c r="I72" s="72">
        <f t="shared" ref="I72:I74" si="40">I71</f>
        <v>1</v>
      </c>
      <c r="J72" s="37" t="s">
        <v>36</v>
      </c>
      <c r="K72" s="37">
        <v>35</v>
      </c>
      <c r="L72" s="17">
        <v>0.35</v>
      </c>
      <c r="M72" s="19">
        <v>3.53</v>
      </c>
      <c r="N72" s="18">
        <f t="shared" si="38"/>
        <v>3.1799999999999997</v>
      </c>
      <c r="O72" s="20" t="str">
        <f t="shared" si="39"/>
        <v>OK</v>
      </c>
    </row>
    <row r="73" spans="1:15" ht="15" x14ac:dyDescent="0.25">
      <c r="A73" s="91"/>
      <c r="B73" s="32">
        <v>3</v>
      </c>
      <c r="C73" s="32">
        <v>1148629</v>
      </c>
      <c r="D73" s="39">
        <v>45750</v>
      </c>
      <c r="E73" s="32" t="s">
        <v>15</v>
      </c>
      <c r="F73" s="32" t="str">
        <f t="shared" si="34"/>
        <v>M21</v>
      </c>
      <c r="G73" s="61" t="str">
        <f t="shared" si="35"/>
        <v>012</v>
      </c>
      <c r="H73" s="72" t="str">
        <f t="shared" si="36"/>
        <v>C4</v>
      </c>
      <c r="I73" s="72">
        <f t="shared" si="40"/>
        <v>1</v>
      </c>
      <c r="J73" s="37" t="s">
        <v>37</v>
      </c>
      <c r="K73" s="37">
        <v>36</v>
      </c>
      <c r="L73" s="17">
        <v>0.72</v>
      </c>
      <c r="M73" s="19">
        <v>3.86</v>
      </c>
      <c r="N73" s="18">
        <f t="shared" si="38"/>
        <v>3.1399999999999997</v>
      </c>
      <c r="O73" s="20" t="str">
        <f t="shared" si="39"/>
        <v>OK</v>
      </c>
    </row>
    <row r="74" spans="1:15" ht="15" x14ac:dyDescent="0.25">
      <c r="A74" s="91"/>
      <c r="B74" s="32">
        <v>3</v>
      </c>
      <c r="C74" s="32">
        <v>1148629</v>
      </c>
      <c r="D74" s="39">
        <v>45750</v>
      </c>
      <c r="E74" s="32" t="s">
        <v>15</v>
      </c>
      <c r="F74" s="32" t="str">
        <f t="shared" si="34"/>
        <v>M21</v>
      </c>
      <c r="G74" s="61" t="str">
        <f t="shared" si="35"/>
        <v>012</v>
      </c>
      <c r="H74" s="72" t="str">
        <f t="shared" si="36"/>
        <v>C4</v>
      </c>
      <c r="I74" s="72">
        <f t="shared" si="40"/>
        <v>1</v>
      </c>
      <c r="J74" s="37" t="s">
        <v>38</v>
      </c>
      <c r="K74" s="37">
        <v>36</v>
      </c>
      <c r="L74" s="17">
        <v>0.92</v>
      </c>
      <c r="M74" s="19">
        <v>3.79</v>
      </c>
      <c r="N74" s="18">
        <f t="shared" si="38"/>
        <v>2.87</v>
      </c>
      <c r="O74" s="20" t="str">
        <f t="shared" si="39"/>
        <v>OK</v>
      </c>
    </row>
    <row r="75" spans="1:15" ht="15" x14ac:dyDescent="0.25">
      <c r="A75" s="91"/>
      <c r="B75" s="32">
        <v>3</v>
      </c>
      <c r="C75" s="32">
        <v>1148629</v>
      </c>
      <c r="D75" s="39">
        <v>45750</v>
      </c>
      <c r="E75" s="32" t="s">
        <v>15</v>
      </c>
      <c r="F75" s="32" t="str">
        <f t="shared" si="34"/>
        <v>M21</v>
      </c>
      <c r="G75" s="61" t="str">
        <f t="shared" si="35"/>
        <v>012</v>
      </c>
      <c r="H75" s="72" t="s">
        <v>42</v>
      </c>
      <c r="I75" s="72">
        <v>2</v>
      </c>
      <c r="J75" s="37" t="s">
        <v>31</v>
      </c>
      <c r="K75" s="37">
        <v>37</v>
      </c>
      <c r="L75" s="17">
        <v>1.07</v>
      </c>
      <c r="M75" s="19">
        <v>4.07</v>
      </c>
      <c r="N75" s="18">
        <f t="shared" si="38"/>
        <v>3</v>
      </c>
      <c r="O75" s="20" t="str">
        <f t="shared" si="39"/>
        <v>OK</v>
      </c>
    </row>
    <row r="76" spans="1:15" ht="15" x14ac:dyDescent="0.25">
      <c r="A76" s="91"/>
      <c r="B76" s="32">
        <v>3</v>
      </c>
      <c r="C76" s="32">
        <v>1148629</v>
      </c>
      <c r="D76" s="39">
        <v>45750</v>
      </c>
      <c r="E76" s="32" t="s">
        <v>15</v>
      </c>
      <c r="F76" s="32" t="str">
        <f t="shared" si="34"/>
        <v>M21</v>
      </c>
      <c r="G76" s="61" t="str">
        <f t="shared" si="35"/>
        <v>012</v>
      </c>
      <c r="H76" s="72" t="str">
        <f t="shared" ref="H76:H82" si="41">H75</f>
        <v>C3</v>
      </c>
      <c r="I76" s="72">
        <f t="shared" ref="I76:I78" si="42">I75</f>
        <v>2</v>
      </c>
      <c r="J76" s="37" t="s">
        <v>32</v>
      </c>
      <c r="K76" s="37">
        <v>37</v>
      </c>
      <c r="L76" s="17">
        <v>1.18</v>
      </c>
      <c r="M76" s="19">
        <v>3.87</v>
      </c>
      <c r="N76" s="18">
        <f t="shared" si="38"/>
        <v>2.6900000000000004</v>
      </c>
      <c r="O76" s="20" t="str">
        <f t="shared" si="39"/>
        <v>OK</v>
      </c>
    </row>
    <row r="77" spans="1:15" ht="15" x14ac:dyDescent="0.25">
      <c r="A77" s="91"/>
      <c r="B77" s="32">
        <v>3</v>
      </c>
      <c r="C77" s="32">
        <v>1148629</v>
      </c>
      <c r="D77" s="39">
        <v>45750</v>
      </c>
      <c r="E77" s="32" t="s">
        <v>15</v>
      </c>
      <c r="F77" s="32" t="str">
        <f t="shared" si="34"/>
        <v>M21</v>
      </c>
      <c r="G77" s="61" t="str">
        <f t="shared" si="35"/>
        <v>012</v>
      </c>
      <c r="H77" s="72" t="str">
        <f t="shared" si="41"/>
        <v>C3</v>
      </c>
      <c r="I77" s="72">
        <f t="shared" si="42"/>
        <v>2</v>
      </c>
      <c r="J77" s="37" t="s">
        <v>33</v>
      </c>
      <c r="K77" s="37">
        <v>38</v>
      </c>
      <c r="L77" s="17">
        <v>0.96</v>
      </c>
      <c r="M77" s="19">
        <v>4.74</v>
      </c>
      <c r="N77" s="18">
        <f t="shared" si="38"/>
        <v>3.7800000000000002</v>
      </c>
      <c r="O77" s="20" t="str">
        <f t="shared" si="39"/>
        <v>OK</v>
      </c>
    </row>
    <row r="78" spans="1:15" ht="15" x14ac:dyDescent="0.25">
      <c r="A78" s="91"/>
      <c r="B78" s="32">
        <v>3</v>
      </c>
      <c r="C78" s="32">
        <v>1148629</v>
      </c>
      <c r="D78" s="39">
        <v>45750</v>
      </c>
      <c r="E78" s="32" t="s">
        <v>15</v>
      </c>
      <c r="F78" s="32" t="str">
        <f t="shared" si="34"/>
        <v>M21</v>
      </c>
      <c r="G78" s="61" t="str">
        <f t="shared" si="35"/>
        <v>012</v>
      </c>
      <c r="H78" s="72" t="str">
        <f t="shared" si="41"/>
        <v>C3</v>
      </c>
      <c r="I78" s="72">
        <f t="shared" si="42"/>
        <v>2</v>
      </c>
      <c r="J78" s="37" t="s">
        <v>34</v>
      </c>
      <c r="K78" s="37">
        <v>38</v>
      </c>
      <c r="L78" s="17">
        <v>0.54</v>
      </c>
      <c r="M78" s="19">
        <v>2.9</v>
      </c>
      <c r="N78" s="18">
        <f t="shared" si="38"/>
        <v>2.36</v>
      </c>
      <c r="O78" s="20" t="str">
        <f t="shared" si="39"/>
        <v>OK</v>
      </c>
    </row>
    <row r="79" spans="1:15" ht="15" x14ac:dyDescent="0.25">
      <c r="A79" s="91"/>
      <c r="B79" s="32">
        <v>3</v>
      </c>
      <c r="C79" s="32">
        <v>1148629</v>
      </c>
      <c r="D79" s="39">
        <v>45750</v>
      </c>
      <c r="E79" s="32" t="s">
        <v>15</v>
      </c>
      <c r="F79" s="32" t="str">
        <f t="shared" si="34"/>
        <v>M21</v>
      </c>
      <c r="G79" s="61" t="str">
        <f t="shared" si="35"/>
        <v>012</v>
      </c>
      <c r="H79" s="72" t="str">
        <f t="shared" si="41"/>
        <v>C3</v>
      </c>
      <c r="I79" s="72">
        <v>1</v>
      </c>
      <c r="J79" s="37" t="s">
        <v>35</v>
      </c>
      <c r="K79" s="37">
        <v>39</v>
      </c>
      <c r="L79" s="17">
        <v>0.81</v>
      </c>
      <c r="M79" s="19">
        <v>3.9</v>
      </c>
      <c r="N79" s="18">
        <f t="shared" si="38"/>
        <v>3.09</v>
      </c>
      <c r="O79" s="20" t="str">
        <f t="shared" si="39"/>
        <v>OK</v>
      </c>
    </row>
    <row r="80" spans="1:15" ht="15" x14ac:dyDescent="0.25">
      <c r="A80" s="91"/>
      <c r="B80" s="32">
        <v>3</v>
      </c>
      <c r="C80" s="32">
        <v>1148629</v>
      </c>
      <c r="D80" s="39">
        <v>45750</v>
      </c>
      <c r="E80" s="32" t="s">
        <v>15</v>
      </c>
      <c r="F80" s="32" t="str">
        <f t="shared" si="34"/>
        <v>M21</v>
      </c>
      <c r="G80" s="61" t="str">
        <f t="shared" si="35"/>
        <v>012</v>
      </c>
      <c r="H80" s="72" t="str">
        <f t="shared" si="41"/>
        <v>C3</v>
      </c>
      <c r="I80" s="72">
        <f t="shared" ref="I80:I82" si="43">I79</f>
        <v>1</v>
      </c>
      <c r="J80" s="37" t="s">
        <v>36</v>
      </c>
      <c r="K80" s="37">
        <v>39</v>
      </c>
      <c r="L80" s="17">
        <v>0.2</v>
      </c>
      <c r="M80" s="19">
        <v>4.76</v>
      </c>
      <c r="N80" s="18">
        <f t="shared" si="38"/>
        <v>4.5599999999999996</v>
      </c>
      <c r="O80" s="20" t="str">
        <f t="shared" si="39"/>
        <v>OK</v>
      </c>
    </row>
    <row r="81" spans="1:15" ht="15" x14ac:dyDescent="0.25">
      <c r="A81" s="91"/>
      <c r="B81" s="32">
        <v>3</v>
      </c>
      <c r="C81" s="32">
        <v>1148629</v>
      </c>
      <c r="D81" s="39">
        <v>45750</v>
      </c>
      <c r="E81" s="32" t="s">
        <v>15</v>
      </c>
      <c r="F81" s="32" t="str">
        <f t="shared" si="34"/>
        <v>M21</v>
      </c>
      <c r="G81" s="61" t="str">
        <f t="shared" si="35"/>
        <v>012</v>
      </c>
      <c r="H81" s="72" t="str">
        <f t="shared" si="41"/>
        <v>C3</v>
      </c>
      <c r="I81" s="72">
        <f t="shared" si="43"/>
        <v>1</v>
      </c>
      <c r="J81" s="37" t="s">
        <v>37</v>
      </c>
      <c r="K81" s="37">
        <v>40</v>
      </c>
      <c r="L81" s="17">
        <v>0.28000000000000003</v>
      </c>
      <c r="M81" s="19">
        <v>3.35</v>
      </c>
      <c r="N81" s="18">
        <f t="shared" si="38"/>
        <v>3.0700000000000003</v>
      </c>
      <c r="O81" s="20" t="str">
        <f t="shared" si="39"/>
        <v>OK</v>
      </c>
    </row>
    <row r="82" spans="1:15" ht="15" x14ac:dyDescent="0.25">
      <c r="A82" s="91"/>
      <c r="B82" s="32">
        <v>3</v>
      </c>
      <c r="C82" s="32">
        <v>1148629</v>
      </c>
      <c r="D82" s="39">
        <v>45750</v>
      </c>
      <c r="E82" s="32" t="s">
        <v>15</v>
      </c>
      <c r="F82" s="32" t="str">
        <f t="shared" si="34"/>
        <v>M21</v>
      </c>
      <c r="G82" s="61" t="str">
        <f t="shared" si="35"/>
        <v>012</v>
      </c>
      <c r="H82" s="72" t="str">
        <f t="shared" si="41"/>
        <v>C3</v>
      </c>
      <c r="I82" s="72">
        <f t="shared" si="43"/>
        <v>1</v>
      </c>
      <c r="J82" s="37" t="s">
        <v>38</v>
      </c>
      <c r="K82" s="37">
        <v>40</v>
      </c>
      <c r="L82" s="17">
        <v>1</v>
      </c>
      <c r="M82" s="19">
        <v>4.26</v>
      </c>
      <c r="N82" s="18">
        <f t="shared" si="38"/>
        <v>3.26</v>
      </c>
      <c r="O82" s="20" t="str">
        <f t="shared" si="39"/>
        <v>OK</v>
      </c>
    </row>
    <row r="83" spans="1:15" ht="15" x14ac:dyDescent="0.25">
      <c r="A83" s="91"/>
      <c r="B83" s="32">
        <v>3</v>
      </c>
      <c r="C83" s="32">
        <v>1148629</v>
      </c>
      <c r="D83" s="39">
        <v>45750</v>
      </c>
      <c r="E83" s="32" t="s">
        <v>15</v>
      </c>
      <c r="F83" s="32" t="s">
        <v>28</v>
      </c>
      <c r="G83" s="61" t="s">
        <v>64</v>
      </c>
      <c r="H83" s="72" t="s">
        <v>39</v>
      </c>
      <c r="I83" s="72">
        <v>2</v>
      </c>
      <c r="J83" s="37" t="s">
        <v>31</v>
      </c>
      <c r="K83" s="37">
        <v>41</v>
      </c>
      <c r="L83" s="17">
        <v>0.14000000000000001</v>
      </c>
      <c r="M83" s="19">
        <v>0.98</v>
      </c>
      <c r="N83" s="18">
        <f t="shared" si="38"/>
        <v>0.84</v>
      </c>
      <c r="O83" s="20" t="str">
        <f t="shared" si="39"/>
        <v>Seguimiento</v>
      </c>
    </row>
    <row r="84" spans="1:15" ht="15" x14ac:dyDescent="0.25">
      <c r="A84" s="91"/>
      <c r="B84" s="32">
        <v>3</v>
      </c>
      <c r="C84" s="32">
        <v>1148629</v>
      </c>
      <c r="D84" s="39">
        <v>45750</v>
      </c>
      <c r="E84" s="32" t="s">
        <v>15</v>
      </c>
      <c r="F84" s="32" t="str">
        <f t="shared" ref="F84:F98" si="44">F83</f>
        <v>M20</v>
      </c>
      <c r="G84" s="61" t="str">
        <f t="shared" ref="G84:G98" si="45">G83</f>
        <v>011</v>
      </c>
      <c r="H84" s="72" t="str">
        <f t="shared" ref="H84:H90" si="46">H83</f>
        <v>C2</v>
      </c>
      <c r="I84" s="72">
        <f t="shared" ref="I84:I86" si="47">I83</f>
        <v>2</v>
      </c>
      <c r="J84" s="37" t="s">
        <v>32</v>
      </c>
      <c r="K84" s="37">
        <v>41</v>
      </c>
      <c r="L84" s="17">
        <v>0.13</v>
      </c>
      <c r="M84" s="19">
        <v>2.4</v>
      </c>
      <c r="N84" s="18">
        <f t="shared" si="38"/>
        <v>2.27</v>
      </c>
      <c r="O84" s="20" t="str">
        <f t="shared" si="39"/>
        <v>OK</v>
      </c>
    </row>
    <row r="85" spans="1:15" ht="15" x14ac:dyDescent="0.25">
      <c r="A85" s="91"/>
      <c r="B85" s="32">
        <v>3</v>
      </c>
      <c r="C85" s="32">
        <v>1148629</v>
      </c>
      <c r="D85" s="39">
        <v>45750</v>
      </c>
      <c r="E85" s="32" t="s">
        <v>15</v>
      </c>
      <c r="F85" s="32" t="str">
        <f t="shared" si="44"/>
        <v>M20</v>
      </c>
      <c r="G85" s="61" t="str">
        <f t="shared" si="45"/>
        <v>011</v>
      </c>
      <c r="H85" s="72" t="str">
        <f t="shared" si="46"/>
        <v>C2</v>
      </c>
      <c r="I85" s="72">
        <f t="shared" si="47"/>
        <v>2</v>
      </c>
      <c r="J85" s="37" t="s">
        <v>33</v>
      </c>
      <c r="K85" s="37">
        <v>42</v>
      </c>
      <c r="L85" s="17">
        <v>0.47</v>
      </c>
      <c r="M85" s="19">
        <v>3.79</v>
      </c>
      <c r="N85" s="18">
        <f t="shared" si="38"/>
        <v>3.3200000000000003</v>
      </c>
      <c r="O85" s="20" t="str">
        <f t="shared" si="39"/>
        <v>OK</v>
      </c>
    </row>
    <row r="86" spans="1:15" ht="15" x14ac:dyDescent="0.25">
      <c r="A86" s="91"/>
      <c r="B86" s="32">
        <v>3</v>
      </c>
      <c r="C86" s="32">
        <v>1148629</v>
      </c>
      <c r="D86" s="39">
        <v>45750</v>
      </c>
      <c r="E86" s="32" t="s">
        <v>15</v>
      </c>
      <c r="F86" s="32" t="str">
        <f t="shared" si="44"/>
        <v>M20</v>
      </c>
      <c r="G86" s="61" t="str">
        <f t="shared" si="45"/>
        <v>011</v>
      </c>
      <c r="H86" s="72" t="str">
        <f t="shared" si="46"/>
        <v>C2</v>
      </c>
      <c r="I86" s="72">
        <f t="shared" si="47"/>
        <v>2</v>
      </c>
      <c r="J86" s="37" t="s">
        <v>34</v>
      </c>
      <c r="K86" s="37">
        <v>42</v>
      </c>
      <c r="L86" s="17">
        <v>0.91</v>
      </c>
      <c r="M86" s="19">
        <v>3.22</v>
      </c>
      <c r="N86" s="18">
        <f t="shared" si="38"/>
        <v>2.31</v>
      </c>
      <c r="O86" s="20" t="str">
        <f t="shared" si="39"/>
        <v>OK</v>
      </c>
    </row>
    <row r="87" spans="1:15" ht="15" x14ac:dyDescent="0.25">
      <c r="A87" s="91"/>
      <c r="B87" s="32">
        <v>3</v>
      </c>
      <c r="C87" s="32">
        <v>1148629</v>
      </c>
      <c r="D87" s="39">
        <v>45750</v>
      </c>
      <c r="E87" s="32" t="s">
        <v>15</v>
      </c>
      <c r="F87" s="32" t="str">
        <f t="shared" si="44"/>
        <v>M20</v>
      </c>
      <c r="G87" s="61" t="str">
        <f t="shared" si="45"/>
        <v>011</v>
      </c>
      <c r="H87" s="72" t="str">
        <f t="shared" si="46"/>
        <v>C2</v>
      </c>
      <c r="I87" s="72">
        <v>1</v>
      </c>
      <c r="J87" s="37" t="s">
        <v>35</v>
      </c>
      <c r="K87" s="37">
        <v>43</v>
      </c>
      <c r="L87" s="17">
        <v>0.12</v>
      </c>
      <c r="M87" s="19">
        <v>1.19</v>
      </c>
      <c r="N87" s="18">
        <f t="shared" si="38"/>
        <v>1.0699999999999998</v>
      </c>
      <c r="O87" s="20" t="str">
        <f t="shared" si="39"/>
        <v>OK</v>
      </c>
    </row>
    <row r="88" spans="1:15" ht="15" x14ac:dyDescent="0.25">
      <c r="A88" s="91"/>
      <c r="B88" s="32">
        <v>3</v>
      </c>
      <c r="C88" s="32">
        <v>1148629</v>
      </c>
      <c r="D88" s="39">
        <v>45750</v>
      </c>
      <c r="E88" s="32" t="s">
        <v>15</v>
      </c>
      <c r="F88" s="32" t="str">
        <f t="shared" si="44"/>
        <v>M20</v>
      </c>
      <c r="G88" s="61" t="str">
        <f t="shared" si="45"/>
        <v>011</v>
      </c>
      <c r="H88" s="72" t="str">
        <f t="shared" si="46"/>
        <v>C2</v>
      </c>
      <c r="I88" s="72">
        <f t="shared" ref="I88:I90" si="48">I87</f>
        <v>1</v>
      </c>
      <c r="J88" s="37" t="s">
        <v>36</v>
      </c>
      <c r="K88" s="37">
        <v>43</v>
      </c>
      <c r="L88" s="17">
        <v>0.36</v>
      </c>
      <c r="M88" s="19">
        <v>2.17</v>
      </c>
      <c r="N88" s="18">
        <f t="shared" si="38"/>
        <v>1.81</v>
      </c>
      <c r="O88" s="20" t="str">
        <f t="shared" si="39"/>
        <v>OK</v>
      </c>
    </row>
    <row r="89" spans="1:15" ht="15" x14ac:dyDescent="0.25">
      <c r="A89" s="91"/>
      <c r="B89" s="32">
        <v>3</v>
      </c>
      <c r="C89" s="32">
        <v>1148629</v>
      </c>
      <c r="D89" s="39">
        <v>45750</v>
      </c>
      <c r="E89" s="32" t="s">
        <v>15</v>
      </c>
      <c r="F89" s="32" t="str">
        <f t="shared" si="44"/>
        <v>M20</v>
      </c>
      <c r="G89" s="61" t="str">
        <f t="shared" si="45"/>
        <v>011</v>
      </c>
      <c r="H89" s="72" t="str">
        <f t="shared" si="46"/>
        <v>C2</v>
      </c>
      <c r="I89" s="72">
        <f t="shared" si="48"/>
        <v>1</v>
      </c>
      <c r="J89" s="37" t="s">
        <v>37</v>
      </c>
      <c r="K89" s="37">
        <v>44</v>
      </c>
      <c r="L89" s="17">
        <v>0.48</v>
      </c>
      <c r="M89" s="19">
        <v>3.42</v>
      </c>
      <c r="N89" s="18">
        <f t="shared" si="38"/>
        <v>2.94</v>
      </c>
      <c r="O89" s="20" t="str">
        <f t="shared" si="39"/>
        <v>OK</v>
      </c>
    </row>
    <row r="90" spans="1:15" ht="15" x14ac:dyDescent="0.25">
      <c r="A90" s="91"/>
      <c r="B90" s="32">
        <v>3</v>
      </c>
      <c r="C90" s="32">
        <v>1148629</v>
      </c>
      <c r="D90" s="39">
        <v>45750</v>
      </c>
      <c r="E90" s="32" t="s">
        <v>15</v>
      </c>
      <c r="F90" s="32" t="str">
        <f t="shared" si="44"/>
        <v>M20</v>
      </c>
      <c r="G90" s="61" t="str">
        <f t="shared" si="45"/>
        <v>011</v>
      </c>
      <c r="H90" s="72" t="str">
        <f t="shared" si="46"/>
        <v>C2</v>
      </c>
      <c r="I90" s="72">
        <f t="shared" si="48"/>
        <v>1</v>
      </c>
      <c r="J90" s="37" t="s">
        <v>38</v>
      </c>
      <c r="K90" s="37">
        <v>44</v>
      </c>
      <c r="L90" s="17">
        <v>0.74</v>
      </c>
      <c r="M90" s="19">
        <v>3.75</v>
      </c>
      <c r="N90" s="18">
        <f t="shared" si="38"/>
        <v>3.01</v>
      </c>
      <c r="O90" s="20" t="str">
        <f t="shared" si="39"/>
        <v>OK</v>
      </c>
    </row>
    <row r="91" spans="1:15" ht="15" x14ac:dyDescent="0.25">
      <c r="A91" s="91"/>
      <c r="B91" s="32">
        <v>3</v>
      </c>
      <c r="C91" s="32">
        <v>1148629</v>
      </c>
      <c r="D91" s="39">
        <v>45750</v>
      </c>
      <c r="E91" s="32" t="s">
        <v>15</v>
      </c>
      <c r="F91" s="32" t="str">
        <f t="shared" si="44"/>
        <v>M20</v>
      </c>
      <c r="G91" s="61" t="str">
        <f t="shared" si="45"/>
        <v>011</v>
      </c>
      <c r="H91" s="72" t="s">
        <v>30</v>
      </c>
      <c r="I91" s="72">
        <v>2</v>
      </c>
      <c r="J91" s="37" t="s">
        <v>31</v>
      </c>
      <c r="K91" s="37">
        <v>45</v>
      </c>
      <c r="L91" s="17">
        <v>0.65</v>
      </c>
      <c r="M91" s="19">
        <v>4.22</v>
      </c>
      <c r="N91" s="18">
        <f t="shared" si="38"/>
        <v>3.57</v>
      </c>
      <c r="O91" s="20" t="str">
        <f t="shared" si="39"/>
        <v>OK</v>
      </c>
    </row>
    <row r="92" spans="1:15" ht="15" x14ac:dyDescent="0.25">
      <c r="A92" s="91"/>
      <c r="B92" s="32">
        <v>3</v>
      </c>
      <c r="C92" s="32">
        <v>1148629</v>
      </c>
      <c r="D92" s="39">
        <v>45750</v>
      </c>
      <c r="E92" s="32" t="s">
        <v>15</v>
      </c>
      <c r="F92" s="32" t="str">
        <f t="shared" si="44"/>
        <v>M20</v>
      </c>
      <c r="G92" s="61" t="str">
        <f t="shared" si="45"/>
        <v>011</v>
      </c>
      <c r="H92" s="72" t="str">
        <f t="shared" ref="H92:H98" si="49">H91</f>
        <v>C1</v>
      </c>
      <c r="I92" s="72">
        <f t="shared" ref="I92:I94" si="50">I91</f>
        <v>2</v>
      </c>
      <c r="J92" s="37" t="s">
        <v>32</v>
      </c>
      <c r="K92" s="37">
        <v>45</v>
      </c>
      <c r="L92" s="17">
        <v>0.04</v>
      </c>
      <c r="M92" s="19">
        <v>2.16</v>
      </c>
      <c r="N92" s="18">
        <f t="shared" si="38"/>
        <v>2.12</v>
      </c>
      <c r="O92" s="20" t="str">
        <f t="shared" si="39"/>
        <v>OK</v>
      </c>
    </row>
    <row r="93" spans="1:15" ht="15" x14ac:dyDescent="0.25">
      <c r="A93" s="91"/>
      <c r="B93" s="32">
        <v>3</v>
      </c>
      <c r="C93" s="32">
        <v>1148629</v>
      </c>
      <c r="D93" s="39">
        <v>45750</v>
      </c>
      <c r="E93" s="32" t="s">
        <v>15</v>
      </c>
      <c r="F93" s="32" t="str">
        <f t="shared" si="44"/>
        <v>M20</v>
      </c>
      <c r="G93" s="61" t="str">
        <f t="shared" si="45"/>
        <v>011</v>
      </c>
      <c r="H93" s="72" t="str">
        <f t="shared" si="49"/>
        <v>C1</v>
      </c>
      <c r="I93" s="72">
        <f t="shared" si="50"/>
        <v>2</v>
      </c>
      <c r="J93" s="37" t="s">
        <v>33</v>
      </c>
      <c r="K93" s="37">
        <v>46</v>
      </c>
      <c r="L93" s="17">
        <v>7.0000000000000007E-2</v>
      </c>
      <c r="M93" s="19">
        <v>4.5999999999999996</v>
      </c>
      <c r="N93" s="18">
        <f t="shared" si="38"/>
        <v>4.5299999999999994</v>
      </c>
      <c r="O93" s="20" t="str">
        <f t="shared" si="39"/>
        <v>OK</v>
      </c>
    </row>
    <row r="94" spans="1:15" ht="15" x14ac:dyDescent="0.25">
      <c r="A94" s="91"/>
      <c r="B94" s="32">
        <v>3</v>
      </c>
      <c r="C94" s="32">
        <v>1148629</v>
      </c>
      <c r="D94" s="39">
        <v>45750</v>
      </c>
      <c r="E94" s="32" t="s">
        <v>15</v>
      </c>
      <c r="F94" s="32" t="str">
        <f t="shared" si="44"/>
        <v>M20</v>
      </c>
      <c r="G94" s="61" t="str">
        <f t="shared" si="45"/>
        <v>011</v>
      </c>
      <c r="H94" s="72" t="str">
        <f t="shared" si="49"/>
        <v>C1</v>
      </c>
      <c r="I94" s="72">
        <f t="shared" si="50"/>
        <v>2</v>
      </c>
      <c r="J94" s="37" t="s">
        <v>34</v>
      </c>
      <c r="K94" s="37">
        <v>46</v>
      </c>
      <c r="L94" s="17">
        <v>0.17</v>
      </c>
      <c r="M94" s="19">
        <v>1.83</v>
      </c>
      <c r="N94" s="18">
        <f t="shared" si="38"/>
        <v>1.6600000000000001</v>
      </c>
      <c r="O94" s="20" t="str">
        <f t="shared" si="39"/>
        <v>OK</v>
      </c>
    </row>
    <row r="95" spans="1:15" ht="15" x14ac:dyDescent="0.25">
      <c r="A95" s="91"/>
      <c r="B95" s="32">
        <v>3</v>
      </c>
      <c r="C95" s="32">
        <v>1148629</v>
      </c>
      <c r="D95" s="39">
        <v>45750</v>
      </c>
      <c r="E95" s="32" t="s">
        <v>15</v>
      </c>
      <c r="F95" s="32" t="str">
        <f t="shared" si="44"/>
        <v>M20</v>
      </c>
      <c r="G95" s="61" t="str">
        <f t="shared" si="45"/>
        <v>011</v>
      </c>
      <c r="H95" s="72" t="str">
        <f t="shared" si="49"/>
        <v>C1</v>
      </c>
      <c r="I95" s="72">
        <v>1</v>
      </c>
      <c r="J95" s="37" t="s">
        <v>35</v>
      </c>
      <c r="K95" s="37">
        <v>47</v>
      </c>
      <c r="L95" s="17">
        <v>1.1299999999999999</v>
      </c>
      <c r="M95" s="19">
        <v>3.73</v>
      </c>
      <c r="N95" s="18">
        <f t="shared" si="38"/>
        <v>2.6</v>
      </c>
      <c r="O95" s="20" t="str">
        <f t="shared" si="39"/>
        <v>OK</v>
      </c>
    </row>
    <row r="96" spans="1:15" ht="15" x14ac:dyDescent="0.25">
      <c r="A96" s="91"/>
      <c r="B96" s="32">
        <v>3</v>
      </c>
      <c r="C96" s="32">
        <v>1148629</v>
      </c>
      <c r="D96" s="39">
        <v>45750</v>
      </c>
      <c r="E96" s="32" t="s">
        <v>15</v>
      </c>
      <c r="F96" s="32" t="str">
        <f t="shared" si="44"/>
        <v>M20</v>
      </c>
      <c r="G96" s="61" t="str">
        <f t="shared" si="45"/>
        <v>011</v>
      </c>
      <c r="H96" s="72" t="str">
        <f t="shared" si="49"/>
        <v>C1</v>
      </c>
      <c r="I96" s="72">
        <f t="shared" ref="I96:I98" si="51">I95</f>
        <v>1</v>
      </c>
      <c r="J96" s="37" t="s">
        <v>36</v>
      </c>
      <c r="K96" s="37">
        <v>47</v>
      </c>
      <c r="L96" s="17">
        <v>0.22</v>
      </c>
      <c r="M96" s="19">
        <v>1.32</v>
      </c>
      <c r="N96" s="18">
        <f t="shared" si="38"/>
        <v>1.1000000000000001</v>
      </c>
      <c r="O96" s="20" t="str">
        <f t="shared" si="39"/>
        <v>OK</v>
      </c>
    </row>
    <row r="97" spans="1:15" ht="15" x14ac:dyDescent="0.25">
      <c r="A97" s="91"/>
      <c r="B97" s="32">
        <v>3</v>
      </c>
      <c r="C97" s="32">
        <v>1148629</v>
      </c>
      <c r="D97" s="39">
        <v>45750</v>
      </c>
      <c r="E97" s="32" t="s">
        <v>15</v>
      </c>
      <c r="F97" s="32" t="str">
        <f t="shared" si="44"/>
        <v>M20</v>
      </c>
      <c r="G97" s="61" t="str">
        <f t="shared" si="45"/>
        <v>011</v>
      </c>
      <c r="H97" s="72" t="str">
        <f t="shared" si="49"/>
        <v>C1</v>
      </c>
      <c r="I97" s="72">
        <f t="shared" si="51"/>
        <v>1</v>
      </c>
      <c r="J97" s="37" t="s">
        <v>37</v>
      </c>
      <c r="K97" s="37">
        <v>48</v>
      </c>
      <c r="L97" s="17">
        <v>0.12</v>
      </c>
      <c r="M97" s="19">
        <v>2.57</v>
      </c>
      <c r="N97" s="18">
        <f t="shared" si="38"/>
        <v>2.4499999999999997</v>
      </c>
      <c r="O97" s="20" t="str">
        <f t="shared" si="39"/>
        <v>OK</v>
      </c>
    </row>
    <row r="98" spans="1:15" ht="15.75" thickBot="1" x14ac:dyDescent="0.3">
      <c r="A98" s="92"/>
      <c r="B98" s="48">
        <v>3</v>
      </c>
      <c r="C98" s="48">
        <v>1148629</v>
      </c>
      <c r="D98" s="49">
        <v>45750</v>
      </c>
      <c r="E98" s="48" t="s">
        <v>15</v>
      </c>
      <c r="F98" s="48" t="str">
        <f t="shared" si="44"/>
        <v>M20</v>
      </c>
      <c r="G98" s="73" t="str">
        <f t="shared" si="45"/>
        <v>011</v>
      </c>
      <c r="H98" s="74" t="str">
        <f t="shared" si="49"/>
        <v>C1</v>
      </c>
      <c r="I98" s="74">
        <f t="shared" si="51"/>
        <v>1</v>
      </c>
      <c r="J98" s="41" t="s">
        <v>38</v>
      </c>
      <c r="K98" s="37">
        <v>48</v>
      </c>
      <c r="L98" s="51">
        <v>1.1100000000000001</v>
      </c>
      <c r="M98" s="79">
        <v>3.54</v>
      </c>
      <c r="N98" s="50">
        <f t="shared" si="38"/>
        <v>2.4299999999999997</v>
      </c>
      <c r="O98" s="20" t="str">
        <f t="shared" si="39"/>
        <v>OK</v>
      </c>
    </row>
    <row r="99" spans="1:15" ht="15" x14ac:dyDescent="0.25">
      <c r="A99" s="91"/>
      <c r="B99" s="32">
        <v>3</v>
      </c>
      <c r="C99" s="32">
        <v>1150695</v>
      </c>
      <c r="D99" s="39">
        <v>45768</v>
      </c>
      <c r="E99" s="32" t="s">
        <v>15</v>
      </c>
      <c r="F99" s="32" t="s">
        <v>28</v>
      </c>
      <c r="G99" s="61" t="s">
        <v>59</v>
      </c>
      <c r="H99" s="72" t="s">
        <v>30</v>
      </c>
      <c r="I99" s="72">
        <v>1</v>
      </c>
      <c r="J99" s="37" t="s">
        <v>31</v>
      </c>
      <c r="K99" s="37">
        <v>1</v>
      </c>
      <c r="L99" s="78">
        <v>0.33</v>
      </c>
      <c r="M99" s="78">
        <v>1.77</v>
      </c>
      <c r="N99" s="25">
        <f>+M99-L99</f>
        <v>1.44</v>
      </c>
      <c r="O99" s="20" t="str">
        <f t="shared" si="39"/>
        <v>OK</v>
      </c>
    </row>
    <row r="100" spans="1:15" ht="15" x14ac:dyDescent="0.25">
      <c r="A100" s="91"/>
      <c r="B100" s="32">
        <v>3</v>
      </c>
      <c r="C100" s="32">
        <v>1150695</v>
      </c>
      <c r="D100" s="39">
        <v>45768</v>
      </c>
      <c r="E100" s="32" t="s">
        <v>15</v>
      </c>
      <c r="F100" s="32" t="str">
        <f t="shared" ref="F100:F114" si="52">F99</f>
        <v>M20</v>
      </c>
      <c r="G100" s="61" t="str">
        <f t="shared" ref="G100:G114" si="53">G99</f>
        <v>009</v>
      </c>
      <c r="H100" s="72" t="str">
        <f t="shared" ref="H100:H106" si="54">H99</f>
        <v>C1</v>
      </c>
      <c r="I100" s="72">
        <f t="shared" ref="I100:I102" si="55">I99</f>
        <v>1</v>
      </c>
      <c r="J100" s="37" t="s">
        <v>32</v>
      </c>
      <c r="K100" s="37">
        <v>1</v>
      </c>
      <c r="L100" s="76">
        <v>0.88</v>
      </c>
      <c r="M100" s="76">
        <v>3.95</v>
      </c>
      <c r="N100" s="25">
        <f t="shared" ref="N100:N163" si="56">+M100-L100</f>
        <v>3.0700000000000003</v>
      </c>
      <c r="O100" s="20" t="str">
        <f t="shared" si="39"/>
        <v>OK</v>
      </c>
    </row>
    <row r="101" spans="1:15" ht="15" x14ac:dyDescent="0.25">
      <c r="A101" s="91"/>
      <c r="B101" s="32">
        <v>3</v>
      </c>
      <c r="C101" s="32">
        <v>1150695</v>
      </c>
      <c r="D101" s="39">
        <v>45768</v>
      </c>
      <c r="E101" s="32" t="s">
        <v>15</v>
      </c>
      <c r="F101" s="32" t="str">
        <f t="shared" si="52"/>
        <v>M20</v>
      </c>
      <c r="G101" s="61" t="str">
        <f t="shared" si="53"/>
        <v>009</v>
      </c>
      <c r="H101" s="72" t="str">
        <f t="shared" si="54"/>
        <v>C1</v>
      </c>
      <c r="I101" s="72">
        <f t="shared" si="55"/>
        <v>1</v>
      </c>
      <c r="J101" s="37" t="s">
        <v>33</v>
      </c>
      <c r="K101" s="37">
        <v>2</v>
      </c>
      <c r="L101" s="76">
        <v>1.23</v>
      </c>
      <c r="M101" s="76">
        <v>1.94</v>
      </c>
      <c r="N101" s="25">
        <f t="shared" si="56"/>
        <v>0.71</v>
      </c>
      <c r="O101" s="20" t="str">
        <f t="shared" si="39"/>
        <v>Seguimiento</v>
      </c>
    </row>
    <row r="102" spans="1:15" ht="15" x14ac:dyDescent="0.25">
      <c r="A102" s="91"/>
      <c r="B102" s="32">
        <v>3</v>
      </c>
      <c r="C102" s="32">
        <v>1150695</v>
      </c>
      <c r="D102" s="39">
        <v>45768</v>
      </c>
      <c r="E102" s="32" t="s">
        <v>15</v>
      </c>
      <c r="F102" s="32" t="str">
        <f t="shared" si="52"/>
        <v>M20</v>
      </c>
      <c r="G102" s="61" t="str">
        <f t="shared" si="53"/>
        <v>009</v>
      </c>
      <c r="H102" s="72" t="str">
        <f t="shared" si="54"/>
        <v>C1</v>
      </c>
      <c r="I102" s="72">
        <f t="shared" si="55"/>
        <v>1</v>
      </c>
      <c r="J102" s="37" t="s">
        <v>34</v>
      </c>
      <c r="K102" s="37">
        <v>2</v>
      </c>
      <c r="L102" s="76">
        <v>0.9</v>
      </c>
      <c r="M102" s="76">
        <v>2.0299999999999998</v>
      </c>
      <c r="N102" s="25">
        <f t="shared" si="56"/>
        <v>1.1299999999999999</v>
      </c>
      <c r="O102" s="20" t="str">
        <f t="shared" si="39"/>
        <v>OK</v>
      </c>
    </row>
    <row r="103" spans="1:15" ht="15" x14ac:dyDescent="0.25">
      <c r="A103" s="91"/>
      <c r="B103" s="32">
        <v>3</v>
      </c>
      <c r="C103" s="32">
        <v>1150695</v>
      </c>
      <c r="D103" s="39">
        <v>45768</v>
      </c>
      <c r="E103" s="32" t="s">
        <v>15</v>
      </c>
      <c r="F103" s="32" t="str">
        <f t="shared" si="52"/>
        <v>M20</v>
      </c>
      <c r="G103" s="61" t="str">
        <f t="shared" si="53"/>
        <v>009</v>
      </c>
      <c r="H103" s="72" t="str">
        <f t="shared" si="54"/>
        <v>C1</v>
      </c>
      <c r="I103" s="72">
        <v>2</v>
      </c>
      <c r="J103" s="37" t="s">
        <v>35</v>
      </c>
      <c r="K103" s="37">
        <v>3</v>
      </c>
      <c r="L103" s="76">
        <v>0.15</v>
      </c>
      <c r="M103" s="76">
        <v>5.0199999999999996</v>
      </c>
      <c r="N103" s="25">
        <f t="shared" si="56"/>
        <v>4.8699999999999992</v>
      </c>
      <c r="O103" s="20" t="str">
        <f t="shared" si="39"/>
        <v>OK</v>
      </c>
    </row>
    <row r="104" spans="1:15" ht="15" x14ac:dyDescent="0.25">
      <c r="A104" s="91"/>
      <c r="B104" s="32">
        <v>3</v>
      </c>
      <c r="C104" s="32">
        <v>1150695</v>
      </c>
      <c r="D104" s="39">
        <v>45768</v>
      </c>
      <c r="E104" s="32" t="s">
        <v>15</v>
      </c>
      <c r="F104" s="32" t="str">
        <f t="shared" si="52"/>
        <v>M20</v>
      </c>
      <c r="G104" s="61" t="str">
        <f t="shared" si="53"/>
        <v>009</v>
      </c>
      <c r="H104" s="72" t="str">
        <f t="shared" si="54"/>
        <v>C1</v>
      </c>
      <c r="I104" s="72">
        <f t="shared" ref="I104:I106" si="57">I103</f>
        <v>2</v>
      </c>
      <c r="J104" s="37" t="s">
        <v>36</v>
      </c>
      <c r="K104" s="37">
        <v>3</v>
      </c>
      <c r="L104" s="76">
        <v>0.55000000000000004</v>
      </c>
      <c r="M104" s="76">
        <v>2.17</v>
      </c>
      <c r="N104" s="25">
        <f t="shared" si="56"/>
        <v>1.6199999999999999</v>
      </c>
      <c r="O104" s="20" t="str">
        <f t="shared" si="39"/>
        <v>OK</v>
      </c>
    </row>
    <row r="105" spans="1:15" ht="15" x14ac:dyDescent="0.25">
      <c r="A105" s="91"/>
      <c r="B105" s="32">
        <v>3</v>
      </c>
      <c r="C105" s="32">
        <v>1150695</v>
      </c>
      <c r="D105" s="39">
        <v>45768</v>
      </c>
      <c r="E105" s="32" t="s">
        <v>15</v>
      </c>
      <c r="F105" s="32" t="str">
        <f t="shared" si="52"/>
        <v>M20</v>
      </c>
      <c r="G105" s="61" t="str">
        <f t="shared" si="53"/>
        <v>009</v>
      </c>
      <c r="H105" s="72" t="str">
        <f t="shared" si="54"/>
        <v>C1</v>
      </c>
      <c r="I105" s="72">
        <f t="shared" si="57"/>
        <v>2</v>
      </c>
      <c r="J105" s="37" t="s">
        <v>37</v>
      </c>
      <c r="K105" s="37">
        <v>4</v>
      </c>
      <c r="L105" s="76">
        <v>1.65</v>
      </c>
      <c r="M105" s="76">
        <v>2.73</v>
      </c>
      <c r="N105" s="25">
        <f t="shared" si="56"/>
        <v>1.08</v>
      </c>
      <c r="O105" s="20" t="str">
        <f t="shared" si="39"/>
        <v>OK</v>
      </c>
    </row>
    <row r="106" spans="1:15" ht="15" x14ac:dyDescent="0.25">
      <c r="A106" s="91"/>
      <c r="B106" s="32">
        <v>3</v>
      </c>
      <c r="C106" s="32">
        <v>1150695</v>
      </c>
      <c r="D106" s="39">
        <v>45768</v>
      </c>
      <c r="E106" s="32" t="s">
        <v>15</v>
      </c>
      <c r="F106" s="32" t="str">
        <f t="shared" si="52"/>
        <v>M20</v>
      </c>
      <c r="G106" s="61" t="str">
        <f t="shared" si="53"/>
        <v>009</v>
      </c>
      <c r="H106" s="72" t="str">
        <f t="shared" si="54"/>
        <v>C1</v>
      </c>
      <c r="I106" s="72">
        <f t="shared" si="57"/>
        <v>2</v>
      </c>
      <c r="J106" s="37" t="s">
        <v>38</v>
      </c>
      <c r="K106" s="37">
        <v>4</v>
      </c>
      <c r="L106" s="76">
        <v>0.53</v>
      </c>
      <c r="M106" s="76">
        <v>1.21</v>
      </c>
      <c r="N106" s="25">
        <f t="shared" si="56"/>
        <v>0.67999999999999994</v>
      </c>
      <c r="O106" s="20" t="str">
        <f t="shared" si="39"/>
        <v>Seguimiento</v>
      </c>
    </row>
    <row r="107" spans="1:15" ht="15" x14ac:dyDescent="0.25">
      <c r="A107" s="91"/>
      <c r="B107" s="32">
        <v>3</v>
      </c>
      <c r="C107" s="32">
        <v>1150695</v>
      </c>
      <c r="D107" s="39">
        <v>45768</v>
      </c>
      <c r="E107" s="32" t="s">
        <v>15</v>
      </c>
      <c r="F107" s="32" t="str">
        <f t="shared" si="52"/>
        <v>M20</v>
      </c>
      <c r="G107" s="61" t="str">
        <f t="shared" si="53"/>
        <v>009</v>
      </c>
      <c r="H107" s="72" t="s">
        <v>39</v>
      </c>
      <c r="I107" s="72">
        <v>1</v>
      </c>
      <c r="J107" s="37" t="s">
        <v>31</v>
      </c>
      <c r="K107" s="37">
        <v>5</v>
      </c>
      <c r="L107" s="76">
        <v>0.56999999999999995</v>
      </c>
      <c r="M107" s="76">
        <v>2.99</v>
      </c>
      <c r="N107" s="25">
        <f t="shared" si="56"/>
        <v>2.4200000000000004</v>
      </c>
      <c r="O107" s="20" t="str">
        <f t="shared" si="39"/>
        <v>OK</v>
      </c>
    </row>
    <row r="108" spans="1:15" ht="15" x14ac:dyDescent="0.25">
      <c r="A108" s="91"/>
      <c r="B108" s="32">
        <v>3</v>
      </c>
      <c r="C108" s="32">
        <v>1150695</v>
      </c>
      <c r="D108" s="39">
        <v>45768</v>
      </c>
      <c r="E108" s="32" t="s">
        <v>15</v>
      </c>
      <c r="F108" s="32" t="str">
        <f t="shared" si="52"/>
        <v>M20</v>
      </c>
      <c r="G108" s="61" t="str">
        <f t="shared" si="53"/>
        <v>009</v>
      </c>
      <c r="H108" s="72" t="str">
        <f t="shared" ref="H108:H114" si="58">H107</f>
        <v>C2</v>
      </c>
      <c r="I108" s="72">
        <f t="shared" ref="I108:I110" si="59">I107</f>
        <v>1</v>
      </c>
      <c r="J108" s="37" t="s">
        <v>32</v>
      </c>
      <c r="K108" s="37">
        <v>5</v>
      </c>
      <c r="L108" s="76">
        <v>0.83</v>
      </c>
      <c r="M108" s="76">
        <v>3.34</v>
      </c>
      <c r="N108" s="25">
        <f t="shared" si="56"/>
        <v>2.5099999999999998</v>
      </c>
      <c r="O108" s="20" t="str">
        <f t="shared" si="39"/>
        <v>OK</v>
      </c>
    </row>
    <row r="109" spans="1:15" ht="15" x14ac:dyDescent="0.25">
      <c r="A109" s="91"/>
      <c r="B109" s="32">
        <v>3</v>
      </c>
      <c r="C109" s="32">
        <v>1150695</v>
      </c>
      <c r="D109" s="39">
        <v>45768</v>
      </c>
      <c r="E109" s="32" t="s">
        <v>15</v>
      </c>
      <c r="F109" s="32" t="str">
        <f t="shared" si="52"/>
        <v>M20</v>
      </c>
      <c r="G109" s="61" t="str">
        <f t="shared" si="53"/>
        <v>009</v>
      </c>
      <c r="H109" s="72" t="str">
        <f t="shared" si="58"/>
        <v>C2</v>
      </c>
      <c r="I109" s="72">
        <f t="shared" si="59"/>
        <v>1</v>
      </c>
      <c r="J109" s="37" t="s">
        <v>33</v>
      </c>
      <c r="K109" s="37">
        <v>6</v>
      </c>
      <c r="L109" s="76">
        <v>1.08</v>
      </c>
      <c r="M109" s="76">
        <v>4.17</v>
      </c>
      <c r="N109" s="25">
        <f t="shared" si="56"/>
        <v>3.09</v>
      </c>
      <c r="O109" s="20" t="str">
        <f t="shared" si="39"/>
        <v>OK</v>
      </c>
    </row>
    <row r="110" spans="1:15" ht="15" x14ac:dyDescent="0.25">
      <c r="A110" s="91"/>
      <c r="B110" s="32">
        <v>3</v>
      </c>
      <c r="C110" s="32">
        <v>1150695</v>
      </c>
      <c r="D110" s="39">
        <v>45768</v>
      </c>
      <c r="E110" s="32" t="s">
        <v>15</v>
      </c>
      <c r="F110" s="32" t="str">
        <f t="shared" si="52"/>
        <v>M20</v>
      </c>
      <c r="G110" s="61" t="str">
        <f t="shared" si="53"/>
        <v>009</v>
      </c>
      <c r="H110" s="72" t="str">
        <f t="shared" si="58"/>
        <v>C2</v>
      </c>
      <c r="I110" s="72">
        <f t="shared" si="59"/>
        <v>1</v>
      </c>
      <c r="J110" s="37" t="s">
        <v>34</v>
      </c>
      <c r="K110" s="37">
        <v>6</v>
      </c>
      <c r="L110" s="76">
        <v>0.4</v>
      </c>
      <c r="M110" s="76">
        <v>4.9800000000000004</v>
      </c>
      <c r="N110" s="25">
        <f t="shared" si="56"/>
        <v>4.58</v>
      </c>
      <c r="O110" s="20" t="str">
        <f t="shared" si="39"/>
        <v>OK</v>
      </c>
    </row>
    <row r="111" spans="1:15" ht="15" x14ac:dyDescent="0.25">
      <c r="A111" s="91"/>
      <c r="B111" s="32">
        <v>3</v>
      </c>
      <c r="C111" s="32">
        <v>1150695</v>
      </c>
      <c r="D111" s="39">
        <v>45768</v>
      </c>
      <c r="E111" s="32" t="s">
        <v>15</v>
      </c>
      <c r="F111" s="32" t="str">
        <f t="shared" si="52"/>
        <v>M20</v>
      </c>
      <c r="G111" s="61" t="str">
        <f t="shared" si="53"/>
        <v>009</v>
      </c>
      <c r="H111" s="72" t="str">
        <f t="shared" si="58"/>
        <v>C2</v>
      </c>
      <c r="I111" s="72">
        <v>2</v>
      </c>
      <c r="J111" s="37" t="s">
        <v>35</v>
      </c>
      <c r="K111" s="37">
        <v>7</v>
      </c>
      <c r="L111" s="76">
        <v>0.66</v>
      </c>
      <c r="M111" s="76">
        <v>3.39</v>
      </c>
      <c r="N111" s="25">
        <f t="shared" si="56"/>
        <v>2.73</v>
      </c>
      <c r="O111" s="20" t="str">
        <f t="shared" si="39"/>
        <v>OK</v>
      </c>
    </row>
    <row r="112" spans="1:15" ht="15" x14ac:dyDescent="0.25">
      <c r="A112" s="91"/>
      <c r="B112" s="32">
        <v>3</v>
      </c>
      <c r="C112" s="32">
        <v>1150695</v>
      </c>
      <c r="D112" s="39">
        <v>45768</v>
      </c>
      <c r="E112" s="32" t="s">
        <v>15</v>
      </c>
      <c r="F112" s="32" t="str">
        <f t="shared" si="52"/>
        <v>M20</v>
      </c>
      <c r="G112" s="61" t="str">
        <f t="shared" si="53"/>
        <v>009</v>
      </c>
      <c r="H112" s="72" t="str">
        <f t="shared" si="58"/>
        <v>C2</v>
      </c>
      <c r="I112" s="72">
        <f t="shared" ref="I112:I114" si="60">I111</f>
        <v>2</v>
      </c>
      <c r="J112" s="37" t="s">
        <v>36</v>
      </c>
      <c r="K112" s="37">
        <v>7</v>
      </c>
      <c r="L112" s="76">
        <v>0.91</v>
      </c>
      <c r="M112" s="76">
        <v>2.16</v>
      </c>
      <c r="N112" s="25">
        <f t="shared" si="56"/>
        <v>1.25</v>
      </c>
      <c r="O112" s="20" t="str">
        <f t="shared" si="39"/>
        <v>OK</v>
      </c>
    </row>
    <row r="113" spans="1:15" ht="15" x14ac:dyDescent="0.25">
      <c r="A113" s="91"/>
      <c r="B113" s="32">
        <v>3</v>
      </c>
      <c r="C113" s="32">
        <v>1150695</v>
      </c>
      <c r="D113" s="39">
        <v>45768</v>
      </c>
      <c r="E113" s="32" t="s">
        <v>15</v>
      </c>
      <c r="F113" s="32" t="str">
        <f t="shared" si="52"/>
        <v>M20</v>
      </c>
      <c r="G113" s="61" t="str">
        <f t="shared" si="53"/>
        <v>009</v>
      </c>
      <c r="H113" s="72" t="str">
        <f t="shared" si="58"/>
        <v>C2</v>
      </c>
      <c r="I113" s="72">
        <f t="shared" si="60"/>
        <v>2</v>
      </c>
      <c r="J113" s="37" t="s">
        <v>37</v>
      </c>
      <c r="K113" s="37">
        <v>8</v>
      </c>
      <c r="L113" s="76">
        <v>0.4</v>
      </c>
      <c r="M113" s="76">
        <v>2.4700000000000002</v>
      </c>
      <c r="N113" s="25">
        <f t="shared" si="56"/>
        <v>2.0700000000000003</v>
      </c>
      <c r="O113" s="20" t="str">
        <f t="shared" si="39"/>
        <v>OK</v>
      </c>
    </row>
    <row r="114" spans="1:15" ht="15" x14ac:dyDescent="0.25">
      <c r="A114" s="91"/>
      <c r="B114" s="32">
        <v>3</v>
      </c>
      <c r="C114" s="32">
        <v>1150695</v>
      </c>
      <c r="D114" s="39">
        <v>45768</v>
      </c>
      <c r="E114" s="32" t="s">
        <v>15</v>
      </c>
      <c r="F114" s="32" t="str">
        <f t="shared" si="52"/>
        <v>M20</v>
      </c>
      <c r="G114" s="61" t="str">
        <f t="shared" si="53"/>
        <v>009</v>
      </c>
      <c r="H114" s="72" t="str">
        <f t="shared" si="58"/>
        <v>C2</v>
      </c>
      <c r="I114" s="72">
        <f t="shared" si="60"/>
        <v>2</v>
      </c>
      <c r="J114" s="37" t="s">
        <v>38</v>
      </c>
      <c r="K114" s="37">
        <v>8</v>
      </c>
      <c r="L114" s="76">
        <v>0.74</v>
      </c>
      <c r="M114" s="76">
        <v>3.07</v>
      </c>
      <c r="N114" s="25">
        <f t="shared" si="56"/>
        <v>2.33</v>
      </c>
      <c r="O114" s="20" t="str">
        <f t="shared" si="39"/>
        <v>OK</v>
      </c>
    </row>
    <row r="115" spans="1:15" ht="15" x14ac:dyDescent="0.25">
      <c r="A115" s="91"/>
      <c r="B115" s="32">
        <v>3</v>
      </c>
      <c r="C115" s="32">
        <v>1150695</v>
      </c>
      <c r="D115" s="39">
        <v>45768</v>
      </c>
      <c r="E115" s="32" t="s">
        <v>15</v>
      </c>
      <c r="F115" s="32" t="s">
        <v>40</v>
      </c>
      <c r="G115" s="61" t="s">
        <v>60</v>
      </c>
      <c r="H115" s="72" t="s">
        <v>42</v>
      </c>
      <c r="I115" s="72">
        <v>1</v>
      </c>
      <c r="J115" s="37" t="s">
        <v>31</v>
      </c>
      <c r="K115" s="37">
        <v>9</v>
      </c>
      <c r="L115" s="76">
        <v>0.8</v>
      </c>
      <c r="M115" s="76">
        <v>3.11</v>
      </c>
      <c r="N115" s="25">
        <f t="shared" si="56"/>
        <v>2.3099999999999996</v>
      </c>
      <c r="O115" s="20" t="str">
        <f t="shared" si="39"/>
        <v>OK</v>
      </c>
    </row>
    <row r="116" spans="1:15" ht="15" x14ac:dyDescent="0.25">
      <c r="A116" s="91"/>
      <c r="B116" s="32">
        <v>3</v>
      </c>
      <c r="C116" s="32">
        <v>1150695</v>
      </c>
      <c r="D116" s="39">
        <v>45768</v>
      </c>
      <c r="E116" s="32" t="s">
        <v>15</v>
      </c>
      <c r="F116" s="32" t="str">
        <f t="shared" ref="F116:F130" si="61">F115</f>
        <v>M21</v>
      </c>
      <c r="G116" s="61" t="str">
        <f t="shared" ref="G116:G130" si="62">G115</f>
        <v>010</v>
      </c>
      <c r="H116" s="72" t="str">
        <f t="shared" ref="H116:H122" si="63">H115</f>
        <v>C3</v>
      </c>
      <c r="I116" s="72">
        <f t="shared" ref="I116:I118" si="64">I115</f>
        <v>1</v>
      </c>
      <c r="J116" s="37" t="s">
        <v>32</v>
      </c>
      <c r="K116" s="37">
        <v>9</v>
      </c>
      <c r="L116" s="76">
        <v>0.43</v>
      </c>
      <c r="M116" s="76">
        <v>2.8</v>
      </c>
      <c r="N116" s="25">
        <f t="shared" si="56"/>
        <v>2.3699999999999997</v>
      </c>
      <c r="O116" s="20" t="str">
        <f t="shared" si="39"/>
        <v>OK</v>
      </c>
    </row>
    <row r="117" spans="1:15" ht="15" x14ac:dyDescent="0.25">
      <c r="A117" s="91"/>
      <c r="B117" s="32">
        <v>3</v>
      </c>
      <c r="C117" s="32">
        <v>1150695</v>
      </c>
      <c r="D117" s="39">
        <v>45768</v>
      </c>
      <c r="E117" s="32" t="s">
        <v>15</v>
      </c>
      <c r="F117" s="32" t="str">
        <f t="shared" si="61"/>
        <v>M21</v>
      </c>
      <c r="G117" s="61" t="str">
        <f t="shared" si="62"/>
        <v>010</v>
      </c>
      <c r="H117" s="72" t="str">
        <f t="shared" si="63"/>
        <v>C3</v>
      </c>
      <c r="I117" s="72">
        <f t="shared" si="64"/>
        <v>1</v>
      </c>
      <c r="J117" s="37" t="s">
        <v>33</v>
      </c>
      <c r="K117" s="37">
        <v>10</v>
      </c>
      <c r="L117" s="76">
        <v>0.88</v>
      </c>
      <c r="M117" s="76">
        <v>3.67</v>
      </c>
      <c r="N117" s="25">
        <f t="shared" si="56"/>
        <v>2.79</v>
      </c>
      <c r="O117" s="20" t="str">
        <f t="shared" si="39"/>
        <v>OK</v>
      </c>
    </row>
    <row r="118" spans="1:15" ht="15" x14ac:dyDescent="0.25">
      <c r="A118" s="91"/>
      <c r="B118" s="32">
        <v>3</v>
      </c>
      <c r="C118" s="32">
        <v>1150695</v>
      </c>
      <c r="D118" s="39">
        <v>45768</v>
      </c>
      <c r="E118" s="32" t="s">
        <v>15</v>
      </c>
      <c r="F118" s="32" t="str">
        <f t="shared" si="61"/>
        <v>M21</v>
      </c>
      <c r="G118" s="61" t="str">
        <f t="shared" si="62"/>
        <v>010</v>
      </c>
      <c r="H118" s="72" t="str">
        <f t="shared" si="63"/>
        <v>C3</v>
      </c>
      <c r="I118" s="72">
        <f t="shared" si="64"/>
        <v>1</v>
      </c>
      <c r="J118" s="37" t="s">
        <v>34</v>
      </c>
      <c r="K118" s="37">
        <v>10</v>
      </c>
      <c r="L118" s="76">
        <v>1.1499999999999999</v>
      </c>
      <c r="M118" s="76">
        <v>3.26</v>
      </c>
      <c r="N118" s="25">
        <f t="shared" si="56"/>
        <v>2.11</v>
      </c>
      <c r="O118" s="20" t="str">
        <f t="shared" si="39"/>
        <v>OK</v>
      </c>
    </row>
    <row r="119" spans="1:15" ht="15" x14ac:dyDescent="0.25">
      <c r="A119" s="91"/>
      <c r="B119" s="32">
        <v>3</v>
      </c>
      <c r="C119" s="32">
        <v>1150695</v>
      </c>
      <c r="D119" s="39">
        <v>45768</v>
      </c>
      <c r="E119" s="32" t="s">
        <v>15</v>
      </c>
      <c r="F119" s="32" t="str">
        <f t="shared" si="61"/>
        <v>M21</v>
      </c>
      <c r="G119" s="61" t="str">
        <f t="shared" si="62"/>
        <v>010</v>
      </c>
      <c r="H119" s="72" t="str">
        <f t="shared" si="63"/>
        <v>C3</v>
      </c>
      <c r="I119" s="72">
        <v>2</v>
      </c>
      <c r="J119" s="37" t="s">
        <v>35</v>
      </c>
      <c r="K119" s="37">
        <v>11</v>
      </c>
      <c r="L119" s="76">
        <v>1.18</v>
      </c>
      <c r="M119" s="76">
        <v>4.33</v>
      </c>
      <c r="N119" s="25">
        <f t="shared" si="56"/>
        <v>3.1500000000000004</v>
      </c>
      <c r="O119" s="20" t="str">
        <f t="shared" si="39"/>
        <v>OK</v>
      </c>
    </row>
    <row r="120" spans="1:15" ht="15" x14ac:dyDescent="0.25">
      <c r="A120" s="91"/>
      <c r="B120" s="32">
        <v>3</v>
      </c>
      <c r="C120" s="32">
        <v>1150695</v>
      </c>
      <c r="D120" s="39">
        <v>45768</v>
      </c>
      <c r="E120" s="32" t="s">
        <v>15</v>
      </c>
      <c r="F120" s="32" t="str">
        <f t="shared" si="61"/>
        <v>M21</v>
      </c>
      <c r="G120" s="61" t="str">
        <f t="shared" si="62"/>
        <v>010</v>
      </c>
      <c r="H120" s="72" t="str">
        <f t="shared" si="63"/>
        <v>C3</v>
      </c>
      <c r="I120" s="72">
        <f t="shared" ref="I120:I122" si="65">I119</f>
        <v>2</v>
      </c>
      <c r="J120" s="37" t="s">
        <v>36</v>
      </c>
      <c r="K120" s="37">
        <v>11</v>
      </c>
      <c r="L120" s="76">
        <v>0.9</v>
      </c>
      <c r="M120" s="76">
        <v>3.83</v>
      </c>
      <c r="N120" s="25">
        <f t="shared" si="56"/>
        <v>2.93</v>
      </c>
      <c r="O120" s="20" t="str">
        <f t="shared" si="39"/>
        <v>OK</v>
      </c>
    </row>
    <row r="121" spans="1:15" ht="15" x14ac:dyDescent="0.25">
      <c r="A121" s="91"/>
      <c r="B121" s="32">
        <v>3</v>
      </c>
      <c r="C121" s="32">
        <v>1150695</v>
      </c>
      <c r="D121" s="39">
        <v>45768</v>
      </c>
      <c r="E121" s="32" t="s">
        <v>15</v>
      </c>
      <c r="F121" s="32" t="str">
        <f t="shared" si="61"/>
        <v>M21</v>
      </c>
      <c r="G121" s="61" t="str">
        <f t="shared" si="62"/>
        <v>010</v>
      </c>
      <c r="H121" s="72" t="str">
        <f t="shared" si="63"/>
        <v>C3</v>
      </c>
      <c r="I121" s="72">
        <f t="shared" si="65"/>
        <v>2</v>
      </c>
      <c r="J121" s="37" t="s">
        <v>37</v>
      </c>
      <c r="K121" s="37">
        <v>12</v>
      </c>
      <c r="L121" s="76">
        <v>0.91</v>
      </c>
      <c r="M121" s="76">
        <v>4.4000000000000004</v>
      </c>
      <c r="N121" s="25">
        <f t="shared" si="56"/>
        <v>3.49</v>
      </c>
      <c r="O121" s="20" t="str">
        <f t="shared" si="39"/>
        <v>OK</v>
      </c>
    </row>
    <row r="122" spans="1:15" ht="15" x14ac:dyDescent="0.25">
      <c r="A122" s="91"/>
      <c r="B122" s="32">
        <v>3</v>
      </c>
      <c r="C122" s="32">
        <v>1150695</v>
      </c>
      <c r="D122" s="39">
        <v>45768</v>
      </c>
      <c r="E122" s="32" t="s">
        <v>15</v>
      </c>
      <c r="F122" s="32" t="str">
        <f t="shared" si="61"/>
        <v>M21</v>
      </c>
      <c r="G122" s="61" t="str">
        <f t="shared" si="62"/>
        <v>010</v>
      </c>
      <c r="H122" s="72" t="str">
        <f t="shared" si="63"/>
        <v>C3</v>
      </c>
      <c r="I122" s="72">
        <f t="shared" si="65"/>
        <v>2</v>
      </c>
      <c r="J122" s="37" t="s">
        <v>38</v>
      </c>
      <c r="K122" s="37">
        <v>12</v>
      </c>
      <c r="L122" s="76">
        <v>0.96</v>
      </c>
      <c r="M122" s="76">
        <v>4.4000000000000004</v>
      </c>
      <c r="N122" s="25">
        <f t="shared" si="56"/>
        <v>3.4400000000000004</v>
      </c>
      <c r="O122" s="20" t="str">
        <f t="shared" si="39"/>
        <v>OK</v>
      </c>
    </row>
    <row r="123" spans="1:15" ht="15" x14ac:dyDescent="0.25">
      <c r="A123" s="91"/>
      <c r="B123" s="32">
        <v>3</v>
      </c>
      <c r="C123" s="32">
        <v>1150695</v>
      </c>
      <c r="D123" s="39">
        <v>45768</v>
      </c>
      <c r="E123" s="32" t="s">
        <v>15</v>
      </c>
      <c r="F123" s="32" t="str">
        <f t="shared" si="61"/>
        <v>M21</v>
      </c>
      <c r="G123" s="61" t="str">
        <f t="shared" si="62"/>
        <v>010</v>
      </c>
      <c r="H123" s="72" t="s">
        <v>43</v>
      </c>
      <c r="I123" s="72">
        <v>1</v>
      </c>
      <c r="J123" s="37" t="s">
        <v>31</v>
      </c>
      <c r="K123" s="37">
        <v>13</v>
      </c>
      <c r="L123" s="76">
        <v>1.72</v>
      </c>
      <c r="M123" s="76">
        <v>4.1900000000000004</v>
      </c>
      <c r="N123" s="25">
        <f t="shared" si="56"/>
        <v>2.4700000000000006</v>
      </c>
      <c r="O123" s="20" t="str">
        <f t="shared" si="39"/>
        <v>Reperfilado</v>
      </c>
    </row>
    <row r="124" spans="1:15" ht="15" x14ac:dyDescent="0.25">
      <c r="A124" s="91"/>
      <c r="B124" s="32">
        <v>3</v>
      </c>
      <c r="C124" s="32">
        <v>1150695</v>
      </c>
      <c r="D124" s="39">
        <v>45768</v>
      </c>
      <c r="E124" s="32" t="s">
        <v>15</v>
      </c>
      <c r="F124" s="32" t="str">
        <f t="shared" si="61"/>
        <v>M21</v>
      </c>
      <c r="G124" s="61" t="str">
        <f t="shared" si="62"/>
        <v>010</v>
      </c>
      <c r="H124" s="72" t="str">
        <f t="shared" ref="H124:H130" si="66">H123</f>
        <v>C4</v>
      </c>
      <c r="I124" s="72">
        <f t="shared" ref="I124:I126" si="67">I123</f>
        <v>1</v>
      </c>
      <c r="J124" s="37" t="s">
        <v>32</v>
      </c>
      <c r="K124" s="37">
        <v>13</v>
      </c>
      <c r="L124" s="76">
        <v>0.87</v>
      </c>
      <c r="M124" s="76">
        <v>3.82</v>
      </c>
      <c r="N124" s="25">
        <f t="shared" si="56"/>
        <v>2.9499999999999997</v>
      </c>
      <c r="O124" s="20" t="str">
        <f t="shared" si="39"/>
        <v>OK</v>
      </c>
    </row>
    <row r="125" spans="1:15" ht="15" x14ac:dyDescent="0.25">
      <c r="A125" s="91"/>
      <c r="B125" s="32">
        <v>3</v>
      </c>
      <c r="C125" s="32">
        <v>1150695</v>
      </c>
      <c r="D125" s="39">
        <v>45768</v>
      </c>
      <c r="E125" s="32" t="s">
        <v>15</v>
      </c>
      <c r="F125" s="32" t="str">
        <f t="shared" si="61"/>
        <v>M21</v>
      </c>
      <c r="G125" s="61" t="str">
        <f t="shared" si="62"/>
        <v>010</v>
      </c>
      <c r="H125" s="72" t="str">
        <f t="shared" si="66"/>
        <v>C4</v>
      </c>
      <c r="I125" s="72">
        <f t="shared" si="67"/>
        <v>1</v>
      </c>
      <c r="J125" s="37" t="s">
        <v>33</v>
      </c>
      <c r="K125" s="37">
        <v>14</v>
      </c>
      <c r="L125" s="76">
        <v>0.43</v>
      </c>
      <c r="M125" s="76">
        <v>3.17</v>
      </c>
      <c r="N125" s="25">
        <f t="shared" si="56"/>
        <v>2.7399999999999998</v>
      </c>
      <c r="O125" s="20" t="str">
        <f t="shared" si="39"/>
        <v>OK</v>
      </c>
    </row>
    <row r="126" spans="1:15" ht="15" x14ac:dyDescent="0.25">
      <c r="A126" s="91"/>
      <c r="B126" s="32">
        <v>3</v>
      </c>
      <c r="C126" s="32">
        <v>1150695</v>
      </c>
      <c r="D126" s="39">
        <v>45768</v>
      </c>
      <c r="E126" s="32" t="s">
        <v>15</v>
      </c>
      <c r="F126" s="32" t="str">
        <f t="shared" si="61"/>
        <v>M21</v>
      </c>
      <c r="G126" s="61" t="str">
        <f t="shared" si="62"/>
        <v>010</v>
      </c>
      <c r="H126" s="72" t="str">
        <f t="shared" si="66"/>
        <v>C4</v>
      </c>
      <c r="I126" s="72">
        <f t="shared" si="67"/>
        <v>1</v>
      </c>
      <c r="J126" s="37" t="s">
        <v>34</v>
      </c>
      <c r="K126" s="37">
        <v>14</v>
      </c>
      <c r="L126" s="76">
        <v>1.38</v>
      </c>
      <c r="M126" s="76">
        <v>4.1399999999999997</v>
      </c>
      <c r="N126" s="25">
        <f t="shared" si="56"/>
        <v>2.76</v>
      </c>
      <c r="O126" s="20" t="str">
        <f t="shared" si="39"/>
        <v>OK</v>
      </c>
    </row>
    <row r="127" spans="1:15" ht="15" x14ac:dyDescent="0.25">
      <c r="A127" s="91"/>
      <c r="B127" s="32">
        <v>3</v>
      </c>
      <c r="C127" s="32">
        <v>1150695</v>
      </c>
      <c r="D127" s="39">
        <v>45768</v>
      </c>
      <c r="E127" s="32" t="s">
        <v>15</v>
      </c>
      <c r="F127" s="32" t="str">
        <f t="shared" si="61"/>
        <v>M21</v>
      </c>
      <c r="G127" s="61" t="str">
        <f t="shared" si="62"/>
        <v>010</v>
      </c>
      <c r="H127" s="72" t="str">
        <f t="shared" si="66"/>
        <v>C4</v>
      </c>
      <c r="I127" s="72">
        <v>2</v>
      </c>
      <c r="J127" s="37" t="s">
        <v>35</v>
      </c>
      <c r="K127" s="37">
        <v>15</v>
      </c>
      <c r="L127" s="76">
        <v>0.56000000000000005</v>
      </c>
      <c r="M127" s="76">
        <v>3.19</v>
      </c>
      <c r="N127" s="25">
        <f t="shared" si="56"/>
        <v>2.63</v>
      </c>
      <c r="O127" s="20" t="str">
        <f t="shared" si="39"/>
        <v>OK</v>
      </c>
    </row>
    <row r="128" spans="1:15" ht="15" x14ac:dyDescent="0.25">
      <c r="A128" s="91"/>
      <c r="B128" s="32">
        <v>3</v>
      </c>
      <c r="C128" s="32">
        <v>1150695</v>
      </c>
      <c r="D128" s="39">
        <v>45768</v>
      </c>
      <c r="E128" s="32" t="s">
        <v>15</v>
      </c>
      <c r="F128" s="32" t="str">
        <f t="shared" si="61"/>
        <v>M21</v>
      </c>
      <c r="G128" s="61" t="str">
        <f t="shared" si="62"/>
        <v>010</v>
      </c>
      <c r="H128" s="72" t="str">
        <f t="shared" si="66"/>
        <v>C4</v>
      </c>
      <c r="I128" s="72">
        <f t="shared" ref="I128:I130" si="68">I127</f>
        <v>2</v>
      </c>
      <c r="J128" s="37" t="s">
        <v>36</v>
      </c>
      <c r="K128" s="37">
        <v>15</v>
      </c>
      <c r="L128" s="76">
        <v>0.57999999999999996</v>
      </c>
      <c r="M128" s="76">
        <v>3.96</v>
      </c>
      <c r="N128" s="25">
        <f t="shared" si="56"/>
        <v>3.38</v>
      </c>
      <c r="O128" s="20" t="str">
        <f t="shared" si="39"/>
        <v>OK</v>
      </c>
    </row>
    <row r="129" spans="1:15" ht="15" x14ac:dyDescent="0.25">
      <c r="A129" s="91"/>
      <c r="B129" s="32">
        <v>3</v>
      </c>
      <c r="C129" s="32">
        <v>1150695</v>
      </c>
      <c r="D129" s="39">
        <v>45768</v>
      </c>
      <c r="E129" s="32" t="s">
        <v>15</v>
      </c>
      <c r="F129" s="32" t="str">
        <f t="shared" si="61"/>
        <v>M21</v>
      </c>
      <c r="G129" s="61" t="str">
        <f t="shared" si="62"/>
        <v>010</v>
      </c>
      <c r="H129" s="72" t="str">
        <f t="shared" si="66"/>
        <v>C4</v>
      </c>
      <c r="I129" s="72">
        <f t="shared" si="68"/>
        <v>2</v>
      </c>
      <c r="J129" s="37" t="s">
        <v>37</v>
      </c>
      <c r="K129" s="37">
        <v>16</v>
      </c>
      <c r="L129" s="76">
        <v>0.61</v>
      </c>
      <c r="M129" s="76">
        <v>4.07</v>
      </c>
      <c r="N129" s="25">
        <f t="shared" si="56"/>
        <v>3.4600000000000004</v>
      </c>
      <c r="O129" s="20" t="str">
        <f t="shared" si="39"/>
        <v>OK</v>
      </c>
    </row>
    <row r="130" spans="1:15" ht="15" x14ac:dyDescent="0.25">
      <c r="A130" s="91"/>
      <c r="B130" s="32">
        <v>3</v>
      </c>
      <c r="C130" s="32">
        <v>1150695</v>
      </c>
      <c r="D130" s="39">
        <v>45768</v>
      </c>
      <c r="E130" s="32" t="s">
        <v>15</v>
      </c>
      <c r="F130" s="32" t="str">
        <f t="shared" si="61"/>
        <v>M21</v>
      </c>
      <c r="G130" s="61" t="str">
        <f t="shared" si="62"/>
        <v>010</v>
      </c>
      <c r="H130" s="72" t="str">
        <f t="shared" si="66"/>
        <v>C4</v>
      </c>
      <c r="I130" s="72">
        <f t="shared" si="68"/>
        <v>2</v>
      </c>
      <c r="J130" s="37" t="s">
        <v>38</v>
      </c>
      <c r="K130" s="37">
        <v>16</v>
      </c>
      <c r="L130" s="76">
        <v>1.4</v>
      </c>
      <c r="M130" s="76">
        <v>2.68</v>
      </c>
      <c r="N130" s="25">
        <f t="shared" si="56"/>
        <v>1.2800000000000002</v>
      </c>
      <c r="O130" s="20" t="str">
        <f t="shared" si="39"/>
        <v>OK</v>
      </c>
    </row>
    <row r="131" spans="1:15" ht="15" x14ac:dyDescent="0.25">
      <c r="A131" s="91"/>
      <c r="B131" s="32">
        <v>3</v>
      </c>
      <c r="C131" s="32">
        <v>1150695</v>
      </c>
      <c r="D131" s="39">
        <v>45768</v>
      </c>
      <c r="E131" s="32" t="s">
        <v>15</v>
      </c>
      <c r="F131" s="32" t="s">
        <v>44</v>
      </c>
      <c r="G131" s="61" t="s">
        <v>61</v>
      </c>
      <c r="H131" s="72" t="s">
        <v>46</v>
      </c>
      <c r="I131" s="72">
        <v>1</v>
      </c>
      <c r="J131" s="37" t="s">
        <v>31</v>
      </c>
      <c r="K131" s="37">
        <v>17</v>
      </c>
      <c r="L131" s="76">
        <v>1.63</v>
      </c>
      <c r="M131" s="76">
        <v>3.83</v>
      </c>
      <c r="N131" s="25">
        <f t="shared" si="56"/>
        <v>2.2000000000000002</v>
      </c>
      <c r="O131" s="20" t="str">
        <f t="shared" si="39"/>
        <v>OK</v>
      </c>
    </row>
    <row r="132" spans="1:15" ht="15" x14ac:dyDescent="0.25">
      <c r="A132" s="91"/>
      <c r="B132" s="32">
        <v>3</v>
      </c>
      <c r="C132" s="32">
        <v>1150695</v>
      </c>
      <c r="D132" s="39">
        <v>45768</v>
      </c>
      <c r="E132" s="32" t="s">
        <v>15</v>
      </c>
      <c r="F132" s="32" t="str">
        <f t="shared" ref="F132:F146" si="69">F131</f>
        <v>M22</v>
      </c>
      <c r="G132" s="61" t="str">
        <f t="shared" ref="G132:G146" si="70">G131</f>
        <v>307</v>
      </c>
      <c r="H132" s="72" t="str">
        <f t="shared" ref="H132:H138" si="71">H131</f>
        <v>C5</v>
      </c>
      <c r="I132" s="72">
        <f t="shared" ref="I132:I134" si="72">I131</f>
        <v>1</v>
      </c>
      <c r="J132" s="37" t="s">
        <v>32</v>
      </c>
      <c r="K132" s="37">
        <v>17</v>
      </c>
      <c r="L132" s="76">
        <v>0.41</v>
      </c>
      <c r="M132" s="76">
        <v>1.1499999999999999</v>
      </c>
      <c r="N132" s="25">
        <f t="shared" si="56"/>
        <v>0.74</v>
      </c>
      <c r="O132" s="20" t="str">
        <f t="shared" ref="O132:O195" si="73">IF(N132&lt;=0,"Critico",IF(N132&lt;=0.2,"Cambio",IF(N132&lt;=1,"Seguimiento",IF(L132&gt;=1.7,"Reperfilado","OK"))))</f>
        <v>Seguimiento</v>
      </c>
    </row>
    <row r="133" spans="1:15" ht="15" x14ac:dyDescent="0.25">
      <c r="A133" s="91"/>
      <c r="B133" s="32">
        <v>3</v>
      </c>
      <c r="C133" s="32">
        <v>1150695</v>
      </c>
      <c r="D133" s="39">
        <v>45768</v>
      </c>
      <c r="E133" s="32" t="s">
        <v>15</v>
      </c>
      <c r="F133" s="32" t="str">
        <f t="shared" si="69"/>
        <v>M22</v>
      </c>
      <c r="G133" s="61" t="str">
        <f t="shared" si="70"/>
        <v>307</v>
      </c>
      <c r="H133" s="72" t="str">
        <f t="shared" si="71"/>
        <v>C5</v>
      </c>
      <c r="I133" s="72">
        <f t="shared" si="72"/>
        <v>1</v>
      </c>
      <c r="J133" s="37" t="s">
        <v>33</v>
      </c>
      <c r="K133" s="37">
        <v>18</v>
      </c>
      <c r="L133" s="76">
        <v>1.3</v>
      </c>
      <c r="M133" s="76">
        <v>4.84</v>
      </c>
      <c r="N133" s="25">
        <f t="shared" si="56"/>
        <v>3.54</v>
      </c>
      <c r="O133" s="20" t="str">
        <f t="shared" si="73"/>
        <v>OK</v>
      </c>
    </row>
    <row r="134" spans="1:15" ht="15" x14ac:dyDescent="0.25">
      <c r="A134" s="91"/>
      <c r="B134" s="32">
        <v>3</v>
      </c>
      <c r="C134" s="32">
        <v>1150695</v>
      </c>
      <c r="D134" s="39">
        <v>45768</v>
      </c>
      <c r="E134" s="32" t="s">
        <v>15</v>
      </c>
      <c r="F134" s="32" t="str">
        <f t="shared" si="69"/>
        <v>M22</v>
      </c>
      <c r="G134" s="61" t="str">
        <f t="shared" si="70"/>
        <v>307</v>
      </c>
      <c r="H134" s="72" t="str">
        <f t="shared" si="71"/>
        <v>C5</v>
      </c>
      <c r="I134" s="72">
        <f t="shared" si="72"/>
        <v>1</v>
      </c>
      <c r="J134" s="37" t="s">
        <v>34</v>
      </c>
      <c r="K134" s="37">
        <v>18</v>
      </c>
      <c r="L134" s="76">
        <v>0.18</v>
      </c>
      <c r="M134" s="76">
        <v>0.76</v>
      </c>
      <c r="N134" s="25">
        <f t="shared" si="56"/>
        <v>0.58000000000000007</v>
      </c>
      <c r="O134" s="20" t="str">
        <f t="shared" si="73"/>
        <v>Seguimiento</v>
      </c>
    </row>
    <row r="135" spans="1:15" ht="15" x14ac:dyDescent="0.25">
      <c r="A135" s="91"/>
      <c r="B135" s="32">
        <v>3</v>
      </c>
      <c r="C135" s="32">
        <v>1150695</v>
      </c>
      <c r="D135" s="39">
        <v>45768</v>
      </c>
      <c r="E135" s="32" t="s">
        <v>15</v>
      </c>
      <c r="F135" s="32" t="str">
        <f t="shared" si="69"/>
        <v>M22</v>
      </c>
      <c r="G135" s="61" t="str">
        <f t="shared" si="70"/>
        <v>307</v>
      </c>
      <c r="H135" s="72" t="str">
        <f t="shared" si="71"/>
        <v>C5</v>
      </c>
      <c r="I135" s="72">
        <v>2</v>
      </c>
      <c r="J135" s="37" t="s">
        <v>35</v>
      </c>
      <c r="K135" s="37">
        <v>19</v>
      </c>
      <c r="L135" s="76">
        <v>0.52</v>
      </c>
      <c r="M135" s="76">
        <v>1.77</v>
      </c>
      <c r="N135" s="25">
        <f t="shared" si="56"/>
        <v>1.25</v>
      </c>
      <c r="O135" s="20" t="str">
        <f t="shared" si="73"/>
        <v>OK</v>
      </c>
    </row>
    <row r="136" spans="1:15" ht="15" x14ac:dyDescent="0.25">
      <c r="A136" s="91"/>
      <c r="B136" s="32">
        <v>3</v>
      </c>
      <c r="C136" s="32">
        <v>1150695</v>
      </c>
      <c r="D136" s="39">
        <v>45768</v>
      </c>
      <c r="E136" s="32" t="s">
        <v>15</v>
      </c>
      <c r="F136" s="32" t="str">
        <f t="shared" si="69"/>
        <v>M22</v>
      </c>
      <c r="G136" s="61" t="str">
        <f t="shared" si="70"/>
        <v>307</v>
      </c>
      <c r="H136" s="72" t="str">
        <f t="shared" si="71"/>
        <v>C5</v>
      </c>
      <c r="I136" s="72">
        <f t="shared" ref="I136:I138" si="74">I135</f>
        <v>2</v>
      </c>
      <c r="J136" s="37" t="s">
        <v>36</v>
      </c>
      <c r="K136" s="37">
        <v>19</v>
      </c>
      <c r="L136" s="76">
        <v>1.67</v>
      </c>
      <c r="M136" s="76">
        <v>4.54</v>
      </c>
      <c r="N136" s="25">
        <f t="shared" si="56"/>
        <v>2.87</v>
      </c>
      <c r="O136" s="20" t="str">
        <f t="shared" si="73"/>
        <v>OK</v>
      </c>
    </row>
    <row r="137" spans="1:15" ht="15" x14ac:dyDescent="0.25">
      <c r="A137" s="91"/>
      <c r="B137" s="32">
        <v>3</v>
      </c>
      <c r="C137" s="32">
        <v>1150695</v>
      </c>
      <c r="D137" s="39">
        <v>45768</v>
      </c>
      <c r="E137" s="32" t="s">
        <v>15</v>
      </c>
      <c r="F137" s="32" t="str">
        <f t="shared" si="69"/>
        <v>M22</v>
      </c>
      <c r="G137" s="61" t="str">
        <f t="shared" si="70"/>
        <v>307</v>
      </c>
      <c r="H137" s="72" t="str">
        <f t="shared" si="71"/>
        <v>C5</v>
      </c>
      <c r="I137" s="72">
        <f t="shared" si="74"/>
        <v>2</v>
      </c>
      <c r="J137" s="37" t="s">
        <v>37</v>
      </c>
      <c r="K137" s="37">
        <v>20</v>
      </c>
      <c r="L137" s="76">
        <v>1.61</v>
      </c>
      <c r="M137" s="76">
        <v>4.82</v>
      </c>
      <c r="N137" s="25">
        <f t="shared" si="56"/>
        <v>3.21</v>
      </c>
      <c r="O137" s="20" t="str">
        <f t="shared" si="73"/>
        <v>OK</v>
      </c>
    </row>
    <row r="138" spans="1:15" ht="15" x14ac:dyDescent="0.25">
      <c r="A138" s="91"/>
      <c r="B138" s="32">
        <v>3</v>
      </c>
      <c r="C138" s="32">
        <v>1150695</v>
      </c>
      <c r="D138" s="39">
        <v>45768</v>
      </c>
      <c r="E138" s="32" t="s">
        <v>15</v>
      </c>
      <c r="F138" s="32" t="str">
        <f t="shared" si="69"/>
        <v>M22</v>
      </c>
      <c r="G138" s="61" t="str">
        <f t="shared" si="70"/>
        <v>307</v>
      </c>
      <c r="H138" s="72" t="str">
        <f t="shared" si="71"/>
        <v>C5</v>
      </c>
      <c r="I138" s="72">
        <f t="shared" si="74"/>
        <v>2</v>
      </c>
      <c r="J138" s="37" t="s">
        <v>38</v>
      </c>
      <c r="K138" s="37">
        <v>20</v>
      </c>
      <c r="L138" s="76">
        <v>1.27</v>
      </c>
      <c r="M138" s="76">
        <v>4.5199999999999996</v>
      </c>
      <c r="N138" s="25">
        <f t="shared" si="56"/>
        <v>3.2499999999999996</v>
      </c>
      <c r="O138" s="20" t="str">
        <f t="shared" si="73"/>
        <v>OK</v>
      </c>
    </row>
    <row r="139" spans="1:15" ht="15" x14ac:dyDescent="0.25">
      <c r="A139" s="91"/>
      <c r="B139" s="32">
        <v>3</v>
      </c>
      <c r="C139" s="32">
        <v>1150695</v>
      </c>
      <c r="D139" s="39">
        <v>45768</v>
      </c>
      <c r="E139" s="32" t="s">
        <v>15</v>
      </c>
      <c r="F139" s="32" t="str">
        <f t="shared" si="69"/>
        <v>M22</v>
      </c>
      <c r="G139" s="61" t="str">
        <f t="shared" si="70"/>
        <v>307</v>
      </c>
      <c r="H139" s="72" t="s">
        <v>47</v>
      </c>
      <c r="I139" s="72">
        <v>1</v>
      </c>
      <c r="J139" s="37" t="s">
        <v>31</v>
      </c>
      <c r="K139" s="37">
        <v>21</v>
      </c>
      <c r="L139" s="76">
        <v>1.04</v>
      </c>
      <c r="M139" s="76">
        <v>4.91</v>
      </c>
      <c r="N139" s="25">
        <f t="shared" si="56"/>
        <v>3.87</v>
      </c>
      <c r="O139" s="20" t="str">
        <f t="shared" si="73"/>
        <v>OK</v>
      </c>
    </row>
    <row r="140" spans="1:15" ht="15" x14ac:dyDescent="0.25">
      <c r="A140" s="91"/>
      <c r="B140" s="32">
        <v>3</v>
      </c>
      <c r="C140" s="32">
        <v>1150695</v>
      </c>
      <c r="D140" s="39">
        <v>45768</v>
      </c>
      <c r="E140" s="32" t="s">
        <v>15</v>
      </c>
      <c r="F140" s="32" t="str">
        <f t="shared" si="69"/>
        <v>M22</v>
      </c>
      <c r="G140" s="61" t="str">
        <f t="shared" si="70"/>
        <v>307</v>
      </c>
      <c r="H140" s="72" t="str">
        <f t="shared" ref="H140:H146" si="75">H139</f>
        <v>C6</v>
      </c>
      <c r="I140" s="72">
        <f t="shared" ref="I140:I142" si="76">I139</f>
        <v>1</v>
      </c>
      <c r="J140" s="37" t="s">
        <v>32</v>
      </c>
      <c r="K140" s="37">
        <v>21</v>
      </c>
      <c r="L140" s="76">
        <v>1.65</v>
      </c>
      <c r="M140" s="76">
        <v>4.93</v>
      </c>
      <c r="N140" s="25">
        <f t="shared" si="56"/>
        <v>3.28</v>
      </c>
      <c r="O140" s="20" t="str">
        <f t="shared" si="73"/>
        <v>OK</v>
      </c>
    </row>
    <row r="141" spans="1:15" ht="15" x14ac:dyDescent="0.25">
      <c r="A141" s="91"/>
      <c r="B141" s="32">
        <v>3</v>
      </c>
      <c r="C141" s="32">
        <v>1150695</v>
      </c>
      <c r="D141" s="39">
        <v>45768</v>
      </c>
      <c r="E141" s="32" t="s">
        <v>15</v>
      </c>
      <c r="F141" s="32" t="str">
        <f t="shared" si="69"/>
        <v>M22</v>
      </c>
      <c r="G141" s="61" t="str">
        <f t="shared" si="70"/>
        <v>307</v>
      </c>
      <c r="H141" s="72" t="str">
        <f t="shared" si="75"/>
        <v>C6</v>
      </c>
      <c r="I141" s="72">
        <f t="shared" si="76"/>
        <v>1</v>
      </c>
      <c r="J141" s="37" t="s">
        <v>33</v>
      </c>
      <c r="K141" s="37">
        <v>22</v>
      </c>
      <c r="L141" s="76">
        <v>1.42</v>
      </c>
      <c r="M141" s="76">
        <v>4.87</v>
      </c>
      <c r="N141" s="25">
        <f t="shared" si="56"/>
        <v>3.45</v>
      </c>
      <c r="O141" s="20" t="str">
        <f t="shared" si="73"/>
        <v>OK</v>
      </c>
    </row>
    <row r="142" spans="1:15" ht="15" x14ac:dyDescent="0.25">
      <c r="A142" s="91"/>
      <c r="B142" s="32">
        <v>3</v>
      </c>
      <c r="C142" s="32">
        <v>1150695</v>
      </c>
      <c r="D142" s="39">
        <v>45768</v>
      </c>
      <c r="E142" s="32" t="s">
        <v>15</v>
      </c>
      <c r="F142" s="32" t="str">
        <f t="shared" si="69"/>
        <v>M22</v>
      </c>
      <c r="G142" s="61" t="str">
        <f t="shared" si="70"/>
        <v>307</v>
      </c>
      <c r="H142" s="72" t="str">
        <f t="shared" si="75"/>
        <v>C6</v>
      </c>
      <c r="I142" s="72">
        <f t="shared" si="76"/>
        <v>1</v>
      </c>
      <c r="J142" s="37" t="s">
        <v>34</v>
      </c>
      <c r="K142" s="37">
        <v>22</v>
      </c>
      <c r="L142" s="76">
        <v>0.64</v>
      </c>
      <c r="M142" s="76">
        <v>4.66</v>
      </c>
      <c r="N142" s="25">
        <f t="shared" si="56"/>
        <v>4.0200000000000005</v>
      </c>
      <c r="O142" s="20" t="str">
        <f t="shared" si="73"/>
        <v>OK</v>
      </c>
    </row>
    <row r="143" spans="1:15" ht="15" x14ac:dyDescent="0.25">
      <c r="A143" s="91"/>
      <c r="B143" s="32">
        <v>3</v>
      </c>
      <c r="C143" s="32">
        <v>1150695</v>
      </c>
      <c r="D143" s="39">
        <v>45768</v>
      </c>
      <c r="E143" s="32" t="s">
        <v>15</v>
      </c>
      <c r="F143" s="32" t="str">
        <f t="shared" si="69"/>
        <v>M22</v>
      </c>
      <c r="G143" s="61" t="str">
        <f t="shared" si="70"/>
        <v>307</v>
      </c>
      <c r="H143" s="72" t="str">
        <f t="shared" si="75"/>
        <v>C6</v>
      </c>
      <c r="I143" s="72">
        <v>2</v>
      </c>
      <c r="J143" s="37" t="s">
        <v>35</v>
      </c>
      <c r="K143" s="37">
        <v>23</v>
      </c>
      <c r="L143" s="76">
        <v>0.31</v>
      </c>
      <c r="M143" s="76">
        <v>5</v>
      </c>
      <c r="N143" s="25">
        <f t="shared" si="56"/>
        <v>4.6900000000000004</v>
      </c>
      <c r="O143" s="20" t="str">
        <f t="shared" si="73"/>
        <v>OK</v>
      </c>
    </row>
    <row r="144" spans="1:15" ht="15" x14ac:dyDescent="0.25">
      <c r="A144" s="91"/>
      <c r="B144" s="32">
        <v>3</v>
      </c>
      <c r="C144" s="32">
        <v>1150695</v>
      </c>
      <c r="D144" s="39">
        <v>45768</v>
      </c>
      <c r="E144" s="32" t="s">
        <v>15</v>
      </c>
      <c r="F144" s="32" t="str">
        <f t="shared" si="69"/>
        <v>M22</v>
      </c>
      <c r="G144" s="61" t="str">
        <f t="shared" si="70"/>
        <v>307</v>
      </c>
      <c r="H144" s="72" t="str">
        <f t="shared" si="75"/>
        <v>C6</v>
      </c>
      <c r="I144" s="72">
        <f t="shared" ref="I144:I146" si="77">I143</f>
        <v>2</v>
      </c>
      <c r="J144" s="37" t="s">
        <v>36</v>
      </c>
      <c r="K144" s="37">
        <v>23</v>
      </c>
      <c r="L144" s="76">
        <v>1.02</v>
      </c>
      <c r="M144" s="76">
        <v>4.43</v>
      </c>
      <c r="N144" s="25">
        <f t="shared" si="56"/>
        <v>3.4099999999999997</v>
      </c>
      <c r="O144" s="20" t="str">
        <f t="shared" si="73"/>
        <v>OK</v>
      </c>
    </row>
    <row r="145" spans="1:15" ht="15" x14ac:dyDescent="0.25">
      <c r="A145" s="91"/>
      <c r="B145" s="32">
        <v>3</v>
      </c>
      <c r="C145" s="32">
        <v>1150695</v>
      </c>
      <c r="D145" s="39">
        <v>45768</v>
      </c>
      <c r="E145" s="32" t="s">
        <v>15</v>
      </c>
      <c r="F145" s="32" t="str">
        <f t="shared" si="69"/>
        <v>M22</v>
      </c>
      <c r="G145" s="61" t="str">
        <f t="shared" si="70"/>
        <v>307</v>
      </c>
      <c r="H145" s="72" t="str">
        <f t="shared" si="75"/>
        <v>C6</v>
      </c>
      <c r="I145" s="72">
        <f t="shared" si="77"/>
        <v>2</v>
      </c>
      <c r="J145" s="37" t="s">
        <v>37</v>
      </c>
      <c r="K145" s="37">
        <v>24</v>
      </c>
      <c r="L145" s="76">
        <v>1.19</v>
      </c>
      <c r="M145" s="76">
        <v>4.91</v>
      </c>
      <c r="N145" s="25">
        <f t="shared" si="56"/>
        <v>3.72</v>
      </c>
      <c r="O145" s="20" t="str">
        <f t="shared" si="73"/>
        <v>OK</v>
      </c>
    </row>
    <row r="146" spans="1:15" ht="15" x14ac:dyDescent="0.25">
      <c r="A146" s="91"/>
      <c r="B146" s="32">
        <v>3</v>
      </c>
      <c r="C146" s="32">
        <v>1150695</v>
      </c>
      <c r="D146" s="39">
        <v>45768</v>
      </c>
      <c r="E146" s="32" t="s">
        <v>15</v>
      </c>
      <c r="F146" s="32" t="str">
        <f t="shared" si="69"/>
        <v>M22</v>
      </c>
      <c r="G146" s="61" t="str">
        <f t="shared" si="70"/>
        <v>307</v>
      </c>
      <c r="H146" s="72" t="str">
        <f t="shared" si="75"/>
        <v>C6</v>
      </c>
      <c r="I146" s="72">
        <f t="shared" si="77"/>
        <v>2</v>
      </c>
      <c r="J146" s="37" t="s">
        <v>38</v>
      </c>
      <c r="K146" s="37">
        <v>24</v>
      </c>
      <c r="L146" s="76">
        <v>1.66</v>
      </c>
      <c r="M146" s="76">
        <v>4.7699999999999996</v>
      </c>
      <c r="N146" s="25">
        <f t="shared" si="56"/>
        <v>3.1099999999999994</v>
      </c>
      <c r="O146" s="20" t="str">
        <f t="shared" si="73"/>
        <v>OK</v>
      </c>
    </row>
    <row r="147" spans="1:15" ht="15" x14ac:dyDescent="0.25">
      <c r="A147" s="91"/>
      <c r="B147" s="32">
        <v>3</v>
      </c>
      <c r="C147" s="32">
        <v>1150695</v>
      </c>
      <c r="D147" s="39">
        <v>45768</v>
      </c>
      <c r="E147" s="32" t="s">
        <v>15</v>
      </c>
      <c r="F147" s="32" t="s">
        <v>44</v>
      </c>
      <c r="G147" s="61" t="s">
        <v>62</v>
      </c>
      <c r="H147" s="72" t="s">
        <v>47</v>
      </c>
      <c r="I147" s="72">
        <v>2</v>
      </c>
      <c r="J147" s="37" t="s">
        <v>31</v>
      </c>
      <c r="K147" s="37">
        <v>25</v>
      </c>
      <c r="L147" s="76">
        <v>1.22</v>
      </c>
      <c r="M147" s="76">
        <v>3.7</v>
      </c>
      <c r="N147" s="25">
        <f t="shared" si="56"/>
        <v>2.4800000000000004</v>
      </c>
      <c r="O147" s="20" t="str">
        <f t="shared" si="73"/>
        <v>OK</v>
      </c>
    </row>
    <row r="148" spans="1:15" ht="15" x14ac:dyDescent="0.25">
      <c r="A148" s="91"/>
      <c r="B148" s="32">
        <v>3</v>
      </c>
      <c r="C148" s="32">
        <v>1150695</v>
      </c>
      <c r="D148" s="39">
        <v>45768</v>
      </c>
      <c r="E148" s="32" t="s">
        <v>15</v>
      </c>
      <c r="F148" s="32" t="str">
        <f t="shared" ref="F148:F162" si="78">F147</f>
        <v>M22</v>
      </c>
      <c r="G148" s="61" t="str">
        <f t="shared" ref="G148:G162" si="79">G147</f>
        <v>306</v>
      </c>
      <c r="H148" s="72" t="str">
        <f t="shared" ref="H148:H154" si="80">H147</f>
        <v>C6</v>
      </c>
      <c r="I148" s="72">
        <f t="shared" ref="I148:I150" si="81">I147</f>
        <v>2</v>
      </c>
      <c r="J148" s="37" t="s">
        <v>32</v>
      </c>
      <c r="K148" s="37">
        <v>25</v>
      </c>
      <c r="L148" s="76">
        <v>0.52</v>
      </c>
      <c r="M148" s="76">
        <v>1.48</v>
      </c>
      <c r="N148" s="25">
        <f t="shared" si="56"/>
        <v>0.96</v>
      </c>
      <c r="O148" s="20" t="str">
        <f t="shared" si="73"/>
        <v>Seguimiento</v>
      </c>
    </row>
    <row r="149" spans="1:15" ht="15" x14ac:dyDescent="0.25">
      <c r="A149" s="91"/>
      <c r="B149" s="32">
        <v>3</v>
      </c>
      <c r="C149" s="32">
        <v>1150695</v>
      </c>
      <c r="D149" s="39">
        <v>45768</v>
      </c>
      <c r="E149" s="32" t="s">
        <v>15</v>
      </c>
      <c r="F149" s="32" t="str">
        <f t="shared" si="78"/>
        <v>M22</v>
      </c>
      <c r="G149" s="61" t="str">
        <f t="shared" si="79"/>
        <v>306</v>
      </c>
      <c r="H149" s="72" t="str">
        <f t="shared" si="80"/>
        <v>C6</v>
      </c>
      <c r="I149" s="72">
        <f t="shared" si="81"/>
        <v>2</v>
      </c>
      <c r="J149" s="37" t="s">
        <v>33</v>
      </c>
      <c r="K149" s="37">
        <v>26</v>
      </c>
      <c r="L149" s="76">
        <v>0.51</v>
      </c>
      <c r="M149" s="76">
        <v>4.8600000000000003</v>
      </c>
      <c r="N149" s="25">
        <f t="shared" si="56"/>
        <v>4.3500000000000005</v>
      </c>
      <c r="O149" s="20" t="str">
        <f t="shared" si="73"/>
        <v>OK</v>
      </c>
    </row>
    <row r="150" spans="1:15" ht="15" x14ac:dyDescent="0.25">
      <c r="A150" s="91"/>
      <c r="B150" s="32">
        <v>3</v>
      </c>
      <c r="C150" s="32">
        <v>1150695</v>
      </c>
      <c r="D150" s="39">
        <v>45768</v>
      </c>
      <c r="E150" s="32" t="s">
        <v>15</v>
      </c>
      <c r="F150" s="32" t="str">
        <f t="shared" si="78"/>
        <v>M22</v>
      </c>
      <c r="G150" s="61" t="str">
        <f t="shared" si="79"/>
        <v>306</v>
      </c>
      <c r="H150" s="72" t="str">
        <f t="shared" si="80"/>
        <v>C6</v>
      </c>
      <c r="I150" s="72">
        <f t="shared" si="81"/>
        <v>2</v>
      </c>
      <c r="J150" s="37" t="s">
        <v>34</v>
      </c>
      <c r="K150" s="37">
        <v>26</v>
      </c>
      <c r="L150" s="76">
        <v>0.47</v>
      </c>
      <c r="M150" s="76">
        <v>2.16</v>
      </c>
      <c r="N150" s="25">
        <f t="shared" si="56"/>
        <v>1.6900000000000002</v>
      </c>
      <c r="O150" s="20" t="str">
        <f t="shared" si="73"/>
        <v>OK</v>
      </c>
    </row>
    <row r="151" spans="1:15" ht="15" x14ac:dyDescent="0.25">
      <c r="A151" s="91"/>
      <c r="B151" s="32">
        <v>3</v>
      </c>
      <c r="C151" s="32">
        <v>1150695</v>
      </c>
      <c r="D151" s="39">
        <v>45768</v>
      </c>
      <c r="E151" s="32" t="s">
        <v>15</v>
      </c>
      <c r="F151" s="32" t="str">
        <f t="shared" si="78"/>
        <v>M22</v>
      </c>
      <c r="G151" s="61" t="str">
        <f t="shared" si="79"/>
        <v>306</v>
      </c>
      <c r="H151" s="72" t="str">
        <f t="shared" si="80"/>
        <v>C6</v>
      </c>
      <c r="I151" s="72">
        <v>1</v>
      </c>
      <c r="J151" s="37" t="s">
        <v>35</v>
      </c>
      <c r="K151" s="37">
        <v>27</v>
      </c>
      <c r="L151" s="76">
        <v>0.23</v>
      </c>
      <c r="M151" s="76">
        <v>1.59</v>
      </c>
      <c r="N151" s="25">
        <f t="shared" si="56"/>
        <v>1.36</v>
      </c>
      <c r="O151" s="20" t="str">
        <f t="shared" si="73"/>
        <v>OK</v>
      </c>
    </row>
    <row r="152" spans="1:15" ht="15" x14ac:dyDescent="0.25">
      <c r="A152" s="91"/>
      <c r="B152" s="32">
        <v>3</v>
      </c>
      <c r="C152" s="32">
        <v>1150695</v>
      </c>
      <c r="D152" s="39">
        <v>45768</v>
      </c>
      <c r="E152" s="32" t="s">
        <v>15</v>
      </c>
      <c r="F152" s="32" t="str">
        <f t="shared" si="78"/>
        <v>M22</v>
      </c>
      <c r="G152" s="61" t="str">
        <f t="shared" si="79"/>
        <v>306</v>
      </c>
      <c r="H152" s="72" t="str">
        <f t="shared" si="80"/>
        <v>C6</v>
      </c>
      <c r="I152" s="72">
        <f t="shared" ref="I152:I154" si="82">I151</f>
        <v>1</v>
      </c>
      <c r="J152" s="37" t="s">
        <v>36</v>
      </c>
      <c r="K152" s="37">
        <v>27</v>
      </c>
      <c r="L152" s="76">
        <v>0.53</v>
      </c>
      <c r="M152" s="76">
        <v>4.92</v>
      </c>
      <c r="N152" s="25">
        <f t="shared" si="56"/>
        <v>4.3899999999999997</v>
      </c>
      <c r="O152" s="20" t="str">
        <f t="shared" si="73"/>
        <v>OK</v>
      </c>
    </row>
    <row r="153" spans="1:15" ht="15" x14ac:dyDescent="0.25">
      <c r="A153" s="91"/>
      <c r="B153" s="32">
        <v>3</v>
      </c>
      <c r="C153" s="32">
        <v>1150695</v>
      </c>
      <c r="D153" s="39">
        <v>45768</v>
      </c>
      <c r="E153" s="32" t="s">
        <v>15</v>
      </c>
      <c r="F153" s="32" t="str">
        <f t="shared" si="78"/>
        <v>M22</v>
      </c>
      <c r="G153" s="61" t="str">
        <f t="shared" si="79"/>
        <v>306</v>
      </c>
      <c r="H153" s="72" t="str">
        <f t="shared" si="80"/>
        <v>C6</v>
      </c>
      <c r="I153" s="72">
        <f t="shared" si="82"/>
        <v>1</v>
      </c>
      <c r="J153" s="37" t="s">
        <v>37</v>
      </c>
      <c r="K153" s="37">
        <v>28</v>
      </c>
      <c r="L153" s="76">
        <v>0.59</v>
      </c>
      <c r="M153" s="76">
        <v>4.7699999999999996</v>
      </c>
      <c r="N153" s="25">
        <f t="shared" si="56"/>
        <v>4.18</v>
      </c>
      <c r="O153" s="20" t="str">
        <f t="shared" si="73"/>
        <v>OK</v>
      </c>
    </row>
    <row r="154" spans="1:15" ht="15" x14ac:dyDescent="0.25">
      <c r="A154" s="91"/>
      <c r="B154" s="32">
        <v>3</v>
      </c>
      <c r="C154" s="32">
        <v>1150695</v>
      </c>
      <c r="D154" s="39">
        <v>45768</v>
      </c>
      <c r="E154" s="32" t="s">
        <v>15</v>
      </c>
      <c r="F154" s="32" t="str">
        <f t="shared" si="78"/>
        <v>M22</v>
      </c>
      <c r="G154" s="61" t="str">
        <f t="shared" si="79"/>
        <v>306</v>
      </c>
      <c r="H154" s="72" t="str">
        <f t="shared" si="80"/>
        <v>C6</v>
      </c>
      <c r="I154" s="72">
        <f t="shared" si="82"/>
        <v>1</v>
      </c>
      <c r="J154" s="37" t="s">
        <v>38</v>
      </c>
      <c r="K154" s="37">
        <v>28</v>
      </c>
      <c r="L154" s="76">
        <v>0.43</v>
      </c>
      <c r="M154" s="76">
        <v>4.71</v>
      </c>
      <c r="N154" s="25">
        <f t="shared" si="56"/>
        <v>4.28</v>
      </c>
      <c r="O154" s="20" t="str">
        <f t="shared" si="73"/>
        <v>OK</v>
      </c>
    </row>
    <row r="155" spans="1:15" ht="15" x14ac:dyDescent="0.25">
      <c r="A155" s="91"/>
      <c r="B155" s="32">
        <v>3</v>
      </c>
      <c r="C155" s="32">
        <v>1150695</v>
      </c>
      <c r="D155" s="39">
        <v>45768</v>
      </c>
      <c r="E155" s="32" t="s">
        <v>15</v>
      </c>
      <c r="F155" s="32" t="str">
        <f t="shared" si="78"/>
        <v>M22</v>
      </c>
      <c r="G155" s="61" t="str">
        <f t="shared" si="79"/>
        <v>306</v>
      </c>
      <c r="H155" s="72" t="s">
        <v>46</v>
      </c>
      <c r="I155" s="72">
        <v>2</v>
      </c>
      <c r="J155" s="37" t="s">
        <v>31</v>
      </c>
      <c r="K155" s="37">
        <v>29</v>
      </c>
      <c r="L155" s="76">
        <v>0.81</v>
      </c>
      <c r="M155" s="76">
        <v>3.95</v>
      </c>
      <c r="N155" s="25">
        <f t="shared" si="56"/>
        <v>3.14</v>
      </c>
      <c r="O155" s="20" t="str">
        <f t="shared" si="73"/>
        <v>OK</v>
      </c>
    </row>
    <row r="156" spans="1:15" ht="15" x14ac:dyDescent="0.25">
      <c r="A156" s="91"/>
      <c r="B156" s="32">
        <v>3</v>
      </c>
      <c r="C156" s="32">
        <v>1150695</v>
      </c>
      <c r="D156" s="39">
        <v>45768</v>
      </c>
      <c r="E156" s="32" t="s">
        <v>15</v>
      </c>
      <c r="F156" s="32" t="str">
        <f t="shared" si="78"/>
        <v>M22</v>
      </c>
      <c r="G156" s="61" t="str">
        <f t="shared" si="79"/>
        <v>306</v>
      </c>
      <c r="H156" s="72" t="str">
        <f t="shared" ref="H156:H162" si="83">H155</f>
        <v>C5</v>
      </c>
      <c r="I156" s="72">
        <f t="shared" ref="I156:I158" si="84">I155</f>
        <v>2</v>
      </c>
      <c r="J156" s="37" t="s">
        <v>32</v>
      </c>
      <c r="K156" s="37">
        <v>29</v>
      </c>
      <c r="L156" s="76">
        <v>0.44</v>
      </c>
      <c r="M156" s="76">
        <v>4.87</v>
      </c>
      <c r="N156" s="25">
        <f t="shared" si="56"/>
        <v>4.43</v>
      </c>
      <c r="O156" s="20" t="str">
        <f t="shared" si="73"/>
        <v>OK</v>
      </c>
    </row>
    <row r="157" spans="1:15" ht="15" x14ac:dyDescent="0.25">
      <c r="A157" s="91"/>
      <c r="B157" s="32">
        <v>3</v>
      </c>
      <c r="C157" s="32">
        <v>1150695</v>
      </c>
      <c r="D157" s="39">
        <v>45768</v>
      </c>
      <c r="E157" s="32" t="s">
        <v>15</v>
      </c>
      <c r="F157" s="32" t="str">
        <f t="shared" si="78"/>
        <v>M22</v>
      </c>
      <c r="G157" s="61" t="str">
        <f t="shared" si="79"/>
        <v>306</v>
      </c>
      <c r="H157" s="72" t="str">
        <f t="shared" si="83"/>
        <v>C5</v>
      </c>
      <c r="I157" s="72">
        <f t="shared" si="84"/>
        <v>2</v>
      </c>
      <c r="J157" s="37" t="s">
        <v>33</v>
      </c>
      <c r="K157" s="37">
        <v>30</v>
      </c>
      <c r="L157" s="76">
        <v>0.28000000000000003</v>
      </c>
      <c r="M157" s="76">
        <v>5.0199999999999996</v>
      </c>
      <c r="N157" s="25">
        <f t="shared" si="56"/>
        <v>4.7399999999999993</v>
      </c>
      <c r="O157" s="20" t="str">
        <f t="shared" si="73"/>
        <v>OK</v>
      </c>
    </row>
    <row r="158" spans="1:15" ht="15" x14ac:dyDescent="0.25">
      <c r="A158" s="91"/>
      <c r="B158" s="32">
        <v>3</v>
      </c>
      <c r="C158" s="32">
        <v>1150695</v>
      </c>
      <c r="D158" s="39">
        <v>45768</v>
      </c>
      <c r="E158" s="32" t="s">
        <v>15</v>
      </c>
      <c r="F158" s="32" t="str">
        <f t="shared" si="78"/>
        <v>M22</v>
      </c>
      <c r="G158" s="61" t="str">
        <f t="shared" si="79"/>
        <v>306</v>
      </c>
      <c r="H158" s="72" t="str">
        <f t="shared" si="83"/>
        <v>C5</v>
      </c>
      <c r="I158" s="72">
        <f t="shared" si="84"/>
        <v>2</v>
      </c>
      <c r="J158" s="37" t="s">
        <v>34</v>
      </c>
      <c r="K158" s="37">
        <v>30</v>
      </c>
      <c r="L158" s="76">
        <v>0.31</v>
      </c>
      <c r="M158" s="76">
        <v>3.83</v>
      </c>
      <c r="N158" s="25">
        <f t="shared" si="56"/>
        <v>3.52</v>
      </c>
      <c r="O158" s="20" t="str">
        <f t="shared" si="73"/>
        <v>OK</v>
      </c>
    </row>
    <row r="159" spans="1:15" ht="15" x14ac:dyDescent="0.25">
      <c r="A159" s="91"/>
      <c r="B159" s="32">
        <v>3</v>
      </c>
      <c r="C159" s="32">
        <v>1150695</v>
      </c>
      <c r="D159" s="39">
        <v>45768</v>
      </c>
      <c r="E159" s="32" t="s">
        <v>15</v>
      </c>
      <c r="F159" s="32" t="str">
        <f t="shared" si="78"/>
        <v>M22</v>
      </c>
      <c r="G159" s="61" t="str">
        <f t="shared" si="79"/>
        <v>306</v>
      </c>
      <c r="H159" s="72" t="str">
        <f t="shared" si="83"/>
        <v>C5</v>
      </c>
      <c r="I159" s="72">
        <v>1</v>
      </c>
      <c r="J159" s="37" t="s">
        <v>35</v>
      </c>
      <c r="K159" s="37">
        <v>31</v>
      </c>
      <c r="L159" s="76">
        <v>0.88</v>
      </c>
      <c r="M159" s="76">
        <v>1.36</v>
      </c>
      <c r="N159" s="25">
        <f t="shared" si="56"/>
        <v>0.48000000000000009</v>
      </c>
      <c r="O159" s="20" t="str">
        <f t="shared" si="73"/>
        <v>Seguimiento</v>
      </c>
    </row>
    <row r="160" spans="1:15" ht="15" x14ac:dyDescent="0.25">
      <c r="A160" s="91"/>
      <c r="B160" s="32">
        <v>3</v>
      </c>
      <c r="C160" s="32">
        <v>1150695</v>
      </c>
      <c r="D160" s="39">
        <v>45768</v>
      </c>
      <c r="E160" s="32" t="s">
        <v>15</v>
      </c>
      <c r="F160" s="32" t="str">
        <f t="shared" si="78"/>
        <v>M22</v>
      </c>
      <c r="G160" s="61" t="str">
        <f t="shared" si="79"/>
        <v>306</v>
      </c>
      <c r="H160" s="72" t="str">
        <f t="shared" si="83"/>
        <v>C5</v>
      </c>
      <c r="I160" s="72">
        <f t="shared" ref="I160:I162" si="85">I159</f>
        <v>1</v>
      </c>
      <c r="J160" s="37" t="s">
        <v>36</v>
      </c>
      <c r="K160" s="37">
        <v>31</v>
      </c>
      <c r="L160" s="76">
        <v>0.65</v>
      </c>
      <c r="M160" s="76">
        <v>4.96</v>
      </c>
      <c r="N160" s="25">
        <f t="shared" si="56"/>
        <v>4.3099999999999996</v>
      </c>
      <c r="O160" s="20" t="str">
        <f t="shared" si="73"/>
        <v>OK</v>
      </c>
    </row>
    <row r="161" spans="1:15" ht="15" x14ac:dyDescent="0.25">
      <c r="A161" s="91"/>
      <c r="B161" s="32">
        <v>3</v>
      </c>
      <c r="C161" s="32">
        <v>1150695</v>
      </c>
      <c r="D161" s="39">
        <v>45768</v>
      </c>
      <c r="E161" s="32" t="s">
        <v>15</v>
      </c>
      <c r="F161" s="32" t="str">
        <f t="shared" si="78"/>
        <v>M22</v>
      </c>
      <c r="G161" s="61" t="str">
        <f t="shared" si="79"/>
        <v>306</v>
      </c>
      <c r="H161" s="72" t="str">
        <f t="shared" si="83"/>
        <v>C5</v>
      </c>
      <c r="I161" s="72">
        <f t="shared" si="85"/>
        <v>1</v>
      </c>
      <c r="J161" s="37" t="s">
        <v>37</v>
      </c>
      <c r="K161" s="37">
        <v>32</v>
      </c>
      <c r="L161" s="76">
        <v>0.36</v>
      </c>
      <c r="M161" s="76">
        <v>4.9000000000000004</v>
      </c>
      <c r="N161" s="25">
        <f t="shared" si="56"/>
        <v>4.54</v>
      </c>
      <c r="O161" s="20" t="str">
        <f t="shared" si="73"/>
        <v>OK</v>
      </c>
    </row>
    <row r="162" spans="1:15" ht="15" x14ac:dyDescent="0.25">
      <c r="A162" s="91"/>
      <c r="B162" s="32">
        <v>3</v>
      </c>
      <c r="C162" s="32">
        <v>1150695</v>
      </c>
      <c r="D162" s="39">
        <v>45768</v>
      </c>
      <c r="E162" s="32" t="s">
        <v>15</v>
      </c>
      <c r="F162" s="32" t="str">
        <f t="shared" si="78"/>
        <v>M22</v>
      </c>
      <c r="G162" s="61" t="str">
        <f t="shared" si="79"/>
        <v>306</v>
      </c>
      <c r="H162" s="72" t="str">
        <f t="shared" si="83"/>
        <v>C5</v>
      </c>
      <c r="I162" s="72">
        <f t="shared" si="85"/>
        <v>1</v>
      </c>
      <c r="J162" s="37" t="s">
        <v>38</v>
      </c>
      <c r="K162" s="37">
        <v>32</v>
      </c>
      <c r="L162" s="76">
        <v>0.56000000000000005</v>
      </c>
      <c r="M162" s="76">
        <v>4.25</v>
      </c>
      <c r="N162" s="25">
        <f t="shared" si="56"/>
        <v>3.69</v>
      </c>
      <c r="O162" s="20" t="str">
        <f t="shared" si="73"/>
        <v>OK</v>
      </c>
    </row>
    <row r="163" spans="1:15" ht="15" x14ac:dyDescent="0.25">
      <c r="A163" s="91"/>
      <c r="B163" s="32">
        <v>3</v>
      </c>
      <c r="C163" s="32">
        <v>1150695</v>
      </c>
      <c r="D163" s="39">
        <v>45768</v>
      </c>
      <c r="E163" s="32" t="s">
        <v>15</v>
      </c>
      <c r="F163" s="32" t="s">
        <v>40</v>
      </c>
      <c r="G163" s="61" t="s">
        <v>63</v>
      </c>
      <c r="H163" s="72" t="s">
        <v>43</v>
      </c>
      <c r="I163" s="72">
        <v>2</v>
      </c>
      <c r="J163" s="37" t="s">
        <v>31</v>
      </c>
      <c r="K163" s="37">
        <v>33</v>
      </c>
      <c r="L163" s="76">
        <v>0.21</v>
      </c>
      <c r="M163" s="76">
        <v>3.13</v>
      </c>
      <c r="N163" s="25">
        <f t="shared" si="56"/>
        <v>2.92</v>
      </c>
      <c r="O163" s="20" t="str">
        <f t="shared" si="73"/>
        <v>OK</v>
      </c>
    </row>
    <row r="164" spans="1:15" ht="15" x14ac:dyDescent="0.25">
      <c r="A164" s="91"/>
      <c r="B164" s="32">
        <v>3</v>
      </c>
      <c r="C164" s="32">
        <v>1150695</v>
      </c>
      <c r="D164" s="39">
        <v>45768</v>
      </c>
      <c r="E164" s="32" t="s">
        <v>15</v>
      </c>
      <c r="F164" s="32" t="str">
        <f t="shared" ref="F164:F178" si="86">F163</f>
        <v>M21</v>
      </c>
      <c r="G164" s="61" t="str">
        <f t="shared" ref="G164:G178" si="87">G163</f>
        <v>012</v>
      </c>
      <c r="H164" s="72" t="str">
        <f t="shared" ref="H164:H170" si="88">H163</f>
        <v>C4</v>
      </c>
      <c r="I164" s="72">
        <f t="shared" ref="I164:I166" si="89">I163</f>
        <v>2</v>
      </c>
      <c r="J164" s="37" t="s">
        <v>32</v>
      </c>
      <c r="K164" s="37">
        <v>33</v>
      </c>
      <c r="L164" s="76">
        <v>0.47</v>
      </c>
      <c r="M164" s="76">
        <v>4.1399999999999997</v>
      </c>
      <c r="N164" s="25">
        <f t="shared" ref="N164:N194" si="90">+M164-L164</f>
        <v>3.67</v>
      </c>
      <c r="O164" s="20" t="str">
        <f t="shared" si="73"/>
        <v>OK</v>
      </c>
    </row>
    <row r="165" spans="1:15" ht="15" x14ac:dyDescent="0.25">
      <c r="A165" s="91"/>
      <c r="B165" s="32">
        <v>3</v>
      </c>
      <c r="C165" s="32">
        <v>1150695</v>
      </c>
      <c r="D165" s="39">
        <v>45768</v>
      </c>
      <c r="E165" s="32" t="s">
        <v>15</v>
      </c>
      <c r="F165" s="32" t="str">
        <f t="shared" si="86"/>
        <v>M21</v>
      </c>
      <c r="G165" s="61" t="str">
        <f t="shared" si="87"/>
        <v>012</v>
      </c>
      <c r="H165" s="72" t="str">
        <f t="shared" si="88"/>
        <v>C4</v>
      </c>
      <c r="I165" s="72">
        <f t="shared" si="89"/>
        <v>2</v>
      </c>
      <c r="J165" s="37" t="s">
        <v>33</v>
      </c>
      <c r="K165" s="37">
        <v>34</v>
      </c>
      <c r="L165" s="76">
        <v>0.67</v>
      </c>
      <c r="M165" s="76">
        <v>4.03</v>
      </c>
      <c r="N165" s="25">
        <f t="shared" si="90"/>
        <v>3.3600000000000003</v>
      </c>
      <c r="O165" s="20" t="str">
        <f t="shared" si="73"/>
        <v>OK</v>
      </c>
    </row>
    <row r="166" spans="1:15" ht="15" x14ac:dyDescent="0.25">
      <c r="A166" s="91"/>
      <c r="B166" s="32">
        <v>3</v>
      </c>
      <c r="C166" s="32">
        <v>1150695</v>
      </c>
      <c r="D166" s="39">
        <v>45768</v>
      </c>
      <c r="E166" s="32" t="s">
        <v>15</v>
      </c>
      <c r="F166" s="32" t="str">
        <f t="shared" si="86"/>
        <v>M21</v>
      </c>
      <c r="G166" s="61" t="str">
        <f t="shared" si="87"/>
        <v>012</v>
      </c>
      <c r="H166" s="72" t="str">
        <f t="shared" si="88"/>
        <v>C4</v>
      </c>
      <c r="I166" s="72">
        <f t="shared" si="89"/>
        <v>2</v>
      </c>
      <c r="J166" s="37" t="s">
        <v>34</v>
      </c>
      <c r="K166" s="37">
        <v>34</v>
      </c>
      <c r="L166" s="76">
        <v>0.23</v>
      </c>
      <c r="M166" s="76">
        <v>2.36</v>
      </c>
      <c r="N166" s="25">
        <f t="shared" si="90"/>
        <v>2.13</v>
      </c>
      <c r="O166" s="20" t="str">
        <f t="shared" si="73"/>
        <v>OK</v>
      </c>
    </row>
    <row r="167" spans="1:15" ht="15" x14ac:dyDescent="0.25">
      <c r="A167" s="91"/>
      <c r="B167" s="32">
        <v>3</v>
      </c>
      <c r="C167" s="32">
        <v>1150695</v>
      </c>
      <c r="D167" s="39">
        <v>45768</v>
      </c>
      <c r="E167" s="32" t="s">
        <v>15</v>
      </c>
      <c r="F167" s="32" t="str">
        <f t="shared" si="86"/>
        <v>M21</v>
      </c>
      <c r="G167" s="61" t="str">
        <f t="shared" si="87"/>
        <v>012</v>
      </c>
      <c r="H167" s="72" t="str">
        <f t="shared" si="88"/>
        <v>C4</v>
      </c>
      <c r="I167" s="72">
        <v>1</v>
      </c>
      <c r="J167" s="37" t="s">
        <v>35</v>
      </c>
      <c r="K167" s="37">
        <v>35</v>
      </c>
      <c r="L167" s="76">
        <v>0.88</v>
      </c>
      <c r="M167" s="76">
        <v>3.13</v>
      </c>
      <c r="N167" s="25">
        <f t="shared" si="90"/>
        <v>2.25</v>
      </c>
      <c r="O167" s="20" t="str">
        <f t="shared" si="73"/>
        <v>OK</v>
      </c>
    </row>
    <row r="168" spans="1:15" ht="15" x14ac:dyDescent="0.25">
      <c r="A168" s="91"/>
      <c r="B168" s="32">
        <v>3</v>
      </c>
      <c r="C168" s="32">
        <v>1150695</v>
      </c>
      <c r="D168" s="39">
        <v>45768</v>
      </c>
      <c r="E168" s="32" t="s">
        <v>15</v>
      </c>
      <c r="F168" s="32" t="str">
        <f t="shared" si="86"/>
        <v>M21</v>
      </c>
      <c r="G168" s="61" t="str">
        <f t="shared" si="87"/>
        <v>012</v>
      </c>
      <c r="H168" s="72" t="str">
        <f t="shared" si="88"/>
        <v>C4</v>
      </c>
      <c r="I168" s="72">
        <f t="shared" ref="I168:I170" si="91">I167</f>
        <v>1</v>
      </c>
      <c r="J168" s="37" t="s">
        <v>36</v>
      </c>
      <c r="K168" s="37">
        <v>35</v>
      </c>
      <c r="L168" s="76">
        <v>0.48</v>
      </c>
      <c r="M168" s="76">
        <v>3.73</v>
      </c>
      <c r="N168" s="25">
        <f t="shared" si="90"/>
        <v>3.25</v>
      </c>
      <c r="O168" s="20" t="str">
        <f t="shared" si="73"/>
        <v>OK</v>
      </c>
    </row>
    <row r="169" spans="1:15" ht="15" x14ac:dyDescent="0.25">
      <c r="A169" s="91"/>
      <c r="B169" s="32">
        <v>3</v>
      </c>
      <c r="C169" s="32">
        <v>1150695</v>
      </c>
      <c r="D169" s="39">
        <v>45768</v>
      </c>
      <c r="E169" s="32" t="s">
        <v>15</v>
      </c>
      <c r="F169" s="32" t="str">
        <f t="shared" si="86"/>
        <v>M21</v>
      </c>
      <c r="G169" s="61" t="str">
        <f t="shared" si="87"/>
        <v>012</v>
      </c>
      <c r="H169" s="72" t="str">
        <f t="shared" si="88"/>
        <v>C4</v>
      </c>
      <c r="I169" s="72">
        <f t="shared" si="91"/>
        <v>1</v>
      </c>
      <c r="J169" s="37" t="s">
        <v>37</v>
      </c>
      <c r="K169" s="37">
        <v>36</v>
      </c>
      <c r="L169" s="76">
        <v>0.95</v>
      </c>
      <c r="M169" s="76">
        <v>3.56</v>
      </c>
      <c r="N169" s="25">
        <f t="shared" si="90"/>
        <v>2.6100000000000003</v>
      </c>
      <c r="O169" s="20" t="str">
        <f t="shared" si="73"/>
        <v>OK</v>
      </c>
    </row>
    <row r="170" spans="1:15" ht="15" x14ac:dyDescent="0.25">
      <c r="A170" s="91"/>
      <c r="B170" s="32">
        <v>3</v>
      </c>
      <c r="C170" s="32">
        <v>1150695</v>
      </c>
      <c r="D170" s="39">
        <v>45768</v>
      </c>
      <c r="E170" s="32" t="s">
        <v>15</v>
      </c>
      <c r="F170" s="32" t="str">
        <f t="shared" si="86"/>
        <v>M21</v>
      </c>
      <c r="G170" s="61" t="str">
        <f t="shared" si="87"/>
        <v>012</v>
      </c>
      <c r="H170" s="72" t="str">
        <f t="shared" si="88"/>
        <v>C4</v>
      </c>
      <c r="I170" s="72">
        <f t="shared" si="91"/>
        <v>1</v>
      </c>
      <c r="J170" s="37" t="s">
        <v>38</v>
      </c>
      <c r="K170" s="37">
        <v>36</v>
      </c>
      <c r="L170" s="76">
        <v>0.91</v>
      </c>
      <c r="M170" s="76">
        <v>3.98</v>
      </c>
      <c r="N170" s="25">
        <f t="shared" si="90"/>
        <v>3.07</v>
      </c>
      <c r="O170" s="20" t="str">
        <f t="shared" si="73"/>
        <v>OK</v>
      </c>
    </row>
    <row r="171" spans="1:15" ht="15" x14ac:dyDescent="0.25">
      <c r="A171" s="91"/>
      <c r="B171" s="32">
        <v>3</v>
      </c>
      <c r="C171" s="32">
        <v>1150695</v>
      </c>
      <c r="D171" s="39">
        <v>45768</v>
      </c>
      <c r="E171" s="32" t="s">
        <v>15</v>
      </c>
      <c r="F171" s="32" t="str">
        <f t="shared" si="86"/>
        <v>M21</v>
      </c>
      <c r="G171" s="61" t="str">
        <f t="shared" si="87"/>
        <v>012</v>
      </c>
      <c r="H171" s="72" t="s">
        <v>42</v>
      </c>
      <c r="I171" s="72">
        <v>2</v>
      </c>
      <c r="J171" s="37" t="s">
        <v>31</v>
      </c>
      <c r="K171" s="37">
        <v>37</v>
      </c>
      <c r="L171" s="76">
        <v>1.06</v>
      </c>
      <c r="M171" s="76">
        <v>3.91</v>
      </c>
      <c r="N171" s="25">
        <f t="shared" si="90"/>
        <v>2.85</v>
      </c>
      <c r="O171" s="20" t="str">
        <f t="shared" si="73"/>
        <v>OK</v>
      </c>
    </row>
    <row r="172" spans="1:15" ht="15" x14ac:dyDescent="0.25">
      <c r="A172" s="91"/>
      <c r="B172" s="32">
        <v>3</v>
      </c>
      <c r="C172" s="32">
        <v>1150695</v>
      </c>
      <c r="D172" s="39">
        <v>45768</v>
      </c>
      <c r="E172" s="32" t="s">
        <v>15</v>
      </c>
      <c r="F172" s="32" t="str">
        <f t="shared" si="86"/>
        <v>M21</v>
      </c>
      <c r="G172" s="61" t="str">
        <f t="shared" si="87"/>
        <v>012</v>
      </c>
      <c r="H172" s="72" t="str">
        <f t="shared" ref="H172:H178" si="92">H171</f>
        <v>C3</v>
      </c>
      <c r="I172" s="72">
        <f t="shared" ref="I172:I174" si="93">I171</f>
        <v>2</v>
      </c>
      <c r="J172" s="37" t="s">
        <v>32</v>
      </c>
      <c r="K172" s="37">
        <v>37</v>
      </c>
      <c r="L172" s="76">
        <v>1.38</v>
      </c>
      <c r="M172" s="76">
        <v>4.0199999999999996</v>
      </c>
      <c r="N172" s="25">
        <f t="shared" si="90"/>
        <v>2.6399999999999997</v>
      </c>
      <c r="O172" s="20" t="str">
        <f t="shared" si="73"/>
        <v>OK</v>
      </c>
    </row>
    <row r="173" spans="1:15" ht="15" x14ac:dyDescent="0.25">
      <c r="A173" s="91"/>
      <c r="B173" s="32">
        <v>3</v>
      </c>
      <c r="C173" s="32">
        <v>1150695</v>
      </c>
      <c r="D173" s="39">
        <v>45768</v>
      </c>
      <c r="E173" s="32" t="s">
        <v>15</v>
      </c>
      <c r="F173" s="32" t="str">
        <f t="shared" si="86"/>
        <v>M21</v>
      </c>
      <c r="G173" s="61" t="str">
        <f t="shared" si="87"/>
        <v>012</v>
      </c>
      <c r="H173" s="72" t="str">
        <f t="shared" si="92"/>
        <v>C3</v>
      </c>
      <c r="I173" s="72">
        <f t="shared" si="93"/>
        <v>2</v>
      </c>
      <c r="J173" s="37" t="s">
        <v>33</v>
      </c>
      <c r="K173" s="37">
        <v>38</v>
      </c>
      <c r="L173" s="76">
        <v>1.05</v>
      </c>
      <c r="M173" s="76">
        <v>4.58</v>
      </c>
      <c r="N173" s="25">
        <f t="shared" si="90"/>
        <v>3.5300000000000002</v>
      </c>
      <c r="O173" s="20" t="str">
        <f t="shared" si="73"/>
        <v>OK</v>
      </c>
    </row>
    <row r="174" spans="1:15" ht="15" x14ac:dyDescent="0.25">
      <c r="A174" s="91"/>
      <c r="B174" s="32">
        <v>3</v>
      </c>
      <c r="C174" s="32">
        <v>1150695</v>
      </c>
      <c r="D174" s="39">
        <v>45768</v>
      </c>
      <c r="E174" s="32" t="s">
        <v>15</v>
      </c>
      <c r="F174" s="32" t="str">
        <f t="shared" si="86"/>
        <v>M21</v>
      </c>
      <c r="G174" s="61" t="str">
        <f t="shared" si="87"/>
        <v>012</v>
      </c>
      <c r="H174" s="72" t="str">
        <f t="shared" si="92"/>
        <v>C3</v>
      </c>
      <c r="I174" s="72">
        <f t="shared" si="93"/>
        <v>2</v>
      </c>
      <c r="J174" s="37" t="s">
        <v>34</v>
      </c>
      <c r="K174" s="37">
        <v>38</v>
      </c>
      <c r="L174" s="76">
        <v>0.53</v>
      </c>
      <c r="M174" s="76">
        <v>3.02</v>
      </c>
      <c r="N174" s="25">
        <f t="shared" si="90"/>
        <v>2.4900000000000002</v>
      </c>
      <c r="O174" s="20" t="str">
        <f t="shared" si="73"/>
        <v>OK</v>
      </c>
    </row>
    <row r="175" spans="1:15" ht="15" x14ac:dyDescent="0.25">
      <c r="A175" s="91"/>
      <c r="B175" s="32">
        <v>3</v>
      </c>
      <c r="C175" s="32">
        <v>1150695</v>
      </c>
      <c r="D175" s="39">
        <v>45768</v>
      </c>
      <c r="E175" s="32" t="s">
        <v>15</v>
      </c>
      <c r="F175" s="32" t="str">
        <f t="shared" si="86"/>
        <v>M21</v>
      </c>
      <c r="G175" s="61" t="str">
        <f t="shared" si="87"/>
        <v>012</v>
      </c>
      <c r="H175" s="72" t="str">
        <f t="shared" si="92"/>
        <v>C3</v>
      </c>
      <c r="I175" s="72">
        <v>1</v>
      </c>
      <c r="J175" s="37" t="s">
        <v>35</v>
      </c>
      <c r="K175" s="37">
        <v>39</v>
      </c>
      <c r="L175" s="76">
        <v>0.82</v>
      </c>
      <c r="M175" s="76">
        <v>3.9</v>
      </c>
      <c r="N175" s="25">
        <f t="shared" si="90"/>
        <v>3.08</v>
      </c>
      <c r="O175" s="20" t="str">
        <f t="shared" si="73"/>
        <v>OK</v>
      </c>
    </row>
    <row r="176" spans="1:15" ht="15" x14ac:dyDescent="0.25">
      <c r="A176" s="91"/>
      <c r="B176" s="32">
        <v>3</v>
      </c>
      <c r="C176" s="32">
        <v>1150695</v>
      </c>
      <c r="D176" s="39">
        <v>45768</v>
      </c>
      <c r="E176" s="32" t="s">
        <v>15</v>
      </c>
      <c r="F176" s="32" t="str">
        <f t="shared" si="86"/>
        <v>M21</v>
      </c>
      <c r="G176" s="61" t="str">
        <f t="shared" si="87"/>
        <v>012</v>
      </c>
      <c r="H176" s="72" t="str">
        <f t="shared" si="92"/>
        <v>C3</v>
      </c>
      <c r="I176" s="72">
        <f t="shared" ref="I176:I178" si="94">I175</f>
        <v>1</v>
      </c>
      <c r="J176" s="37" t="s">
        <v>36</v>
      </c>
      <c r="K176" s="37">
        <v>39</v>
      </c>
      <c r="L176" s="76">
        <v>0.24</v>
      </c>
      <c r="M176" s="76">
        <v>4.79</v>
      </c>
      <c r="N176" s="25">
        <f t="shared" si="90"/>
        <v>4.55</v>
      </c>
      <c r="O176" s="20" t="str">
        <f t="shared" si="73"/>
        <v>OK</v>
      </c>
    </row>
    <row r="177" spans="1:15" ht="15" x14ac:dyDescent="0.25">
      <c r="A177" s="91"/>
      <c r="B177" s="32">
        <v>3</v>
      </c>
      <c r="C177" s="32">
        <v>1150695</v>
      </c>
      <c r="D177" s="39">
        <v>45768</v>
      </c>
      <c r="E177" s="32" t="s">
        <v>15</v>
      </c>
      <c r="F177" s="32" t="str">
        <f t="shared" si="86"/>
        <v>M21</v>
      </c>
      <c r="G177" s="61" t="str">
        <f t="shared" si="87"/>
        <v>012</v>
      </c>
      <c r="H177" s="72" t="str">
        <f t="shared" si="92"/>
        <v>C3</v>
      </c>
      <c r="I177" s="72">
        <f t="shared" si="94"/>
        <v>1</v>
      </c>
      <c r="J177" s="37" t="s">
        <v>37</v>
      </c>
      <c r="K177" s="37">
        <v>40</v>
      </c>
      <c r="L177" s="76">
        <v>0.37</v>
      </c>
      <c r="M177" s="76">
        <v>3.26</v>
      </c>
      <c r="N177" s="25">
        <f t="shared" si="90"/>
        <v>2.8899999999999997</v>
      </c>
      <c r="O177" s="20" t="str">
        <f t="shared" si="73"/>
        <v>OK</v>
      </c>
    </row>
    <row r="178" spans="1:15" ht="15" x14ac:dyDescent="0.25">
      <c r="A178" s="91"/>
      <c r="B178" s="32">
        <v>3</v>
      </c>
      <c r="C178" s="32">
        <v>1150695</v>
      </c>
      <c r="D178" s="39">
        <v>45768</v>
      </c>
      <c r="E178" s="32" t="s">
        <v>15</v>
      </c>
      <c r="F178" s="32" t="str">
        <f t="shared" si="86"/>
        <v>M21</v>
      </c>
      <c r="G178" s="61" t="str">
        <f t="shared" si="87"/>
        <v>012</v>
      </c>
      <c r="H178" s="72" t="str">
        <f t="shared" si="92"/>
        <v>C3</v>
      </c>
      <c r="I178" s="72">
        <f t="shared" si="94"/>
        <v>1</v>
      </c>
      <c r="J178" s="37" t="s">
        <v>38</v>
      </c>
      <c r="K178" s="37">
        <v>40</v>
      </c>
      <c r="L178" s="76">
        <v>0.99</v>
      </c>
      <c r="M178" s="76">
        <v>4.18</v>
      </c>
      <c r="N178" s="25">
        <f t="shared" si="90"/>
        <v>3.1899999999999995</v>
      </c>
      <c r="O178" s="20" t="str">
        <f t="shared" si="73"/>
        <v>OK</v>
      </c>
    </row>
    <row r="179" spans="1:15" ht="15" x14ac:dyDescent="0.25">
      <c r="A179" s="91"/>
      <c r="B179" s="32">
        <v>3</v>
      </c>
      <c r="C179" s="32">
        <v>1150695</v>
      </c>
      <c r="D179" s="39">
        <v>45768</v>
      </c>
      <c r="E179" s="32" t="s">
        <v>15</v>
      </c>
      <c r="F179" s="32" t="s">
        <v>28</v>
      </c>
      <c r="G179" s="61" t="s">
        <v>64</v>
      </c>
      <c r="H179" s="72" t="s">
        <v>39</v>
      </c>
      <c r="I179" s="72">
        <v>2</v>
      </c>
      <c r="J179" s="37" t="s">
        <v>31</v>
      </c>
      <c r="K179" s="37">
        <v>41</v>
      </c>
      <c r="L179" s="76">
        <v>0.11</v>
      </c>
      <c r="M179" s="76">
        <v>0.97</v>
      </c>
      <c r="N179" s="25">
        <f t="shared" si="90"/>
        <v>0.86</v>
      </c>
      <c r="O179" s="20" t="str">
        <f t="shared" si="73"/>
        <v>Seguimiento</v>
      </c>
    </row>
    <row r="180" spans="1:15" ht="15" x14ac:dyDescent="0.25">
      <c r="A180" s="91"/>
      <c r="B180" s="32">
        <v>3</v>
      </c>
      <c r="C180" s="32">
        <v>1150695</v>
      </c>
      <c r="D180" s="39">
        <v>45768</v>
      </c>
      <c r="E180" s="32" t="s">
        <v>15</v>
      </c>
      <c r="F180" s="32" t="str">
        <f t="shared" ref="F180:F194" si="95">F179</f>
        <v>M20</v>
      </c>
      <c r="G180" s="61" t="str">
        <f t="shared" ref="G180:G194" si="96">G179</f>
        <v>011</v>
      </c>
      <c r="H180" s="72" t="str">
        <f t="shared" ref="H180:H186" si="97">H179</f>
        <v>C2</v>
      </c>
      <c r="I180" s="72">
        <f t="shared" ref="I180:I182" si="98">I179</f>
        <v>2</v>
      </c>
      <c r="J180" s="37" t="s">
        <v>32</v>
      </c>
      <c r="K180" s="37">
        <v>41</v>
      </c>
      <c r="L180" s="76">
        <v>0.08</v>
      </c>
      <c r="M180" s="76">
        <v>2.4</v>
      </c>
      <c r="N180" s="25">
        <f t="shared" si="90"/>
        <v>2.3199999999999998</v>
      </c>
      <c r="O180" s="20" t="str">
        <f t="shared" si="73"/>
        <v>OK</v>
      </c>
    </row>
    <row r="181" spans="1:15" ht="15" x14ac:dyDescent="0.25">
      <c r="A181" s="91"/>
      <c r="B181" s="32">
        <v>3</v>
      </c>
      <c r="C181" s="32">
        <v>1150695</v>
      </c>
      <c r="D181" s="39">
        <v>45768</v>
      </c>
      <c r="E181" s="32" t="s">
        <v>15</v>
      </c>
      <c r="F181" s="32" t="str">
        <f t="shared" si="95"/>
        <v>M20</v>
      </c>
      <c r="G181" s="61" t="str">
        <f t="shared" si="96"/>
        <v>011</v>
      </c>
      <c r="H181" s="72" t="str">
        <f t="shared" si="97"/>
        <v>C2</v>
      </c>
      <c r="I181" s="72">
        <f t="shared" si="98"/>
        <v>2</v>
      </c>
      <c r="J181" s="37" t="s">
        <v>33</v>
      </c>
      <c r="K181" s="37">
        <v>42</v>
      </c>
      <c r="L181" s="76">
        <v>0.49</v>
      </c>
      <c r="M181" s="76">
        <v>3.88</v>
      </c>
      <c r="N181" s="25">
        <f t="shared" si="90"/>
        <v>3.3899999999999997</v>
      </c>
      <c r="O181" s="20" t="str">
        <f t="shared" si="73"/>
        <v>OK</v>
      </c>
    </row>
    <row r="182" spans="1:15" ht="15" x14ac:dyDescent="0.25">
      <c r="A182" s="91"/>
      <c r="B182" s="32">
        <v>3</v>
      </c>
      <c r="C182" s="32">
        <v>1150695</v>
      </c>
      <c r="D182" s="39">
        <v>45768</v>
      </c>
      <c r="E182" s="32" t="s">
        <v>15</v>
      </c>
      <c r="F182" s="32" t="str">
        <f t="shared" si="95"/>
        <v>M20</v>
      </c>
      <c r="G182" s="61" t="str">
        <f t="shared" si="96"/>
        <v>011</v>
      </c>
      <c r="H182" s="72" t="str">
        <f t="shared" si="97"/>
        <v>C2</v>
      </c>
      <c r="I182" s="72">
        <f t="shared" si="98"/>
        <v>2</v>
      </c>
      <c r="J182" s="37" t="s">
        <v>34</v>
      </c>
      <c r="K182" s="37">
        <v>42</v>
      </c>
      <c r="L182" s="76">
        <v>0.82</v>
      </c>
      <c r="M182" s="76">
        <v>3.68</v>
      </c>
      <c r="N182" s="25">
        <f t="shared" si="90"/>
        <v>2.8600000000000003</v>
      </c>
      <c r="O182" s="20" t="str">
        <f t="shared" si="73"/>
        <v>OK</v>
      </c>
    </row>
    <row r="183" spans="1:15" ht="15" x14ac:dyDescent="0.25">
      <c r="A183" s="91"/>
      <c r="B183" s="32">
        <v>3</v>
      </c>
      <c r="C183" s="32">
        <v>1150695</v>
      </c>
      <c r="D183" s="39">
        <v>45768</v>
      </c>
      <c r="E183" s="32" t="s">
        <v>15</v>
      </c>
      <c r="F183" s="32" t="str">
        <f t="shared" si="95"/>
        <v>M20</v>
      </c>
      <c r="G183" s="61" t="str">
        <f t="shared" si="96"/>
        <v>011</v>
      </c>
      <c r="H183" s="72" t="str">
        <f t="shared" si="97"/>
        <v>C2</v>
      </c>
      <c r="I183" s="72">
        <v>1</v>
      </c>
      <c r="J183" s="37" t="s">
        <v>35</v>
      </c>
      <c r="K183" s="37">
        <v>43</v>
      </c>
      <c r="L183" s="76">
        <v>0.13</v>
      </c>
      <c r="M183" s="76">
        <v>1.1299999999999999</v>
      </c>
      <c r="N183" s="25">
        <f t="shared" si="90"/>
        <v>0.99999999999999989</v>
      </c>
      <c r="O183" s="20" t="str">
        <f t="shared" si="73"/>
        <v>Seguimiento</v>
      </c>
    </row>
    <row r="184" spans="1:15" ht="15" x14ac:dyDescent="0.25">
      <c r="A184" s="91"/>
      <c r="B184" s="32">
        <v>3</v>
      </c>
      <c r="C184" s="32">
        <v>1150695</v>
      </c>
      <c r="D184" s="39">
        <v>45768</v>
      </c>
      <c r="E184" s="32" t="s">
        <v>15</v>
      </c>
      <c r="F184" s="32" t="str">
        <f t="shared" si="95"/>
        <v>M20</v>
      </c>
      <c r="G184" s="61" t="str">
        <f t="shared" si="96"/>
        <v>011</v>
      </c>
      <c r="H184" s="72" t="str">
        <f t="shared" si="97"/>
        <v>C2</v>
      </c>
      <c r="I184" s="72">
        <f t="shared" ref="I184:I186" si="99">I183</f>
        <v>1</v>
      </c>
      <c r="J184" s="37" t="s">
        <v>36</v>
      </c>
      <c r="K184" s="37">
        <v>43</v>
      </c>
      <c r="L184" s="76">
        <v>0.38</v>
      </c>
      <c r="M184" s="76">
        <v>2.44</v>
      </c>
      <c r="N184" s="25">
        <f t="shared" si="90"/>
        <v>2.06</v>
      </c>
      <c r="O184" s="20" t="str">
        <f t="shared" si="73"/>
        <v>OK</v>
      </c>
    </row>
    <row r="185" spans="1:15" ht="15" x14ac:dyDescent="0.25">
      <c r="A185" s="91"/>
      <c r="B185" s="32">
        <v>3</v>
      </c>
      <c r="C185" s="32">
        <v>1150695</v>
      </c>
      <c r="D185" s="39">
        <v>45768</v>
      </c>
      <c r="E185" s="32" t="s">
        <v>15</v>
      </c>
      <c r="F185" s="32" t="str">
        <f t="shared" si="95"/>
        <v>M20</v>
      </c>
      <c r="G185" s="61" t="str">
        <f t="shared" si="96"/>
        <v>011</v>
      </c>
      <c r="H185" s="72" t="str">
        <f t="shared" si="97"/>
        <v>C2</v>
      </c>
      <c r="I185" s="72">
        <f t="shared" si="99"/>
        <v>1</v>
      </c>
      <c r="J185" s="37" t="s">
        <v>37</v>
      </c>
      <c r="K185" s="37">
        <v>44</v>
      </c>
      <c r="L185" s="76">
        <v>0.49</v>
      </c>
      <c r="M185" s="76">
        <v>3.2</v>
      </c>
      <c r="N185" s="25">
        <f t="shared" si="90"/>
        <v>2.71</v>
      </c>
      <c r="O185" s="20" t="str">
        <f t="shared" si="73"/>
        <v>OK</v>
      </c>
    </row>
    <row r="186" spans="1:15" ht="15" x14ac:dyDescent="0.25">
      <c r="A186" s="91"/>
      <c r="B186" s="32">
        <v>3</v>
      </c>
      <c r="C186" s="32">
        <v>1150695</v>
      </c>
      <c r="D186" s="39">
        <v>45768</v>
      </c>
      <c r="E186" s="32" t="s">
        <v>15</v>
      </c>
      <c r="F186" s="32" t="str">
        <f t="shared" si="95"/>
        <v>M20</v>
      </c>
      <c r="G186" s="61" t="str">
        <f t="shared" si="96"/>
        <v>011</v>
      </c>
      <c r="H186" s="72" t="str">
        <f t="shared" si="97"/>
        <v>C2</v>
      </c>
      <c r="I186" s="72">
        <f t="shared" si="99"/>
        <v>1</v>
      </c>
      <c r="J186" s="37" t="s">
        <v>38</v>
      </c>
      <c r="K186" s="37">
        <v>44</v>
      </c>
      <c r="L186" s="76">
        <v>0.75</v>
      </c>
      <c r="M186" s="76">
        <v>3.93</v>
      </c>
      <c r="N186" s="25">
        <f t="shared" si="90"/>
        <v>3.18</v>
      </c>
      <c r="O186" s="20" t="str">
        <f t="shared" si="73"/>
        <v>OK</v>
      </c>
    </row>
    <row r="187" spans="1:15" ht="15" x14ac:dyDescent="0.25">
      <c r="A187" s="91"/>
      <c r="B187" s="32">
        <v>3</v>
      </c>
      <c r="C187" s="32">
        <v>1150695</v>
      </c>
      <c r="D187" s="39">
        <v>45768</v>
      </c>
      <c r="E187" s="32" t="s">
        <v>15</v>
      </c>
      <c r="F187" s="32" t="str">
        <f t="shared" si="95"/>
        <v>M20</v>
      </c>
      <c r="G187" s="61" t="str">
        <f t="shared" si="96"/>
        <v>011</v>
      </c>
      <c r="H187" s="72" t="s">
        <v>30</v>
      </c>
      <c r="I187" s="72">
        <v>2</v>
      </c>
      <c r="J187" s="37" t="s">
        <v>31</v>
      </c>
      <c r="K187" s="37">
        <v>45</v>
      </c>
      <c r="L187" s="76">
        <v>0.65</v>
      </c>
      <c r="M187" s="76">
        <v>4.0199999999999996</v>
      </c>
      <c r="N187" s="25">
        <f t="shared" si="90"/>
        <v>3.3699999999999997</v>
      </c>
      <c r="O187" s="20" t="str">
        <f t="shared" si="73"/>
        <v>OK</v>
      </c>
    </row>
    <row r="188" spans="1:15" ht="15" x14ac:dyDescent="0.25">
      <c r="A188" s="91"/>
      <c r="B188" s="32">
        <v>3</v>
      </c>
      <c r="C188" s="32">
        <v>1150695</v>
      </c>
      <c r="D188" s="39">
        <v>45768</v>
      </c>
      <c r="E188" s="32" t="s">
        <v>15</v>
      </c>
      <c r="F188" s="32" t="str">
        <f t="shared" si="95"/>
        <v>M20</v>
      </c>
      <c r="G188" s="61" t="str">
        <f t="shared" si="96"/>
        <v>011</v>
      </c>
      <c r="H188" s="72" t="str">
        <f t="shared" ref="H188:H194" si="100">H187</f>
        <v>C1</v>
      </c>
      <c r="I188" s="72">
        <f t="shared" ref="I188:I190" si="101">I187</f>
        <v>2</v>
      </c>
      <c r="J188" s="37" t="s">
        <v>32</v>
      </c>
      <c r="K188" s="37">
        <v>45</v>
      </c>
      <c r="L188" s="76">
        <v>0.11</v>
      </c>
      <c r="M188" s="76">
        <v>2.2400000000000002</v>
      </c>
      <c r="N188" s="25">
        <f t="shared" si="90"/>
        <v>2.1300000000000003</v>
      </c>
      <c r="O188" s="20" t="str">
        <f t="shared" si="73"/>
        <v>OK</v>
      </c>
    </row>
    <row r="189" spans="1:15" ht="15" x14ac:dyDescent="0.25">
      <c r="A189" s="91"/>
      <c r="B189" s="32">
        <v>3</v>
      </c>
      <c r="C189" s="32">
        <v>1150695</v>
      </c>
      <c r="D189" s="39">
        <v>45768</v>
      </c>
      <c r="E189" s="32" t="s">
        <v>15</v>
      </c>
      <c r="F189" s="32" t="str">
        <f t="shared" si="95"/>
        <v>M20</v>
      </c>
      <c r="G189" s="61" t="str">
        <f t="shared" si="96"/>
        <v>011</v>
      </c>
      <c r="H189" s="72" t="str">
        <f t="shared" si="100"/>
        <v>C1</v>
      </c>
      <c r="I189" s="72">
        <f t="shared" si="101"/>
        <v>2</v>
      </c>
      <c r="J189" s="37" t="s">
        <v>33</v>
      </c>
      <c r="K189" s="37">
        <v>46</v>
      </c>
      <c r="L189" s="76">
        <v>0.14000000000000001</v>
      </c>
      <c r="M189" s="76">
        <v>4.76</v>
      </c>
      <c r="N189" s="25">
        <f t="shared" si="90"/>
        <v>4.62</v>
      </c>
      <c r="O189" s="20" t="str">
        <f t="shared" si="73"/>
        <v>OK</v>
      </c>
    </row>
    <row r="190" spans="1:15" ht="15" x14ac:dyDescent="0.25">
      <c r="A190" s="91"/>
      <c r="B190" s="32">
        <v>3</v>
      </c>
      <c r="C190" s="32">
        <v>1150695</v>
      </c>
      <c r="D190" s="39">
        <v>45768</v>
      </c>
      <c r="E190" s="32" t="s">
        <v>15</v>
      </c>
      <c r="F190" s="32" t="str">
        <f t="shared" si="95"/>
        <v>M20</v>
      </c>
      <c r="G190" s="61" t="str">
        <f t="shared" si="96"/>
        <v>011</v>
      </c>
      <c r="H190" s="72" t="str">
        <f t="shared" si="100"/>
        <v>C1</v>
      </c>
      <c r="I190" s="72">
        <f t="shared" si="101"/>
        <v>2</v>
      </c>
      <c r="J190" s="37" t="s">
        <v>34</v>
      </c>
      <c r="K190" s="37">
        <v>46</v>
      </c>
      <c r="L190" s="76">
        <v>0.19</v>
      </c>
      <c r="M190" s="76">
        <v>2.1</v>
      </c>
      <c r="N190" s="25">
        <f t="shared" si="90"/>
        <v>1.9100000000000001</v>
      </c>
      <c r="O190" s="20" t="str">
        <f t="shared" si="73"/>
        <v>OK</v>
      </c>
    </row>
    <row r="191" spans="1:15" ht="15" x14ac:dyDescent="0.25">
      <c r="A191" s="91"/>
      <c r="B191" s="32">
        <v>3</v>
      </c>
      <c r="C191" s="32">
        <v>1150695</v>
      </c>
      <c r="D191" s="39">
        <v>45768</v>
      </c>
      <c r="E191" s="32" t="s">
        <v>15</v>
      </c>
      <c r="F191" s="32" t="str">
        <f t="shared" si="95"/>
        <v>M20</v>
      </c>
      <c r="G191" s="61" t="str">
        <f t="shared" si="96"/>
        <v>011</v>
      </c>
      <c r="H191" s="72" t="str">
        <f t="shared" si="100"/>
        <v>C1</v>
      </c>
      <c r="I191" s="72">
        <v>1</v>
      </c>
      <c r="J191" s="37" t="s">
        <v>35</v>
      </c>
      <c r="K191" s="37">
        <v>47</v>
      </c>
      <c r="L191" s="76">
        <v>1.07</v>
      </c>
      <c r="M191" s="76">
        <v>2.34</v>
      </c>
      <c r="N191" s="25">
        <f t="shared" si="90"/>
        <v>1.2699999999999998</v>
      </c>
      <c r="O191" s="20" t="str">
        <f t="shared" si="73"/>
        <v>OK</v>
      </c>
    </row>
    <row r="192" spans="1:15" ht="15" x14ac:dyDescent="0.25">
      <c r="A192" s="91"/>
      <c r="B192" s="32">
        <v>3</v>
      </c>
      <c r="C192" s="32">
        <v>1150695</v>
      </c>
      <c r="D192" s="39">
        <v>45768</v>
      </c>
      <c r="E192" s="32" t="s">
        <v>15</v>
      </c>
      <c r="F192" s="32" t="str">
        <f t="shared" si="95"/>
        <v>M20</v>
      </c>
      <c r="G192" s="61" t="str">
        <f t="shared" si="96"/>
        <v>011</v>
      </c>
      <c r="H192" s="72" t="str">
        <f t="shared" si="100"/>
        <v>C1</v>
      </c>
      <c r="I192" s="72">
        <f t="shared" ref="I192:I194" si="102">I191</f>
        <v>1</v>
      </c>
      <c r="J192" s="37" t="s">
        <v>36</v>
      </c>
      <c r="K192" s="37">
        <v>47</v>
      </c>
      <c r="L192" s="76">
        <v>0.25</v>
      </c>
      <c r="M192" s="76">
        <v>1.76</v>
      </c>
      <c r="N192" s="25">
        <f t="shared" si="90"/>
        <v>1.51</v>
      </c>
      <c r="O192" s="20" t="str">
        <f t="shared" si="73"/>
        <v>OK</v>
      </c>
    </row>
    <row r="193" spans="1:15" ht="15" x14ac:dyDescent="0.25">
      <c r="A193" s="91"/>
      <c r="B193" s="32">
        <v>3</v>
      </c>
      <c r="C193" s="32">
        <v>1150695</v>
      </c>
      <c r="D193" s="39">
        <v>45768</v>
      </c>
      <c r="E193" s="32" t="s">
        <v>15</v>
      </c>
      <c r="F193" s="32" t="str">
        <f t="shared" si="95"/>
        <v>M20</v>
      </c>
      <c r="G193" s="61" t="str">
        <f t="shared" si="96"/>
        <v>011</v>
      </c>
      <c r="H193" s="72" t="str">
        <f t="shared" si="100"/>
        <v>C1</v>
      </c>
      <c r="I193" s="72">
        <f t="shared" si="102"/>
        <v>1</v>
      </c>
      <c r="J193" s="37" t="s">
        <v>37</v>
      </c>
      <c r="K193" s="37">
        <v>48</v>
      </c>
      <c r="L193" s="76">
        <v>0.14000000000000001</v>
      </c>
      <c r="M193" s="76">
        <v>2.69</v>
      </c>
      <c r="N193" s="25">
        <f t="shared" si="90"/>
        <v>2.5499999999999998</v>
      </c>
      <c r="O193" s="20" t="str">
        <f t="shared" si="73"/>
        <v>OK</v>
      </c>
    </row>
    <row r="194" spans="1:15" ht="15.75" thickBot="1" x14ac:dyDescent="0.3">
      <c r="A194" s="92"/>
      <c r="B194" s="48">
        <v>3</v>
      </c>
      <c r="C194" s="48">
        <v>1150695</v>
      </c>
      <c r="D194" s="49">
        <v>45768</v>
      </c>
      <c r="E194" s="48" t="s">
        <v>15</v>
      </c>
      <c r="F194" s="48" t="str">
        <f t="shared" si="95"/>
        <v>M20</v>
      </c>
      <c r="G194" s="73" t="str">
        <f t="shared" si="96"/>
        <v>011</v>
      </c>
      <c r="H194" s="74" t="str">
        <f t="shared" si="100"/>
        <v>C1</v>
      </c>
      <c r="I194" s="74">
        <f t="shared" si="102"/>
        <v>1</v>
      </c>
      <c r="J194" s="41" t="s">
        <v>38</v>
      </c>
      <c r="K194" s="37">
        <v>48</v>
      </c>
      <c r="L194" s="77">
        <v>1.21</v>
      </c>
      <c r="M194" s="77">
        <v>3.9</v>
      </c>
      <c r="N194" s="75">
        <f t="shared" si="90"/>
        <v>2.69</v>
      </c>
      <c r="O194" s="20" t="str">
        <f t="shared" si="73"/>
        <v>OK</v>
      </c>
    </row>
    <row r="195" spans="1:15" ht="15" x14ac:dyDescent="0.25">
      <c r="A195" s="91"/>
      <c r="B195" s="32">
        <v>3</v>
      </c>
      <c r="C195" s="36">
        <v>1156010</v>
      </c>
      <c r="D195" s="52">
        <v>45796</v>
      </c>
      <c r="E195" s="32" t="s">
        <v>15</v>
      </c>
      <c r="F195" s="32" t="s">
        <v>28</v>
      </c>
      <c r="G195" s="61" t="s">
        <v>59</v>
      </c>
      <c r="H195" s="72" t="s">
        <v>30</v>
      </c>
      <c r="I195" s="72">
        <v>1</v>
      </c>
      <c r="J195" s="37" t="s">
        <v>31</v>
      </c>
      <c r="K195" s="37">
        <v>1</v>
      </c>
      <c r="L195" s="21">
        <v>0.34</v>
      </c>
      <c r="M195" s="19">
        <v>1.75</v>
      </c>
      <c r="N195" s="18">
        <f>+M195-L195</f>
        <v>1.41</v>
      </c>
      <c r="O195" s="20" t="str">
        <f t="shared" si="73"/>
        <v>OK</v>
      </c>
    </row>
    <row r="196" spans="1:15" ht="15" x14ac:dyDescent="0.25">
      <c r="A196" s="91"/>
      <c r="B196" s="32">
        <v>3</v>
      </c>
      <c r="C196" s="32">
        <v>1156010</v>
      </c>
      <c r="D196" s="39">
        <v>45796</v>
      </c>
      <c r="E196" s="32" t="s">
        <v>15</v>
      </c>
      <c r="F196" s="32" t="str">
        <f t="shared" ref="F196:F210" si="103">F195</f>
        <v>M20</v>
      </c>
      <c r="G196" s="61" t="str">
        <f t="shared" ref="G196:G210" si="104">G195</f>
        <v>009</v>
      </c>
      <c r="H196" s="72" t="str">
        <f t="shared" ref="H196:H202" si="105">H195</f>
        <v>C1</v>
      </c>
      <c r="I196" s="72">
        <f t="shared" ref="I196:I198" si="106">I195</f>
        <v>1</v>
      </c>
      <c r="J196" s="37" t="s">
        <v>32</v>
      </c>
      <c r="K196" s="37">
        <v>1</v>
      </c>
      <c r="L196" s="17">
        <v>0.88</v>
      </c>
      <c r="M196" s="19">
        <v>3.85</v>
      </c>
      <c r="N196" s="18">
        <f t="shared" ref="N196:N259" si="107">+M196-L196</f>
        <v>2.97</v>
      </c>
      <c r="O196" s="20" t="str">
        <f t="shared" ref="O196:O259" si="108">IF(N196&lt;=0,"Critico",IF(N196&lt;=0.2,"Cambio",IF(N196&lt;=1,"Seguimiento",IF(L196&gt;=1.7,"Reperfilado","OK"))))</f>
        <v>OK</v>
      </c>
    </row>
    <row r="197" spans="1:15" ht="15" x14ac:dyDescent="0.25">
      <c r="A197" s="91"/>
      <c r="B197" s="32">
        <v>3</v>
      </c>
      <c r="C197" s="32">
        <v>1156010</v>
      </c>
      <c r="D197" s="39">
        <v>45796</v>
      </c>
      <c r="E197" s="32" t="s">
        <v>15</v>
      </c>
      <c r="F197" s="32" t="str">
        <f t="shared" si="103"/>
        <v>M20</v>
      </c>
      <c r="G197" s="61" t="str">
        <f t="shared" si="104"/>
        <v>009</v>
      </c>
      <c r="H197" s="72" t="str">
        <f t="shared" si="105"/>
        <v>C1</v>
      </c>
      <c r="I197" s="72">
        <f t="shared" si="106"/>
        <v>1</v>
      </c>
      <c r="J197" s="37" t="s">
        <v>33</v>
      </c>
      <c r="K197" s="37">
        <v>2</v>
      </c>
      <c r="L197" s="17">
        <v>1.21</v>
      </c>
      <c r="M197" s="19">
        <v>1.72</v>
      </c>
      <c r="N197" s="18">
        <f t="shared" si="107"/>
        <v>0.51</v>
      </c>
      <c r="O197" s="20" t="str">
        <f t="shared" si="108"/>
        <v>Seguimiento</v>
      </c>
    </row>
    <row r="198" spans="1:15" ht="15" x14ac:dyDescent="0.25">
      <c r="A198" s="91"/>
      <c r="B198" s="32">
        <v>3</v>
      </c>
      <c r="C198" s="32">
        <v>1156010</v>
      </c>
      <c r="D198" s="39">
        <v>45796</v>
      </c>
      <c r="E198" s="32" t="s">
        <v>15</v>
      </c>
      <c r="F198" s="32" t="str">
        <f t="shared" si="103"/>
        <v>M20</v>
      </c>
      <c r="G198" s="61" t="str">
        <f t="shared" si="104"/>
        <v>009</v>
      </c>
      <c r="H198" s="72" t="str">
        <f t="shared" si="105"/>
        <v>C1</v>
      </c>
      <c r="I198" s="72">
        <f t="shared" si="106"/>
        <v>1</v>
      </c>
      <c r="J198" s="37" t="s">
        <v>34</v>
      </c>
      <c r="K198" s="37">
        <v>2</v>
      </c>
      <c r="L198" s="17">
        <v>0.77</v>
      </c>
      <c r="M198" s="19">
        <v>2.73</v>
      </c>
      <c r="N198" s="18">
        <f t="shared" si="107"/>
        <v>1.96</v>
      </c>
      <c r="O198" s="20" t="str">
        <f t="shared" si="108"/>
        <v>OK</v>
      </c>
    </row>
    <row r="199" spans="1:15" ht="15" x14ac:dyDescent="0.25">
      <c r="A199" s="91"/>
      <c r="B199" s="32">
        <v>3</v>
      </c>
      <c r="C199" s="32">
        <v>1156010</v>
      </c>
      <c r="D199" s="39">
        <v>45796</v>
      </c>
      <c r="E199" s="32" t="s">
        <v>15</v>
      </c>
      <c r="F199" s="32" t="str">
        <f t="shared" si="103"/>
        <v>M20</v>
      </c>
      <c r="G199" s="61" t="str">
        <f t="shared" si="104"/>
        <v>009</v>
      </c>
      <c r="H199" s="72" t="str">
        <f t="shared" si="105"/>
        <v>C1</v>
      </c>
      <c r="I199" s="72">
        <v>2</v>
      </c>
      <c r="J199" s="37" t="s">
        <v>35</v>
      </c>
      <c r="K199" s="37">
        <v>3</v>
      </c>
      <c r="L199" s="17">
        <v>0.12</v>
      </c>
      <c r="M199" s="19">
        <v>5.18</v>
      </c>
      <c r="N199" s="18">
        <f t="shared" si="107"/>
        <v>5.0599999999999996</v>
      </c>
      <c r="O199" s="20" t="str">
        <f t="shared" si="108"/>
        <v>OK</v>
      </c>
    </row>
    <row r="200" spans="1:15" ht="15" x14ac:dyDescent="0.25">
      <c r="A200" s="91"/>
      <c r="B200" s="32">
        <v>3</v>
      </c>
      <c r="C200" s="32">
        <v>1156010</v>
      </c>
      <c r="D200" s="39">
        <v>45796</v>
      </c>
      <c r="E200" s="32" t="s">
        <v>15</v>
      </c>
      <c r="F200" s="32" t="str">
        <f t="shared" si="103"/>
        <v>M20</v>
      </c>
      <c r="G200" s="61" t="str">
        <f t="shared" si="104"/>
        <v>009</v>
      </c>
      <c r="H200" s="72" t="str">
        <f t="shared" si="105"/>
        <v>C1</v>
      </c>
      <c r="I200" s="72">
        <f t="shared" ref="I200:I202" si="109">I199</f>
        <v>2</v>
      </c>
      <c r="J200" s="37" t="s">
        <v>36</v>
      </c>
      <c r="K200" s="37">
        <v>3</v>
      </c>
      <c r="L200" s="17">
        <v>0.35</v>
      </c>
      <c r="M200" s="19">
        <v>2.25</v>
      </c>
      <c r="N200" s="18">
        <f t="shared" si="107"/>
        <v>1.9</v>
      </c>
      <c r="O200" s="20" t="str">
        <f t="shared" si="108"/>
        <v>OK</v>
      </c>
    </row>
    <row r="201" spans="1:15" ht="15" x14ac:dyDescent="0.25">
      <c r="A201" s="91"/>
      <c r="B201" s="32">
        <v>3</v>
      </c>
      <c r="C201" s="32">
        <v>1156010</v>
      </c>
      <c r="D201" s="39">
        <v>45796</v>
      </c>
      <c r="E201" s="32" t="s">
        <v>15</v>
      </c>
      <c r="F201" s="32" t="str">
        <f t="shared" si="103"/>
        <v>M20</v>
      </c>
      <c r="G201" s="61" t="str">
        <f t="shared" si="104"/>
        <v>009</v>
      </c>
      <c r="H201" s="72" t="str">
        <f t="shared" si="105"/>
        <v>C1</v>
      </c>
      <c r="I201" s="72">
        <f t="shared" si="109"/>
        <v>2</v>
      </c>
      <c r="J201" s="37" t="s">
        <v>37</v>
      </c>
      <c r="K201" s="37">
        <v>4</v>
      </c>
      <c r="L201" s="17">
        <v>1.73</v>
      </c>
      <c r="M201" s="19">
        <v>2.83</v>
      </c>
      <c r="N201" s="18">
        <f t="shared" si="107"/>
        <v>1.1000000000000001</v>
      </c>
      <c r="O201" s="20" t="str">
        <f t="shared" si="108"/>
        <v>Reperfilado</v>
      </c>
    </row>
    <row r="202" spans="1:15" ht="15" x14ac:dyDescent="0.25">
      <c r="A202" s="91"/>
      <c r="B202" s="32">
        <v>3</v>
      </c>
      <c r="C202" s="32">
        <v>1156010</v>
      </c>
      <c r="D202" s="39">
        <v>45796</v>
      </c>
      <c r="E202" s="32" t="s">
        <v>15</v>
      </c>
      <c r="F202" s="32" t="str">
        <f t="shared" si="103"/>
        <v>M20</v>
      </c>
      <c r="G202" s="61" t="str">
        <f t="shared" si="104"/>
        <v>009</v>
      </c>
      <c r="H202" s="72" t="str">
        <f t="shared" si="105"/>
        <v>C1</v>
      </c>
      <c r="I202" s="72">
        <f t="shared" si="109"/>
        <v>2</v>
      </c>
      <c r="J202" s="37" t="s">
        <v>38</v>
      </c>
      <c r="K202" s="37">
        <v>4</v>
      </c>
      <c r="L202" s="17">
        <v>0.52</v>
      </c>
      <c r="M202" s="19">
        <v>1.27</v>
      </c>
      <c r="N202" s="18">
        <f t="shared" si="107"/>
        <v>0.75</v>
      </c>
      <c r="O202" s="20" t="str">
        <f t="shared" si="108"/>
        <v>Seguimiento</v>
      </c>
    </row>
    <row r="203" spans="1:15" ht="15" x14ac:dyDescent="0.25">
      <c r="A203" s="91"/>
      <c r="B203" s="32">
        <v>3</v>
      </c>
      <c r="C203" s="32">
        <v>1156010</v>
      </c>
      <c r="D203" s="39">
        <v>45796</v>
      </c>
      <c r="E203" s="32" t="s">
        <v>15</v>
      </c>
      <c r="F203" s="32" t="str">
        <f t="shared" si="103"/>
        <v>M20</v>
      </c>
      <c r="G203" s="61" t="str">
        <f t="shared" si="104"/>
        <v>009</v>
      </c>
      <c r="H203" s="72" t="s">
        <v>39</v>
      </c>
      <c r="I203" s="72">
        <v>1</v>
      </c>
      <c r="J203" s="37" t="s">
        <v>31</v>
      </c>
      <c r="K203" s="37">
        <v>5</v>
      </c>
      <c r="L203" s="17">
        <v>0.56999999999999995</v>
      </c>
      <c r="M203" s="19">
        <v>3</v>
      </c>
      <c r="N203" s="18">
        <f t="shared" si="107"/>
        <v>2.4300000000000002</v>
      </c>
      <c r="O203" s="20" t="str">
        <f t="shared" si="108"/>
        <v>OK</v>
      </c>
    </row>
    <row r="204" spans="1:15" ht="15" x14ac:dyDescent="0.25">
      <c r="A204" s="91"/>
      <c r="B204" s="32">
        <v>3</v>
      </c>
      <c r="C204" s="32">
        <v>1156010</v>
      </c>
      <c r="D204" s="39">
        <v>45796</v>
      </c>
      <c r="E204" s="32" t="s">
        <v>15</v>
      </c>
      <c r="F204" s="32" t="str">
        <f t="shared" si="103"/>
        <v>M20</v>
      </c>
      <c r="G204" s="61" t="str">
        <f t="shared" si="104"/>
        <v>009</v>
      </c>
      <c r="H204" s="72" t="str">
        <f t="shared" ref="H204:H210" si="110">H203</f>
        <v>C2</v>
      </c>
      <c r="I204" s="72">
        <f t="shared" ref="I204:I206" si="111">I203</f>
        <v>1</v>
      </c>
      <c r="J204" s="37" t="s">
        <v>32</v>
      </c>
      <c r="K204" s="37">
        <v>5</v>
      </c>
      <c r="L204" s="17">
        <v>0.85</v>
      </c>
      <c r="M204" s="19">
        <v>3.14</v>
      </c>
      <c r="N204" s="18">
        <f t="shared" si="107"/>
        <v>2.29</v>
      </c>
      <c r="O204" s="20" t="str">
        <f t="shared" si="108"/>
        <v>OK</v>
      </c>
    </row>
    <row r="205" spans="1:15" ht="15" x14ac:dyDescent="0.25">
      <c r="A205" s="91"/>
      <c r="B205" s="32">
        <v>3</v>
      </c>
      <c r="C205" s="32">
        <v>1156010</v>
      </c>
      <c r="D205" s="39">
        <v>45796</v>
      </c>
      <c r="E205" s="32" t="s">
        <v>15</v>
      </c>
      <c r="F205" s="32" t="str">
        <f t="shared" si="103"/>
        <v>M20</v>
      </c>
      <c r="G205" s="61" t="str">
        <f t="shared" si="104"/>
        <v>009</v>
      </c>
      <c r="H205" s="72" t="str">
        <f t="shared" si="110"/>
        <v>C2</v>
      </c>
      <c r="I205" s="72">
        <f t="shared" si="111"/>
        <v>1</v>
      </c>
      <c r="J205" s="37" t="s">
        <v>33</v>
      </c>
      <c r="K205" s="37">
        <v>6</v>
      </c>
      <c r="L205" s="17">
        <v>1.1100000000000001</v>
      </c>
      <c r="M205" s="19">
        <v>4.1100000000000003</v>
      </c>
      <c r="N205" s="18">
        <f t="shared" si="107"/>
        <v>3</v>
      </c>
      <c r="O205" s="20" t="str">
        <f t="shared" si="108"/>
        <v>OK</v>
      </c>
    </row>
    <row r="206" spans="1:15" ht="15" x14ac:dyDescent="0.25">
      <c r="A206" s="91"/>
      <c r="B206" s="32">
        <v>3</v>
      </c>
      <c r="C206" s="32">
        <v>1156010</v>
      </c>
      <c r="D206" s="39">
        <v>45796</v>
      </c>
      <c r="E206" s="32" t="s">
        <v>15</v>
      </c>
      <c r="F206" s="32" t="str">
        <f t="shared" si="103"/>
        <v>M20</v>
      </c>
      <c r="G206" s="61" t="str">
        <f t="shared" si="104"/>
        <v>009</v>
      </c>
      <c r="H206" s="72" t="str">
        <f t="shared" si="110"/>
        <v>C2</v>
      </c>
      <c r="I206" s="72">
        <f t="shared" si="111"/>
        <v>1</v>
      </c>
      <c r="J206" s="37" t="s">
        <v>34</v>
      </c>
      <c r="K206" s="37">
        <v>6</v>
      </c>
      <c r="L206" s="17">
        <v>0.38</v>
      </c>
      <c r="M206" s="19">
        <v>4.99</v>
      </c>
      <c r="N206" s="18">
        <f t="shared" si="107"/>
        <v>4.6100000000000003</v>
      </c>
      <c r="O206" s="20" t="str">
        <f t="shared" si="108"/>
        <v>OK</v>
      </c>
    </row>
    <row r="207" spans="1:15" ht="15" x14ac:dyDescent="0.25">
      <c r="A207" s="91"/>
      <c r="B207" s="32">
        <v>3</v>
      </c>
      <c r="C207" s="32">
        <v>1156010</v>
      </c>
      <c r="D207" s="39">
        <v>45796</v>
      </c>
      <c r="E207" s="32" t="s">
        <v>15</v>
      </c>
      <c r="F207" s="32" t="str">
        <f t="shared" si="103"/>
        <v>M20</v>
      </c>
      <c r="G207" s="61" t="str">
        <f t="shared" si="104"/>
        <v>009</v>
      </c>
      <c r="H207" s="72" t="str">
        <f t="shared" si="110"/>
        <v>C2</v>
      </c>
      <c r="I207" s="72">
        <v>2</v>
      </c>
      <c r="J207" s="37" t="s">
        <v>35</v>
      </c>
      <c r="K207" s="37">
        <v>7</v>
      </c>
      <c r="L207" s="17">
        <v>0.68</v>
      </c>
      <c r="M207" s="19">
        <v>3.33</v>
      </c>
      <c r="N207" s="18">
        <f t="shared" si="107"/>
        <v>2.65</v>
      </c>
      <c r="O207" s="20" t="str">
        <f t="shared" si="108"/>
        <v>OK</v>
      </c>
    </row>
    <row r="208" spans="1:15" ht="15" x14ac:dyDescent="0.25">
      <c r="A208" s="91"/>
      <c r="B208" s="32">
        <v>3</v>
      </c>
      <c r="C208" s="32">
        <v>1156010</v>
      </c>
      <c r="D208" s="39">
        <v>45796</v>
      </c>
      <c r="E208" s="32" t="s">
        <v>15</v>
      </c>
      <c r="F208" s="32" t="str">
        <f t="shared" si="103"/>
        <v>M20</v>
      </c>
      <c r="G208" s="61" t="str">
        <f t="shared" si="104"/>
        <v>009</v>
      </c>
      <c r="H208" s="72" t="str">
        <f t="shared" si="110"/>
        <v>C2</v>
      </c>
      <c r="I208" s="72">
        <f t="shared" ref="I208:I210" si="112">I207</f>
        <v>2</v>
      </c>
      <c r="J208" s="37" t="s">
        <v>36</v>
      </c>
      <c r="K208" s="37">
        <v>7</v>
      </c>
      <c r="L208" s="17">
        <v>0.9</v>
      </c>
      <c r="M208" s="19">
        <v>2.13</v>
      </c>
      <c r="N208" s="18">
        <f t="shared" si="107"/>
        <v>1.23</v>
      </c>
      <c r="O208" s="20" t="str">
        <f t="shared" si="108"/>
        <v>OK</v>
      </c>
    </row>
    <row r="209" spans="1:15" ht="15" x14ac:dyDescent="0.25">
      <c r="A209" s="91"/>
      <c r="B209" s="32">
        <v>3</v>
      </c>
      <c r="C209" s="32">
        <v>1156010</v>
      </c>
      <c r="D209" s="39">
        <v>45796</v>
      </c>
      <c r="E209" s="32" t="s">
        <v>15</v>
      </c>
      <c r="F209" s="32" t="str">
        <f t="shared" si="103"/>
        <v>M20</v>
      </c>
      <c r="G209" s="61" t="str">
        <f t="shared" si="104"/>
        <v>009</v>
      </c>
      <c r="H209" s="72" t="str">
        <f t="shared" si="110"/>
        <v>C2</v>
      </c>
      <c r="I209" s="72">
        <f t="shared" si="112"/>
        <v>2</v>
      </c>
      <c r="J209" s="37" t="s">
        <v>37</v>
      </c>
      <c r="K209" s="37">
        <v>8</v>
      </c>
      <c r="L209" s="17">
        <v>0.4</v>
      </c>
      <c r="M209" s="19">
        <v>2.5499999999999998</v>
      </c>
      <c r="N209" s="18">
        <f t="shared" si="107"/>
        <v>2.15</v>
      </c>
      <c r="O209" s="20" t="str">
        <f t="shared" si="108"/>
        <v>OK</v>
      </c>
    </row>
    <row r="210" spans="1:15" ht="15" x14ac:dyDescent="0.25">
      <c r="A210" s="91"/>
      <c r="B210" s="32">
        <v>3</v>
      </c>
      <c r="C210" s="32">
        <v>1156010</v>
      </c>
      <c r="D210" s="39">
        <v>45796</v>
      </c>
      <c r="E210" s="32" t="s">
        <v>15</v>
      </c>
      <c r="F210" s="32" t="str">
        <f t="shared" si="103"/>
        <v>M20</v>
      </c>
      <c r="G210" s="61" t="str">
        <f t="shared" si="104"/>
        <v>009</v>
      </c>
      <c r="H210" s="72" t="str">
        <f t="shared" si="110"/>
        <v>C2</v>
      </c>
      <c r="I210" s="72">
        <f t="shared" si="112"/>
        <v>2</v>
      </c>
      <c r="J210" s="37" t="s">
        <v>38</v>
      </c>
      <c r="K210" s="37">
        <v>8</v>
      </c>
      <c r="L210" s="17">
        <v>0.68</v>
      </c>
      <c r="M210" s="19">
        <v>3.17</v>
      </c>
      <c r="N210" s="18">
        <f t="shared" si="107"/>
        <v>2.4899999999999998</v>
      </c>
      <c r="O210" s="20" t="str">
        <f t="shared" si="108"/>
        <v>OK</v>
      </c>
    </row>
    <row r="211" spans="1:15" ht="15" x14ac:dyDescent="0.25">
      <c r="A211" s="91"/>
      <c r="B211" s="32">
        <v>3</v>
      </c>
      <c r="C211" s="32">
        <v>1156010</v>
      </c>
      <c r="D211" s="39">
        <v>45796</v>
      </c>
      <c r="E211" s="32" t="s">
        <v>15</v>
      </c>
      <c r="F211" s="32" t="s">
        <v>40</v>
      </c>
      <c r="G211" s="61" t="s">
        <v>60</v>
      </c>
      <c r="H211" s="72" t="s">
        <v>42</v>
      </c>
      <c r="I211" s="72">
        <v>1</v>
      </c>
      <c r="J211" s="37" t="s">
        <v>31</v>
      </c>
      <c r="K211" s="37">
        <v>9</v>
      </c>
      <c r="L211" s="17">
        <v>0.81</v>
      </c>
      <c r="M211" s="19">
        <v>3.11</v>
      </c>
      <c r="N211" s="18">
        <f t="shared" si="107"/>
        <v>2.2999999999999998</v>
      </c>
      <c r="O211" s="20" t="str">
        <f t="shared" si="108"/>
        <v>OK</v>
      </c>
    </row>
    <row r="212" spans="1:15" ht="15" x14ac:dyDescent="0.25">
      <c r="A212" s="91"/>
      <c r="B212" s="32">
        <v>3</v>
      </c>
      <c r="C212" s="32">
        <v>1156010</v>
      </c>
      <c r="D212" s="39">
        <v>45796</v>
      </c>
      <c r="E212" s="32" t="s">
        <v>15</v>
      </c>
      <c r="F212" s="32" t="str">
        <f t="shared" ref="F212:F226" si="113">F211</f>
        <v>M21</v>
      </c>
      <c r="G212" s="61" t="str">
        <f t="shared" ref="G212:G226" si="114">G211</f>
        <v>010</v>
      </c>
      <c r="H212" s="72" t="str">
        <f t="shared" ref="H212:H218" si="115">H211</f>
        <v>C3</v>
      </c>
      <c r="I212" s="72">
        <f t="shared" ref="I212:I214" si="116">I211</f>
        <v>1</v>
      </c>
      <c r="J212" s="37" t="s">
        <v>32</v>
      </c>
      <c r="K212" s="37">
        <v>9</v>
      </c>
      <c r="L212" s="17">
        <v>0.43</v>
      </c>
      <c r="M212" s="19">
        <v>3.07</v>
      </c>
      <c r="N212" s="18">
        <f t="shared" si="107"/>
        <v>2.6399999999999997</v>
      </c>
      <c r="O212" s="20" t="str">
        <f t="shared" si="108"/>
        <v>OK</v>
      </c>
    </row>
    <row r="213" spans="1:15" ht="15" x14ac:dyDescent="0.25">
      <c r="A213" s="91"/>
      <c r="B213" s="32">
        <v>3</v>
      </c>
      <c r="C213" s="32">
        <v>1156010</v>
      </c>
      <c r="D213" s="39">
        <v>45796</v>
      </c>
      <c r="E213" s="32" t="s">
        <v>15</v>
      </c>
      <c r="F213" s="32" t="str">
        <f t="shared" si="113"/>
        <v>M21</v>
      </c>
      <c r="G213" s="61" t="str">
        <f t="shared" si="114"/>
        <v>010</v>
      </c>
      <c r="H213" s="72" t="str">
        <f t="shared" si="115"/>
        <v>C3</v>
      </c>
      <c r="I213" s="72">
        <f t="shared" si="116"/>
        <v>1</v>
      </c>
      <c r="J213" s="37" t="s">
        <v>33</v>
      </c>
      <c r="K213" s="37">
        <v>10</v>
      </c>
      <c r="L213" s="17">
        <v>0.9</v>
      </c>
      <c r="M213" s="19">
        <v>3.76</v>
      </c>
      <c r="N213" s="18">
        <f t="shared" si="107"/>
        <v>2.86</v>
      </c>
      <c r="O213" s="20" t="str">
        <f t="shared" si="108"/>
        <v>OK</v>
      </c>
    </row>
    <row r="214" spans="1:15" ht="15" x14ac:dyDescent="0.25">
      <c r="A214" s="91"/>
      <c r="B214" s="32">
        <v>3</v>
      </c>
      <c r="C214" s="32">
        <v>1156010</v>
      </c>
      <c r="D214" s="39">
        <v>45796</v>
      </c>
      <c r="E214" s="32" t="s">
        <v>15</v>
      </c>
      <c r="F214" s="32" t="str">
        <f t="shared" si="113"/>
        <v>M21</v>
      </c>
      <c r="G214" s="61" t="str">
        <f t="shared" si="114"/>
        <v>010</v>
      </c>
      <c r="H214" s="72" t="str">
        <f t="shared" si="115"/>
        <v>C3</v>
      </c>
      <c r="I214" s="72">
        <f t="shared" si="116"/>
        <v>1</v>
      </c>
      <c r="J214" s="37" t="s">
        <v>34</v>
      </c>
      <c r="K214" s="37">
        <v>10</v>
      </c>
      <c r="L214" s="17">
        <v>1.1299999999999999</v>
      </c>
      <c r="M214" s="19">
        <v>3.4</v>
      </c>
      <c r="N214" s="18">
        <f t="shared" si="107"/>
        <v>2.27</v>
      </c>
      <c r="O214" s="20" t="str">
        <f t="shared" si="108"/>
        <v>OK</v>
      </c>
    </row>
    <row r="215" spans="1:15" ht="15" x14ac:dyDescent="0.25">
      <c r="A215" s="91"/>
      <c r="B215" s="32">
        <v>3</v>
      </c>
      <c r="C215" s="32">
        <v>1156010</v>
      </c>
      <c r="D215" s="39">
        <v>45796</v>
      </c>
      <c r="E215" s="32" t="s">
        <v>15</v>
      </c>
      <c r="F215" s="32" t="str">
        <f t="shared" si="113"/>
        <v>M21</v>
      </c>
      <c r="G215" s="61" t="str">
        <f t="shared" si="114"/>
        <v>010</v>
      </c>
      <c r="H215" s="72" t="str">
        <f t="shared" si="115"/>
        <v>C3</v>
      </c>
      <c r="I215" s="72">
        <v>2</v>
      </c>
      <c r="J215" s="37" t="s">
        <v>35</v>
      </c>
      <c r="K215" s="37">
        <v>11</v>
      </c>
      <c r="L215" s="17">
        <v>1.19</v>
      </c>
      <c r="M215" s="19">
        <v>4.45</v>
      </c>
      <c r="N215" s="18">
        <f t="shared" si="107"/>
        <v>3.2600000000000002</v>
      </c>
      <c r="O215" s="20" t="str">
        <f t="shared" si="108"/>
        <v>OK</v>
      </c>
    </row>
    <row r="216" spans="1:15" ht="15" x14ac:dyDescent="0.25">
      <c r="A216" s="91"/>
      <c r="B216" s="32">
        <v>3</v>
      </c>
      <c r="C216" s="32">
        <v>1156010</v>
      </c>
      <c r="D216" s="39">
        <v>45796</v>
      </c>
      <c r="E216" s="32" t="s">
        <v>15</v>
      </c>
      <c r="F216" s="32" t="str">
        <f t="shared" si="113"/>
        <v>M21</v>
      </c>
      <c r="G216" s="61" t="str">
        <f t="shared" si="114"/>
        <v>010</v>
      </c>
      <c r="H216" s="72" t="str">
        <f t="shared" si="115"/>
        <v>C3</v>
      </c>
      <c r="I216" s="72">
        <f t="shared" ref="I216:I218" si="117">I215</f>
        <v>2</v>
      </c>
      <c r="J216" s="37" t="s">
        <v>36</v>
      </c>
      <c r="K216" s="37">
        <v>11</v>
      </c>
      <c r="L216" s="17">
        <v>0.9</v>
      </c>
      <c r="M216" s="19">
        <v>3.76</v>
      </c>
      <c r="N216" s="18">
        <f t="shared" si="107"/>
        <v>2.86</v>
      </c>
      <c r="O216" s="20" t="str">
        <f t="shared" si="108"/>
        <v>OK</v>
      </c>
    </row>
    <row r="217" spans="1:15" ht="15" x14ac:dyDescent="0.25">
      <c r="A217" s="91"/>
      <c r="B217" s="32">
        <v>3</v>
      </c>
      <c r="C217" s="32">
        <v>1156010</v>
      </c>
      <c r="D217" s="39">
        <v>45796</v>
      </c>
      <c r="E217" s="32" t="s">
        <v>15</v>
      </c>
      <c r="F217" s="32" t="str">
        <f t="shared" si="113"/>
        <v>M21</v>
      </c>
      <c r="G217" s="61" t="str">
        <f t="shared" si="114"/>
        <v>010</v>
      </c>
      <c r="H217" s="72" t="str">
        <f t="shared" si="115"/>
        <v>C3</v>
      </c>
      <c r="I217" s="72">
        <f t="shared" si="117"/>
        <v>2</v>
      </c>
      <c r="J217" s="37" t="s">
        <v>37</v>
      </c>
      <c r="K217" s="37">
        <v>12</v>
      </c>
      <c r="L217" s="17">
        <v>0.96</v>
      </c>
      <c r="M217" s="19">
        <v>4.55</v>
      </c>
      <c r="N217" s="18">
        <f t="shared" si="107"/>
        <v>3.59</v>
      </c>
      <c r="O217" s="20" t="str">
        <f t="shared" si="108"/>
        <v>OK</v>
      </c>
    </row>
    <row r="218" spans="1:15" ht="15" x14ac:dyDescent="0.25">
      <c r="A218" s="91"/>
      <c r="B218" s="32">
        <v>3</v>
      </c>
      <c r="C218" s="32">
        <v>1156010</v>
      </c>
      <c r="D218" s="39">
        <v>45796</v>
      </c>
      <c r="E218" s="32" t="s">
        <v>15</v>
      </c>
      <c r="F218" s="32" t="str">
        <f t="shared" si="113"/>
        <v>M21</v>
      </c>
      <c r="G218" s="61" t="str">
        <f t="shared" si="114"/>
        <v>010</v>
      </c>
      <c r="H218" s="72" t="str">
        <f t="shared" si="115"/>
        <v>C3</v>
      </c>
      <c r="I218" s="72">
        <f t="shared" si="117"/>
        <v>2</v>
      </c>
      <c r="J218" s="37" t="s">
        <v>38</v>
      </c>
      <c r="K218" s="37">
        <v>12</v>
      </c>
      <c r="L218" s="17">
        <v>0.7</v>
      </c>
      <c r="M218" s="19">
        <v>4.43</v>
      </c>
      <c r="N218" s="18">
        <f t="shared" si="107"/>
        <v>3.7299999999999995</v>
      </c>
      <c r="O218" s="20" t="str">
        <f t="shared" si="108"/>
        <v>OK</v>
      </c>
    </row>
    <row r="219" spans="1:15" ht="15" x14ac:dyDescent="0.25">
      <c r="A219" s="91"/>
      <c r="B219" s="32">
        <v>3</v>
      </c>
      <c r="C219" s="32">
        <v>1156010</v>
      </c>
      <c r="D219" s="39">
        <v>45796</v>
      </c>
      <c r="E219" s="32" t="s">
        <v>15</v>
      </c>
      <c r="F219" s="32" t="str">
        <f t="shared" si="113"/>
        <v>M21</v>
      </c>
      <c r="G219" s="61" t="str">
        <f t="shared" si="114"/>
        <v>010</v>
      </c>
      <c r="H219" s="72" t="s">
        <v>43</v>
      </c>
      <c r="I219" s="72">
        <v>1</v>
      </c>
      <c r="J219" s="37" t="s">
        <v>31</v>
      </c>
      <c r="K219" s="37">
        <v>13</v>
      </c>
      <c r="L219" s="17">
        <v>1.32</v>
      </c>
      <c r="M219" s="19">
        <v>4.28</v>
      </c>
      <c r="N219" s="18">
        <f t="shared" si="107"/>
        <v>2.96</v>
      </c>
      <c r="O219" s="20" t="str">
        <f t="shared" si="108"/>
        <v>OK</v>
      </c>
    </row>
    <row r="220" spans="1:15" ht="15" x14ac:dyDescent="0.25">
      <c r="A220" s="91"/>
      <c r="B220" s="32">
        <v>3</v>
      </c>
      <c r="C220" s="32">
        <v>1156010</v>
      </c>
      <c r="D220" s="39">
        <v>45796</v>
      </c>
      <c r="E220" s="32" t="s">
        <v>15</v>
      </c>
      <c r="F220" s="32" t="str">
        <f t="shared" si="113"/>
        <v>M21</v>
      </c>
      <c r="G220" s="61" t="str">
        <f t="shared" si="114"/>
        <v>010</v>
      </c>
      <c r="H220" s="72" t="str">
        <f t="shared" ref="H220:H226" si="118">H219</f>
        <v>C4</v>
      </c>
      <c r="I220" s="72">
        <f t="shared" ref="I220:I222" si="119">I219</f>
        <v>1</v>
      </c>
      <c r="J220" s="37" t="s">
        <v>32</v>
      </c>
      <c r="K220" s="37">
        <v>13</v>
      </c>
      <c r="L220" s="17">
        <v>0.9</v>
      </c>
      <c r="M220" s="19">
        <v>3.88</v>
      </c>
      <c r="N220" s="18">
        <f t="shared" si="107"/>
        <v>2.98</v>
      </c>
      <c r="O220" s="20" t="str">
        <f t="shared" si="108"/>
        <v>OK</v>
      </c>
    </row>
    <row r="221" spans="1:15" ht="15" x14ac:dyDescent="0.25">
      <c r="A221" s="91"/>
      <c r="B221" s="32">
        <v>3</v>
      </c>
      <c r="C221" s="32">
        <v>1156010</v>
      </c>
      <c r="D221" s="39">
        <v>45796</v>
      </c>
      <c r="E221" s="32" t="s">
        <v>15</v>
      </c>
      <c r="F221" s="32" t="str">
        <f t="shared" si="113"/>
        <v>M21</v>
      </c>
      <c r="G221" s="61" t="str">
        <f t="shared" si="114"/>
        <v>010</v>
      </c>
      <c r="H221" s="72" t="str">
        <f t="shared" si="118"/>
        <v>C4</v>
      </c>
      <c r="I221" s="72">
        <f t="shared" si="119"/>
        <v>1</v>
      </c>
      <c r="J221" s="37" t="s">
        <v>33</v>
      </c>
      <c r="K221" s="37">
        <v>14</v>
      </c>
      <c r="L221" s="17">
        <v>0.38</v>
      </c>
      <c r="M221" s="19">
        <v>3.11</v>
      </c>
      <c r="N221" s="18">
        <f t="shared" si="107"/>
        <v>2.73</v>
      </c>
      <c r="O221" s="20" t="str">
        <f t="shared" si="108"/>
        <v>OK</v>
      </c>
    </row>
    <row r="222" spans="1:15" ht="15" x14ac:dyDescent="0.25">
      <c r="A222" s="91"/>
      <c r="B222" s="32">
        <v>3</v>
      </c>
      <c r="C222" s="32">
        <v>1156010</v>
      </c>
      <c r="D222" s="39">
        <v>45796</v>
      </c>
      <c r="E222" s="32" t="s">
        <v>15</v>
      </c>
      <c r="F222" s="32" t="str">
        <f t="shared" si="113"/>
        <v>M21</v>
      </c>
      <c r="G222" s="61" t="str">
        <f t="shared" si="114"/>
        <v>010</v>
      </c>
      <c r="H222" s="72" t="str">
        <f t="shared" si="118"/>
        <v>C4</v>
      </c>
      <c r="I222" s="72">
        <f t="shared" si="119"/>
        <v>1</v>
      </c>
      <c r="J222" s="37" t="s">
        <v>34</v>
      </c>
      <c r="K222" s="37">
        <v>14</v>
      </c>
      <c r="L222" s="17">
        <v>1.03</v>
      </c>
      <c r="M222" s="19">
        <v>4.04</v>
      </c>
      <c r="N222" s="18">
        <f t="shared" si="107"/>
        <v>3.01</v>
      </c>
      <c r="O222" s="20" t="str">
        <f t="shared" si="108"/>
        <v>OK</v>
      </c>
    </row>
    <row r="223" spans="1:15" ht="15" x14ac:dyDescent="0.25">
      <c r="A223" s="91"/>
      <c r="B223" s="32">
        <v>3</v>
      </c>
      <c r="C223" s="32">
        <v>1156010</v>
      </c>
      <c r="D223" s="39">
        <v>45796</v>
      </c>
      <c r="E223" s="32" t="s">
        <v>15</v>
      </c>
      <c r="F223" s="32" t="str">
        <f t="shared" si="113"/>
        <v>M21</v>
      </c>
      <c r="G223" s="61" t="str">
        <f t="shared" si="114"/>
        <v>010</v>
      </c>
      <c r="H223" s="72" t="str">
        <f t="shared" si="118"/>
        <v>C4</v>
      </c>
      <c r="I223" s="72">
        <v>2</v>
      </c>
      <c r="J223" s="37" t="s">
        <v>35</v>
      </c>
      <c r="K223" s="37">
        <v>15</v>
      </c>
      <c r="L223" s="17">
        <v>0.55000000000000004</v>
      </c>
      <c r="M223" s="19">
        <v>3.26</v>
      </c>
      <c r="N223" s="18">
        <f t="shared" si="107"/>
        <v>2.71</v>
      </c>
      <c r="O223" s="20" t="str">
        <f t="shared" si="108"/>
        <v>OK</v>
      </c>
    </row>
    <row r="224" spans="1:15" ht="15" x14ac:dyDescent="0.25">
      <c r="A224" s="91"/>
      <c r="B224" s="32">
        <v>3</v>
      </c>
      <c r="C224" s="32">
        <v>1156010</v>
      </c>
      <c r="D224" s="39">
        <v>45796</v>
      </c>
      <c r="E224" s="32" t="s">
        <v>15</v>
      </c>
      <c r="F224" s="32" t="str">
        <f t="shared" si="113"/>
        <v>M21</v>
      </c>
      <c r="G224" s="61" t="str">
        <f t="shared" si="114"/>
        <v>010</v>
      </c>
      <c r="H224" s="72" t="str">
        <f t="shared" si="118"/>
        <v>C4</v>
      </c>
      <c r="I224" s="72">
        <f t="shared" ref="I224:I226" si="120">I223</f>
        <v>2</v>
      </c>
      <c r="J224" s="37" t="s">
        <v>36</v>
      </c>
      <c r="K224" s="37">
        <v>15</v>
      </c>
      <c r="L224" s="17">
        <v>0.56999999999999995</v>
      </c>
      <c r="M224" s="19">
        <v>3.92</v>
      </c>
      <c r="N224" s="18">
        <f t="shared" si="107"/>
        <v>3.35</v>
      </c>
      <c r="O224" s="20" t="str">
        <f t="shared" si="108"/>
        <v>OK</v>
      </c>
    </row>
    <row r="225" spans="1:15" ht="15" x14ac:dyDescent="0.25">
      <c r="A225" s="91"/>
      <c r="B225" s="32">
        <v>3</v>
      </c>
      <c r="C225" s="32">
        <v>1156010</v>
      </c>
      <c r="D225" s="39">
        <v>45796</v>
      </c>
      <c r="E225" s="32" t="s">
        <v>15</v>
      </c>
      <c r="F225" s="32" t="str">
        <f t="shared" si="113"/>
        <v>M21</v>
      </c>
      <c r="G225" s="61" t="str">
        <f t="shared" si="114"/>
        <v>010</v>
      </c>
      <c r="H225" s="72" t="str">
        <f t="shared" si="118"/>
        <v>C4</v>
      </c>
      <c r="I225" s="72">
        <f t="shared" si="120"/>
        <v>2</v>
      </c>
      <c r="J225" s="37" t="s">
        <v>37</v>
      </c>
      <c r="K225" s="37">
        <v>16</v>
      </c>
      <c r="L225" s="17">
        <v>0.64</v>
      </c>
      <c r="M225" s="19">
        <v>3.87</v>
      </c>
      <c r="N225" s="18">
        <f t="shared" si="107"/>
        <v>3.23</v>
      </c>
      <c r="O225" s="20" t="str">
        <f t="shared" si="108"/>
        <v>OK</v>
      </c>
    </row>
    <row r="226" spans="1:15" ht="15" x14ac:dyDescent="0.25">
      <c r="A226" s="91"/>
      <c r="B226" s="32">
        <v>3</v>
      </c>
      <c r="C226" s="32">
        <v>1156010</v>
      </c>
      <c r="D226" s="39">
        <v>45796</v>
      </c>
      <c r="E226" s="32" t="s">
        <v>15</v>
      </c>
      <c r="F226" s="32" t="str">
        <f t="shared" si="113"/>
        <v>M21</v>
      </c>
      <c r="G226" s="61" t="str">
        <f t="shared" si="114"/>
        <v>010</v>
      </c>
      <c r="H226" s="72" t="str">
        <f t="shared" si="118"/>
        <v>C4</v>
      </c>
      <c r="I226" s="72">
        <f t="shared" si="120"/>
        <v>2</v>
      </c>
      <c r="J226" s="37" t="s">
        <v>38</v>
      </c>
      <c r="K226" s="37">
        <v>16</v>
      </c>
      <c r="L226" s="17">
        <v>1.1100000000000001</v>
      </c>
      <c r="M226" s="19">
        <v>2.86</v>
      </c>
      <c r="N226" s="18">
        <f t="shared" si="107"/>
        <v>1.7499999999999998</v>
      </c>
      <c r="O226" s="20" t="str">
        <f t="shared" si="108"/>
        <v>OK</v>
      </c>
    </row>
    <row r="227" spans="1:15" ht="15" x14ac:dyDescent="0.25">
      <c r="A227" s="91"/>
      <c r="B227" s="32">
        <v>3</v>
      </c>
      <c r="C227" s="32">
        <v>1156010</v>
      </c>
      <c r="D227" s="39">
        <v>45796</v>
      </c>
      <c r="E227" s="32" t="s">
        <v>15</v>
      </c>
      <c r="F227" s="32" t="s">
        <v>44</v>
      </c>
      <c r="G227" s="61" t="s">
        <v>61</v>
      </c>
      <c r="H227" s="72" t="s">
        <v>46</v>
      </c>
      <c r="I227" s="72">
        <v>1</v>
      </c>
      <c r="J227" s="37" t="s">
        <v>31</v>
      </c>
      <c r="K227" s="37">
        <v>17</v>
      </c>
      <c r="L227" s="17">
        <v>1.66</v>
      </c>
      <c r="M227" s="19">
        <v>3.68</v>
      </c>
      <c r="N227" s="18">
        <f t="shared" si="107"/>
        <v>2.0200000000000005</v>
      </c>
      <c r="O227" s="20" t="str">
        <f t="shared" si="108"/>
        <v>OK</v>
      </c>
    </row>
    <row r="228" spans="1:15" ht="15" x14ac:dyDescent="0.25">
      <c r="A228" s="91"/>
      <c r="B228" s="32">
        <v>3</v>
      </c>
      <c r="C228" s="32">
        <v>1156010</v>
      </c>
      <c r="D228" s="39">
        <v>45796</v>
      </c>
      <c r="E228" s="32" t="s">
        <v>15</v>
      </c>
      <c r="F228" s="32" t="str">
        <f t="shared" ref="F228:F242" si="121">F227</f>
        <v>M22</v>
      </c>
      <c r="G228" s="61" t="str">
        <f t="shared" ref="G228:G242" si="122">G227</f>
        <v>307</v>
      </c>
      <c r="H228" s="72" t="str">
        <f t="shared" ref="H228:H234" si="123">H227</f>
        <v>C5</v>
      </c>
      <c r="I228" s="72">
        <f t="shared" ref="I228:I230" si="124">I227</f>
        <v>1</v>
      </c>
      <c r="J228" s="37" t="s">
        <v>32</v>
      </c>
      <c r="K228" s="37">
        <v>17</v>
      </c>
      <c r="L228" s="17">
        <v>0.43</v>
      </c>
      <c r="M228" s="19">
        <v>1.57</v>
      </c>
      <c r="N228" s="18">
        <f t="shared" si="107"/>
        <v>1.1400000000000001</v>
      </c>
      <c r="O228" s="20" t="str">
        <f t="shared" si="108"/>
        <v>OK</v>
      </c>
    </row>
    <row r="229" spans="1:15" ht="15" x14ac:dyDescent="0.25">
      <c r="A229" s="91"/>
      <c r="B229" s="32">
        <v>3</v>
      </c>
      <c r="C229" s="32">
        <v>1156010</v>
      </c>
      <c r="D229" s="39">
        <v>45796</v>
      </c>
      <c r="E229" s="32" t="s">
        <v>15</v>
      </c>
      <c r="F229" s="32" t="str">
        <f t="shared" si="121"/>
        <v>M22</v>
      </c>
      <c r="G229" s="61" t="str">
        <f t="shared" si="122"/>
        <v>307</v>
      </c>
      <c r="H229" s="72" t="str">
        <f t="shared" si="123"/>
        <v>C5</v>
      </c>
      <c r="I229" s="72">
        <f t="shared" si="124"/>
        <v>1</v>
      </c>
      <c r="J229" s="37" t="s">
        <v>33</v>
      </c>
      <c r="K229" s="37">
        <v>18</v>
      </c>
      <c r="L229" s="17">
        <v>1.27</v>
      </c>
      <c r="M229" s="19">
        <v>4.88</v>
      </c>
      <c r="N229" s="18">
        <f t="shared" si="107"/>
        <v>3.61</v>
      </c>
      <c r="O229" s="20" t="str">
        <f t="shared" si="108"/>
        <v>OK</v>
      </c>
    </row>
    <row r="230" spans="1:15" ht="15" x14ac:dyDescent="0.25">
      <c r="A230" s="91"/>
      <c r="B230" s="32">
        <v>3</v>
      </c>
      <c r="C230" s="32">
        <v>1156010</v>
      </c>
      <c r="D230" s="39">
        <v>45796</v>
      </c>
      <c r="E230" s="32" t="s">
        <v>15</v>
      </c>
      <c r="F230" s="32" t="str">
        <f t="shared" si="121"/>
        <v>M22</v>
      </c>
      <c r="G230" s="61" t="str">
        <f t="shared" si="122"/>
        <v>307</v>
      </c>
      <c r="H230" s="72" t="str">
        <f t="shared" si="123"/>
        <v>C5</v>
      </c>
      <c r="I230" s="72">
        <f t="shared" si="124"/>
        <v>1</v>
      </c>
      <c r="J230" s="37" t="s">
        <v>34</v>
      </c>
      <c r="K230" s="37">
        <v>18</v>
      </c>
      <c r="L230" s="17">
        <v>0.11</v>
      </c>
      <c r="M230" s="19">
        <v>0.75</v>
      </c>
      <c r="N230" s="18">
        <f t="shared" si="107"/>
        <v>0.64</v>
      </c>
      <c r="O230" s="20" t="str">
        <f t="shared" si="108"/>
        <v>Seguimiento</v>
      </c>
    </row>
    <row r="231" spans="1:15" ht="15" x14ac:dyDescent="0.25">
      <c r="A231" s="91"/>
      <c r="B231" s="32">
        <v>3</v>
      </c>
      <c r="C231" s="32">
        <v>1156010</v>
      </c>
      <c r="D231" s="39">
        <v>45796</v>
      </c>
      <c r="E231" s="32" t="s">
        <v>15</v>
      </c>
      <c r="F231" s="32" t="str">
        <f t="shared" si="121"/>
        <v>M22</v>
      </c>
      <c r="G231" s="61" t="str">
        <f t="shared" si="122"/>
        <v>307</v>
      </c>
      <c r="H231" s="72" t="str">
        <f t="shared" si="123"/>
        <v>C5</v>
      </c>
      <c r="I231" s="72">
        <v>2</v>
      </c>
      <c r="J231" s="37" t="s">
        <v>35</v>
      </c>
      <c r="K231" s="37">
        <v>19</v>
      </c>
      <c r="L231" s="17">
        <v>0.49</v>
      </c>
      <c r="M231" s="19">
        <v>1.57</v>
      </c>
      <c r="N231" s="18">
        <f t="shared" si="107"/>
        <v>1.08</v>
      </c>
      <c r="O231" s="20" t="str">
        <f t="shared" si="108"/>
        <v>OK</v>
      </c>
    </row>
    <row r="232" spans="1:15" ht="15" x14ac:dyDescent="0.25">
      <c r="A232" s="91"/>
      <c r="B232" s="32">
        <v>3</v>
      </c>
      <c r="C232" s="32">
        <v>1156010</v>
      </c>
      <c r="D232" s="39">
        <v>45796</v>
      </c>
      <c r="E232" s="32" t="s">
        <v>15</v>
      </c>
      <c r="F232" s="32" t="str">
        <f t="shared" si="121"/>
        <v>M22</v>
      </c>
      <c r="G232" s="61" t="str">
        <f t="shared" si="122"/>
        <v>307</v>
      </c>
      <c r="H232" s="72" t="str">
        <f t="shared" si="123"/>
        <v>C5</v>
      </c>
      <c r="I232" s="72">
        <f t="shared" ref="I232:I234" si="125">I231</f>
        <v>2</v>
      </c>
      <c r="J232" s="37" t="s">
        <v>36</v>
      </c>
      <c r="K232" s="37">
        <v>19</v>
      </c>
      <c r="L232" s="17">
        <v>1.71</v>
      </c>
      <c r="M232" s="19">
        <v>4.45</v>
      </c>
      <c r="N232" s="18">
        <f t="shared" si="107"/>
        <v>2.74</v>
      </c>
      <c r="O232" s="20" t="str">
        <f t="shared" si="108"/>
        <v>Reperfilado</v>
      </c>
    </row>
    <row r="233" spans="1:15" ht="15" x14ac:dyDescent="0.25">
      <c r="A233" s="91"/>
      <c r="B233" s="32">
        <v>3</v>
      </c>
      <c r="C233" s="32">
        <v>1156010</v>
      </c>
      <c r="D233" s="39">
        <v>45796</v>
      </c>
      <c r="E233" s="32" t="s">
        <v>15</v>
      </c>
      <c r="F233" s="32" t="str">
        <f t="shared" si="121"/>
        <v>M22</v>
      </c>
      <c r="G233" s="61" t="str">
        <f t="shared" si="122"/>
        <v>307</v>
      </c>
      <c r="H233" s="72" t="str">
        <f t="shared" si="123"/>
        <v>C5</v>
      </c>
      <c r="I233" s="72">
        <f t="shared" si="125"/>
        <v>2</v>
      </c>
      <c r="J233" s="37" t="s">
        <v>37</v>
      </c>
      <c r="K233" s="37">
        <v>20</v>
      </c>
      <c r="L233" s="17">
        <v>1.64</v>
      </c>
      <c r="M233" s="19">
        <v>4.76</v>
      </c>
      <c r="N233" s="18">
        <f t="shared" si="107"/>
        <v>3.12</v>
      </c>
      <c r="O233" s="20" t="str">
        <f t="shared" si="108"/>
        <v>OK</v>
      </c>
    </row>
    <row r="234" spans="1:15" ht="15" x14ac:dyDescent="0.25">
      <c r="A234" s="91"/>
      <c r="B234" s="32">
        <v>3</v>
      </c>
      <c r="C234" s="32">
        <v>1156010</v>
      </c>
      <c r="D234" s="39">
        <v>45796</v>
      </c>
      <c r="E234" s="32" t="s">
        <v>15</v>
      </c>
      <c r="F234" s="32" t="str">
        <f t="shared" si="121"/>
        <v>M22</v>
      </c>
      <c r="G234" s="61" t="str">
        <f t="shared" si="122"/>
        <v>307</v>
      </c>
      <c r="H234" s="72" t="str">
        <f t="shared" si="123"/>
        <v>C5</v>
      </c>
      <c r="I234" s="72">
        <f t="shared" si="125"/>
        <v>2</v>
      </c>
      <c r="J234" s="37" t="s">
        <v>38</v>
      </c>
      <c r="K234" s="37">
        <v>20</v>
      </c>
      <c r="L234" s="17">
        <v>1.1200000000000001</v>
      </c>
      <c r="M234" s="19">
        <v>4.3099999999999996</v>
      </c>
      <c r="N234" s="18">
        <f t="shared" si="107"/>
        <v>3.1899999999999995</v>
      </c>
      <c r="O234" s="20" t="str">
        <f t="shared" si="108"/>
        <v>OK</v>
      </c>
    </row>
    <row r="235" spans="1:15" ht="15" x14ac:dyDescent="0.25">
      <c r="A235" s="91"/>
      <c r="B235" s="32">
        <v>3</v>
      </c>
      <c r="C235" s="32">
        <v>1156010</v>
      </c>
      <c r="D235" s="39">
        <v>45796</v>
      </c>
      <c r="E235" s="32" t="s">
        <v>15</v>
      </c>
      <c r="F235" s="32" t="str">
        <f t="shared" si="121"/>
        <v>M22</v>
      </c>
      <c r="G235" s="61" t="str">
        <f t="shared" si="122"/>
        <v>307</v>
      </c>
      <c r="H235" s="72" t="s">
        <v>47</v>
      </c>
      <c r="I235" s="72">
        <v>1</v>
      </c>
      <c r="J235" s="37" t="s">
        <v>31</v>
      </c>
      <c r="K235" s="37">
        <v>21</v>
      </c>
      <c r="L235" s="17">
        <v>0.94</v>
      </c>
      <c r="M235" s="19">
        <v>4.8899999999999997</v>
      </c>
      <c r="N235" s="18">
        <f t="shared" si="107"/>
        <v>3.9499999999999997</v>
      </c>
      <c r="O235" s="20" t="str">
        <f t="shared" si="108"/>
        <v>OK</v>
      </c>
    </row>
    <row r="236" spans="1:15" ht="15" x14ac:dyDescent="0.25">
      <c r="A236" s="91"/>
      <c r="B236" s="32">
        <v>3</v>
      </c>
      <c r="C236" s="32">
        <v>1156010</v>
      </c>
      <c r="D236" s="39">
        <v>45796</v>
      </c>
      <c r="E236" s="32" t="s">
        <v>15</v>
      </c>
      <c r="F236" s="32" t="str">
        <f t="shared" si="121"/>
        <v>M22</v>
      </c>
      <c r="G236" s="61" t="str">
        <f t="shared" si="122"/>
        <v>307</v>
      </c>
      <c r="H236" s="72" t="str">
        <f t="shared" ref="H236:H242" si="126">H235</f>
        <v>C6</v>
      </c>
      <c r="I236" s="72">
        <f t="shared" ref="I236:I238" si="127">I235</f>
        <v>1</v>
      </c>
      <c r="J236" s="37" t="s">
        <v>32</v>
      </c>
      <c r="K236" s="37">
        <v>21</v>
      </c>
      <c r="L236" s="17">
        <v>1.65</v>
      </c>
      <c r="M236" s="19">
        <v>4.96</v>
      </c>
      <c r="N236" s="18">
        <f t="shared" si="107"/>
        <v>3.31</v>
      </c>
      <c r="O236" s="20" t="str">
        <f t="shared" si="108"/>
        <v>OK</v>
      </c>
    </row>
    <row r="237" spans="1:15" ht="15" x14ac:dyDescent="0.25">
      <c r="A237" s="91"/>
      <c r="B237" s="32">
        <v>3</v>
      </c>
      <c r="C237" s="32">
        <v>1156010</v>
      </c>
      <c r="D237" s="39">
        <v>45796</v>
      </c>
      <c r="E237" s="32" t="s">
        <v>15</v>
      </c>
      <c r="F237" s="32" t="str">
        <f t="shared" si="121"/>
        <v>M22</v>
      </c>
      <c r="G237" s="61" t="str">
        <f t="shared" si="122"/>
        <v>307</v>
      </c>
      <c r="H237" s="72" t="str">
        <f t="shared" si="126"/>
        <v>C6</v>
      </c>
      <c r="I237" s="72">
        <f t="shared" si="127"/>
        <v>1</v>
      </c>
      <c r="J237" s="37" t="s">
        <v>33</v>
      </c>
      <c r="K237" s="37">
        <v>22</v>
      </c>
      <c r="L237" s="17">
        <v>1.48</v>
      </c>
      <c r="M237" s="19">
        <v>4.83</v>
      </c>
      <c r="N237" s="18">
        <f t="shared" si="107"/>
        <v>3.35</v>
      </c>
      <c r="O237" s="20" t="str">
        <f t="shared" si="108"/>
        <v>OK</v>
      </c>
    </row>
    <row r="238" spans="1:15" ht="15" x14ac:dyDescent="0.25">
      <c r="A238" s="91"/>
      <c r="B238" s="32">
        <v>3</v>
      </c>
      <c r="C238" s="32">
        <v>1156010</v>
      </c>
      <c r="D238" s="39">
        <v>45796</v>
      </c>
      <c r="E238" s="32" t="s">
        <v>15</v>
      </c>
      <c r="F238" s="32" t="str">
        <f t="shared" si="121"/>
        <v>M22</v>
      </c>
      <c r="G238" s="61" t="str">
        <f t="shared" si="122"/>
        <v>307</v>
      </c>
      <c r="H238" s="72" t="str">
        <f t="shared" si="126"/>
        <v>C6</v>
      </c>
      <c r="I238" s="72">
        <f t="shared" si="127"/>
        <v>1</v>
      </c>
      <c r="J238" s="37" t="s">
        <v>34</v>
      </c>
      <c r="K238" s="37">
        <v>22</v>
      </c>
      <c r="L238" s="17">
        <v>0.57999999999999996</v>
      </c>
      <c r="M238" s="19">
        <v>4.72</v>
      </c>
      <c r="N238" s="18">
        <f t="shared" si="107"/>
        <v>4.1399999999999997</v>
      </c>
      <c r="O238" s="20" t="str">
        <f t="shared" si="108"/>
        <v>OK</v>
      </c>
    </row>
    <row r="239" spans="1:15" ht="15" x14ac:dyDescent="0.25">
      <c r="A239" s="91"/>
      <c r="B239" s="32">
        <v>3</v>
      </c>
      <c r="C239" s="32">
        <v>1156010</v>
      </c>
      <c r="D239" s="39">
        <v>45796</v>
      </c>
      <c r="E239" s="32" t="s">
        <v>15</v>
      </c>
      <c r="F239" s="32" t="str">
        <f t="shared" si="121"/>
        <v>M22</v>
      </c>
      <c r="G239" s="61" t="str">
        <f t="shared" si="122"/>
        <v>307</v>
      </c>
      <c r="H239" s="72" t="str">
        <f t="shared" si="126"/>
        <v>C6</v>
      </c>
      <c r="I239" s="72">
        <v>2</v>
      </c>
      <c r="J239" s="37" t="s">
        <v>35</v>
      </c>
      <c r="K239" s="37">
        <v>23</v>
      </c>
      <c r="L239" s="17">
        <v>0.33</v>
      </c>
      <c r="M239" s="19">
        <v>5.04</v>
      </c>
      <c r="N239" s="18">
        <f t="shared" si="107"/>
        <v>4.71</v>
      </c>
      <c r="O239" s="20" t="str">
        <f t="shared" si="108"/>
        <v>OK</v>
      </c>
    </row>
    <row r="240" spans="1:15" ht="15" x14ac:dyDescent="0.25">
      <c r="A240" s="91"/>
      <c r="B240" s="32">
        <v>3</v>
      </c>
      <c r="C240" s="32">
        <v>1156010</v>
      </c>
      <c r="D240" s="39">
        <v>45796</v>
      </c>
      <c r="E240" s="32" t="s">
        <v>15</v>
      </c>
      <c r="F240" s="32" t="str">
        <f t="shared" si="121"/>
        <v>M22</v>
      </c>
      <c r="G240" s="61" t="str">
        <f t="shared" si="122"/>
        <v>307</v>
      </c>
      <c r="H240" s="72" t="str">
        <f t="shared" si="126"/>
        <v>C6</v>
      </c>
      <c r="I240" s="72">
        <f t="shared" ref="I240:I242" si="128">I239</f>
        <v>2</v>
      </c>
      <c r="J240" s="37" t="s">
        <v>36</v>
      </c>
      <c r="K240" s="37">
        <v>23</v>
      </c>
      <c r="L240" s="17">
        <v>1.02</v>
      </c>
      <c r="M240" s="19">
        <v>4.43</v>
      </c>
      <c r="N240" s="18">
        <f t="shared" si="107"/>
        <v>3.4099999999999997</v>
      </c>
      <c r="O240" s="20" t="str">
        <f t="shared" si="108"/>
        <v>OK</v>
      </c>
    </row>
    <row r="241" spans="1:15" ht="15" x14ac:dyDescent="0.25">
      <c r="A241" s="91"/>
      <c r="B241" s="32">
        <v>3</v>
      </c>
      <c r="C241" s="32">
        <v>1156010</v>
      </c>
      <c r="D241" s="39">
        <v>45796</v>
      </c>
      <c r="E241" s="32" t="s">
        <v>15</v>
      </c>
      <c r="F241" s="32" t="str">
        <f t="shared" si="121"/>
        <v>M22</v>
      </c>
      <c r="G241" s="61" t="str">
        <f t="shared" si="122"/>
        <v>307</v>
      </c>
      <c r="H241" s="72" t="str">
        <f t="shared" si="126"/>
        <v>C6</v>
      </c>
      <c r="I241" s="72">
        <f t="shared" si="128"/>
        <v>2</v>
      </c>
      <c r="J241" s="37" t="s">
        <v>37</v>
      </c>
      <c r="K241" s="37">
        <v>24</v>
      </c>
      <c r="L241" s="17">
        <v>1.19</v>
      </c>
      <c r="M241" s="19">
        <v>4.68</v>
      </c>
      <c r="N241" s="18">
        <f t="shared" si="107"/>
        <v>3.4899999999999998</v>
      </c>
      <c r="O241" s="20" t="str">
        <f t="shared" si="108"/>
        <v>OK</v>
      </c>
    </row>
    <row r="242" spans="1:15" ht="15" x14ac:dyDescent="0.25">
      <c r="A242" s="91"/>
      <c r="B242" s="32">
        <v>3</v>
      </c>
      <c r="C242" s="32">
        <v>1156010</v>
      </c>
      <c r="D242" s="39">
        <v>45796</v>
      </c>
      <c r="E242" s="32" t="s">
        <v>15</v>
      </c>
      <c r="F242" s="32" t="str">
        <f t="shared" si="121"/>
        <v>M22</v>
      </c>
      <c r="G242" s="61" t="str">
        <f t="shared" si="122"/>
        <v>307</v>
      </c>
      <c r="H242" s="72" t="str">
        <f t="shared" si="126"/>
        <v>C6</v>
      </c>
      <c r="I242" s="72">
        <f t="shared" si="128"/>
        <v>2</v>
      </c>
      <c r="J242" s="37" t="s">
        <v>38</v>
      </c>
      <c r="K242" s="37">
        <v>24</v>
      </c>
      <c r="L242" s="17">
        <v>1.66</v>
      </c>
      <c r="M242" s="19">
        <v>4.82</v>
      </c>
      <c r="N242" s="18">
        <f t="shared" si="107"/>
        <v>3.16</v>
      </c>
      <c r="O242" s="20" t="str">
        <f t="shared" si="108"/>
        <v>OK</v>
      </c>
    </row>
    <row r="243" spans="1:15" ht="15" x14ac:dyDescent="0.25">
      <c r="A243" s="91"/>
      <c r="B243" s="32">
        <v>3</v>
      </c>
      <c r="C243" s="32">
        <v>1156010</v>
      </c>
      <c r="D243" s="39">
        <v>45796</v>
      </c>
      <c r="E243" s="32" t="s">
        <v>15</v>
      </c>
      <c r="F243" s="32" t="s">
        <v>44</v>
      </c>
      <c r="G243" s="61" t="s">
        <v>62</v>
      </c>
      <c r="H243" s="72" t="s">
        <v>47</v>
      </c>
      <c r="I243" s="72">
        <v>2</v>
      </c>
      <c r="J243" s="37" t="s">
        <v>31</v>
      </c>
      <c r="K243" s="37">
        <v>25</v>
      </c>
      <c r="L243" s="17">
        <v>1.1000000000000001</v>
      </c>
      <c r="M243" s="19">
        <v>3.49</v>
      </c>
      <c r="N243" s="18">
        <f t="shared" si="107"/>
        <v>2.39</v>
      </c>
      <c r="O243" s="20" t="str">
        <f t="shared" si="108"/>
        <v>OK</v>
      </c>
    </row>
    <row r="244" spans="1:15" ht="15" x14ac:dyDescent="0.25">
      <c r="A244" s="91"/>
      <c r="B244" s="32">
        <v>3</v>
      </c>
      <c r="C244" s="32">
        <v>1156010</v>
      </c>
      <c r="D244" s="39">
        <v>45796</v>
      </c>
      <c r="E244" s="32" t="s">
        <v>15</v>
      </c>
      <c r="F244" s="32" t="str">
        <f t="shared" ref="F244:F258" si="129">F243</f>
        <v>M22</v>
      </c>
      <c r="G244" s="61" t="str">
        <f t="shared" ref="G244:G258" si="130">G243</f>
        <v>306</v>
      </c>
      <c r="H244" s="72" t="str">
        <f t="shared" ref="H244:H250" si="131">H243</f>
        <v>C6</v>
      </c>
      <c r="I244" s="72">
        <f t="shared" ref="I244:I246" si="132">I243</f>
        <v>2</v>
      </c>
      <c r="J244" s="37" t="s">
        <v>32</v>
      </c>
      <c r="K244" s="37">
        <v>25</v>
      </c>
      <c r="L244" s="17">
        <v>0.53</v>
      </c>
      <c r="M244" s="19">
        <v>1.52</v>
      </c>
      <c r="N244" s="18">
        <f t="shared" si="107"/>
        <v>0.99</v>
      </c>
      <c r="O244" s="20" t="str">
        <f t="shared" si="108"/>
        <v>Seguimiento</v>
      </c>
    </row>
    <row r="245" spans="1:15" ht="15" x14ac:dyDescent="0.25">
      <c r="A245" s="91"/>
      <c r="B245" s="32">
        <v>3</v>
      </c>
      <c r="C245" s="32">
        <v>1156010</v>
      </c>
      <c r="D245" s="39">
        <v>45796</v>
      </c>
      <c r="E245" s="32" t="s">
        <v>15</v>
      </c>
      <c r="F245" s="32" t="str">
        <f t="shared" si="129"/>
        <v>M22</v>
      </c>
      <c r="G245" s="61" t="str">
        <f t="shared" si="130"/>
        <v>306</v>
      </c>
      <c r="H245" s="72" t="str">
        <f t="shared" si="131"/>
        <v>C6</v>
      </c>
      <c r="I245" s="72">
        <f t="shared" si="132"/>
        <v>2</v>
      </c>
      <c r="J245" s="37" t="s">
        <v>33</v>
      </c>
      <c r="K245" s="37">
        <v>26</v>
      </c>
      <c r="L245" s="17">
        <v>0.47</v>
      </c>
      <c r="M245" s="19">
        <v>4.95</v>
      </c>
      <c r="N245" s="18">
        <f t="shared" si="107"/>
        <v>4.4800000000000004</v>
      </c>
      <c r="O245" s="20" t="str">
        <f t="shared" si="108"/>
        <v>OK</v>
      </c>
    </row>
    <row r="246" spans="1:15" ht="15" x14ac:dyDescent="0.25">
      <c r="A246" s="91"/>
      <c r="B246" s="32">
        <v>3</v>
      </c>
      <c r="C246" s="32">
        <v>1156010</v>
      </c>
      <c r="D246" s="39">
        <v>45796</v>
      </c>
      <c r="E246" s="32" t="s">
        <v>15</v>
      </c>
      <c r="F246" s="32" t="str">
        <f t="shared" si="129"/>
        <v>M22</v>
      </c>
      <c r="G246" s="61" t="str">
        <f t="shared" si="130"/>
        <v>306</v>
      </c>
      <c r="H246" s="72" t="str">
        <f t="shared" si="131"/>
        <v>C6</v>
      </c>
      <c r="I246" s="72">
        <f t="shared" si="132"/>
        <v>2</v>
      </c>
      <c r="J246" s="37" t="s">
        <v>34</v>
      </c>
      <c r="K246" s="37">
        <v>26</v>
      </c>
      <c r="L246" s="17">
        <v>0.45</v>
      </c>
      <c r="M246" s="19">
        <v>2.2599999999999998</v>
      </c>
      <c r="N246" s="18">
        <f t="shared" si="107"/>
        <v>1.8099999999999998</v>
      </c>
      <c r="O246" s="20" t="str">
        <f t="shared" si="108"/>
        <v>OK</v>
      </c>
    </row>
    <row r="247" spans="1:15" ht="15" x14ac:dyDescent="0.25">
      <c r="A247" s="91"/>
      <c r="B247" s="32">
        <v>3</v>
      </c>
      <c r="C247" s="32">
        <v>1156010</v>
      </c>
      <c r="D247" s="39">
        <v>45796</v>
      </c>
      <c r="E247" s="32" t="s">
        <v>15</v>
      </c>
      <c r="F247" s="32" t="str">
        <f t="shared" si="129"/>
        <v>M22</v>
      </c>
      <c r="G247" s="61" t="str">
        <f t="shared" si="130"/>
        <v>306</v>
      </c>
      <c r="H247" s="72" t="str">
        <f t="shared" si="131"/>
        <v>C6</v>
      </c>
      <c r="I247" s="72">
        <v>1</v>
      </c>
      <c r="J247" s="37" t="s">
        <v>35</v>
      </c>
      <c r="K247" s="37">
        <v>27</v>
      </c>
      <c r="L247" s="17">
        <v>0.25</v>
      </c>
      <c r="M247" s="19">
        <v>1.76</v>
      </c>
      <c r="N247" s="18">
        <f t="shared" si="107"/>
        <v>1.51</v>
      </c>
      <c r="O247" s="20" t="str">
        <f t="shared" si="108"/>
        <v>OK</v>
      </c>
    </row>
    <row r="248" spans="1:15" ht="15" x14ac:dyDescent="0.25">
      <c r="A248" s="91"/>
      <c r="B248" s="32">
        <v>3</v>
      </c>
      <c r="C248" s="32">
        <v>1156010</v>
      </c>
      <c r="D248" s="39">
        <v>45796</v>
      </c>
      <c r="E248" s="32" t="s">
        <v>15</v>
      </c>
      <c r="F248" s="32" t="str">
        <f t="shared" si="129"/>
        <v>M22</v>
      </c>
      <c r="G248" s="61" t="str">
        <f t="shared" si="130"/>
        <v>306</v>
      </c>
      <c r="H248" s="72" t="str">
        <f t="shared" si="131"/>
        <v>C6</v>
      </c>
      <c r="I248" s="72">
        <f t="shared" ref="I248:I250" si="133">I247</f>
        <v>1</v>
      </c>
      <c r="J248" s="37" t="s">
        <v>36</v>
      </c>
      <c r="K248" s="37">
        <v>27</v>
      </c>
      <c r="L248" s="17">
        <v>0.49</v>
      </c>
      <c r="M248" s="19">
        <v>4.9400000000000004</v>
      </c>
      <c r="N248" s="18">
        <f t="shared" si="107"/>
        <v>4.45</v>
      </c>
      <c r="O248" s="20" t="str">
        <f t="shared" si="108"/>
        <v>OK</v>
      </c>
    </row>
    <row r="249" spans="1:15" ht="15" x14ac:dyDescent="0.25">
      <c r="A249" s="91"/>
      <c r="B249" s="32">
        <v>3</v>
      </c>
      <c r="C249" s="32">
        <v>1156010</v>
      </c>
      <c r="D249" s="39">
        <v>45796</v>
      </c>
      <c r="E249" s="32" t="s">
        <v>15</v>
      </c>
      <c r="F249" s="32" t="str">
        <f t="shared" si="129"/>
        <v>M22</v>
      </c>
      <c r="G249" s="61" t="str">
        <f t="shared" si="130"/>
        <v>306</v>
      </c>
      <c r="H249" s="72" t="str">
        <f t="shared" si="131"/>
        <v>C6</v>
      </c>
      <c r="I249" s="72">
        <f t="shared" si="133"/>
        <v>1</v>
      </c>
      <c r="J249" s="37" t="s">
        <v>37</v>
      </c>
      <c r="K249" s="37">
        <v>28</v>
      </c>
      <c r="L249" s="17">
        <v>0.63</v>
      </c>
      <c r="M249" s="19">
        <v>4.8499999999999996</v>
      </c>
      <c r="N249" s="18">
        <f t="shared" si="107"/>
        <v>4.22</v>
      </c>
      <c r="O249" s="20" t="str">
        <f t="shared" si="108"/>
        <v>OK</v>
      </c>
    </row>
    <row r="250" spans="1:15" ht="15" x14ac:dyDescent="0.25">
      <c r="A250" s="91"/>
      <c r="B250" s="32">
        <v>3</v>
      </c>
      <c r="C250" s="32">
        <v>1156010</v>
      </c>
      <c r="D250" s="39">
        <v>45796</v>
      </c>
      <c r="E250" s="32" t="s">
        <v>15</v>
      </c>
      <c r="F250" s="32" t="str">
        <f t="shared" si="129"/>
        <v>M22</v>
      </c>
      <c r="G250" s="61" t="str">
        <f t="shared" si="130"/>
        <v>306</v>
      </c>
      <c r="H250" s="72" t="str">
        <f t="shared" si="131"/>
        <v>C6</v>
      </c>
      <c r="I250" s="72">
        <f t="shared" si="133"/>
        <v>1</v>
      </c>
      <c r="J250" s="37" t="s">
        <v>38</v>
      </c>
      <c r="K250" s="37">
        <v>28</v>
      </c>
      <c r="L250" s="17">
        <v>0.38</v>
      </c>
      <c r="M250" s="19">
        <v>4.72</v>
      </c>
      <c r="N250" s="18">
        <f t="shared" si="107"/>
        <v>4.34</v>
      </c>
      <c r="O250" s="20" t="str">
        <f t="shared" si="108"/>
        <v>OK</v>
      </c>
    </row>
    <row r="251" spans="1:15" ht="15" x14ac:dyDescent="0.25">
      <c r="A251" s="91"/>
      <c r="B251" s="32">
        <v>3</v>
      </c>
      <c r="C251" s="32">
        <v>1156010</v>
      </c>
      <c r="D251" s="39">
        <v>45796</v>
      </c>
      <c r="E251" s="32" t="s">
        <v>15</v>
      </c>
      <c r="F251" s="32" t="str">
        <f t="shared" si="129"/>
        <v>M22</v>
      </c>
      <c r="G251" s="61" t="str">
        <f t="shared" si="130"/>
        <v>306</v>
      </c>
      <c r="H251" s="72" t="s">
        <v>46</v>
      </c>
      <c r="I251" s="72">
        <v>2</v>
      </c>
      <c r="J251" s="37" t="s">
        <v>31</v>
      </c>
      <c r="K251" s="37">
        <v>29</v>
      </c>
      <c r="L251" s="17">
        <v>0.81</v>
      </c>
      <c r="M251" s="19">
        <v>3.93</v>
      </c>
      <c r="N251" s="18">
        <f t="shared" si="107"/>
        <v>3.12</v>
      </c>
      <c r="O251" s="20" t="str">
        <f t="shared" si="108"/>
        <v>OK</v>
      </c>
    </row>
    <row r="252" spans="1:15" ht="15" x14ac:dyDescent="0.25">
      <c r="A252" s="91"/>
      <c r="B252" s="32">
        <v>3</v>
      </c>
      <c r="C252" s="32">
        <v>1156010</v>
      </c>
      <c r="D252" s="39">
        <v>45796</v>
      </c>
      <c r="E252" s="32" t="s">
        <v>15</v>
      </c>
      <c r="F252" s="32" t="str">
        <f t="shared" si="129"/>
        <v>M22</v>
      </c>
      <c r="G252" s="61" t="str">
        <f t="shared" si="130"/>
        <v>306</v>
      </c>
      <c r="H252" s="72" t="str">
        <f t="shared" ref="H252:H258" si="134">H251</f>
        <v>C5</v>
      </c>
      <c r="I252" s="72">
        <f t="shared" ref="I252:I254" si="135">I251</f>
        <v>2</v>
      </c>
      <c r="J252" s="37" t="s">
        <v>32</v>
      </c>
      <c r="K252" s="37">
        <v>29</v>
      </c>
      <c r="L252" s="17">
        <v>0.49</v>
      </c>
      <c r="M252" s="19">
        <v>4.8</v>
      </c>
      <c r="N252" s="18">
        <f t="shared" si="107"/>
        <v>4.3099999999999996</v>
      </c>
      <c r="O252" s="20" t="str">
        <f t="shared" si="108"/>
        <v>OK</v>
      </c>
    </row>
    <row r="253" spans="1:15" ht="15" x14ac:dyDescent="0.25">
      <c r="A253" s="91"/>
      <c r="B253" s="32">
        <v>3</v>
      </c>
      <c r="C253" s="32">
        <v>1156010</v>
      </c>
      <c r="D253" s="39">
        <v>45796</v>
      </c>
      <c r="E253" s="32" t="s">
        <v>15</v>
      </c>
      <c r="F253" s="32" t="str">
        <f t="shared" si="129"/>
        <v>M22</v>
      </c>
      <c r="G253" s="61" t="str">
        <f t="shared" si="130"/>
        <v>306</v>
      </c>
      <c r="H253" s="72" t="str">
        <f t="shared" si="134"/>
        <v>C5</v>
      </c>
      <c r="I253" s="72">
        <f t="shared" si="135"/>
        <v>2</v>
      </c>
      <c r="J253" s="37" t="s">
        <v>33</v>
      </c>
      <c r="K253" s="37">
        <v>30</v>
      </c>
      <c r="L253" s="17">
        <v>0.27</v>
      </c>
      <c r="M253" s="19">
        <v>5.0599999999999996</v>
      </c>
      <c r="N253" s="18">
        <f t="shared" si="107"/>
        <v>4.7899999999999991</v>
      </c>
      <c r="O253" s="20" t="str">
        <f t="shared" si="108"/>
        <v>OK</v>
      </c>
    </row>
    <row r="254" spans="1:15" ht="15" x14ac:dyDescent="0.25">
      <c r="A254" s="91"/>
      <c r="B254" s="32">
        <v>3</v>
      </c>
      <c r="C254" s="32">
        <v>1156010</v>
      </c>
      <c r="D254" s="39">
        <v>45796</v>
      </c>
      <c r="E254" s="32" t="s">
        <v>15</v>
      </c>
      <c r="F254" s="32" t="str">
        <f t="shared" si="129"/>
        <v>M22</v>
      </c>
      <c r="G254" s="61" t="str">
        <f t="shared" si="130"/>
        <v>306</v>
      </c>
      <c r="H254" s="72" t="str">
        <f t="shared" si="134"/>
        <v>C5</v>
      </c>
      <c r="I254" s="72">
        <f t="shared" si="135"/>
        <v>2</v>
      </c>
      <c r="J254" s="37" t="s">
        <v>34</v>
      </c>
      <c r="K254" s="37">
        <v>30</v>
      </c>
      <c r="L254" s="17">
        <v>0.3</v>
      </c>
      <c r="M254" s="19">
        <v>3.96</v>
      </c>
      <c r="N254" s="18">
        <f t="shared" si="107"/>
        <v>3.66</v>
      </c>
      <c r="O254" s="20" t="str">
        <f t="shared" si="108"/>
        <v>OK</v>
      </c>
    </row>
    <row r="255" spans="1:15" ht="15" x14ac:dyDescent="0.25">
      <c r="A255" s="91"/>
      <c r="B255" s="32">
        <v>3</v>
      </c>
      <c r="C255" s="32">
        <v>1156010</v>
      </c>
      <c r="D255" s="39">
        <v>45796</v>
      </c>
      <c r="E255" s="32" t="s">
        <v>15</v>
      </c>
      <c r="F255" s="32" t="str">
        <f t="shared" si="129"/>
        <v>M22</v>
      </c>
      <c r="G255" s="61" t="str">
        <f t="shared" si="130"/>
        <v>306</v>
      </c>
      <c r="H255" s="72" t="str">
        <f t="shared" si="134"/>
        <v>C5</v>
      </c>
      <c r="I255" s="72">
        <v>1</v>
      </c>
      <c r="J255" s="37" t="s">
        <v>35</v>
      </c>
      <c r="K255" s="37">
        <v>31</v>
      </c>
      <c r="L255" s="17">
        <v>0.79</v>
      </c>
      <c r="M255" s="19">
        <v>1.63</v>
      </c>
      <c r="N255" s="18">
        <f t="shared" si="107"/>
        <v>0.83999999999999986</v>
      </c>
      <c r="O255" s="20" t="str">
        <f t="shared" si="108"/>
        <v>Seguimiento</v>
      </c>
    </row>
    <row r="256" spans="1:15" ht="15" x14ac:dyDescent="0.25">
      <c r="A256" s="91"/>
      <c r="B256" s="32">
        <v>3</v>
      </c>
      <c r="C256" s="32">
        <v>1156010</v>
      </c>
      <c r="D256" s="39">
        <v>45796</v>
      </c>
      <c r="E256" s="32" t="s">
        <v>15</v>
      </c>
      <c r="F256" s="32" t="str">
        <f t="shared" si="129"/>
        <v>M22</v>
      </c>
      <c r="G256" s="61" t="str">
        <f t="shared" si="130"/>
        <v>306</v>
      </c>
      <c r="H256" s="72" t="str">
        <f t="shared" si="134"/>
        <v>C5</v>
      </c>
      <c r="I256" s="72">
        <f t="shared" ref="I256:I258" si="136">I255</f>
        <v>1</v>
      </c>
      <c r="J256" s="37" t="s">
        <v>36</v>
      </c>
      <c r="K256" s="37">
        <v>31</v>
      </c>
      <c r="L256" s="17">
        <v>0.66</v>
      </c>
      <c r="M256" s="19">
        <v>4.96</v>
      </c>
      <c r="N256" s="18">
        <f t="shared" si="107"/>
        <v>4.3</v>
      </c>
      <c r="O256" s="20" t="str">
        <f t="shared" si="108"/>
        <v>OK</v>
      </c>
    </row>
    <row r="257" spans="1:15" ht="15" x14ac:dyDescent="0.25">
      <c r="A257" s="91"/>
      <c r="B257" s="32">
        <v>3</v>
      </c>
      <c r="C257" s="32">
        <v>1156010</v>
      </c>
      <c r="D257" s="39">
        <v>45796</v>
      </c>
      <c r="E257" s="32" t="s">
        <v>15</v>
      </c>
      <c r="F257" s="32" t="str">
        <f t="shared" si="129"/>
        <v>M22</v>
      </c>
      <c r="G257" s="61" t="str">
        <f t="shared" si="130"/>
        <v>306</v>
      </c>
      <c r="H257" s="72" t="str">
        <f t="shared" si="134"/>
        <v>C5</v>
      </c>
      <c r="I257" s="72">
        <f t="shared" si="136"/>
        <v>1</v>
      </c>
      <c r="J257" s="37" t="s">
        <v>37</v>
      </c>
      <c r="K257" s="37">
        <v>32</v>
      </c>
      <c r="L257" s="17">
        <v>0.37</v>
      </c>
      <c r="M257" s="19">
        <v>4.93</v>
      </c>
      <c r="N257" s="18">
        <f t="shared" si="107"/>
        <v>4.5599999999999996</v>
      </c>
      <c r="O257" s="20" t="str">
        <f t="shared" si="108"/>
        <v>OK</v>
      </c>
    </row>
    <row r="258" spans="1:15" ht="15" x14ac:dyDescent="0.25">
      <c r="A258" s="91"/>
      <c r="B258" s="32">
        <v>3</v>
      </c>
      <c r="C258" s="32">
        <v>1156010</v>
      </c>
      <c r="D258" s="39">
        <v>45796</v>
      </c>
      <c r="E258" s="32" t="s">
        <v>15</v>
      </c>
      <c r="F258" s="32" t="str">
        <f t="shared" si="129"/>
        <v>M22</v>
      </c>
      <c r="G258" s="61" t="str">
        <f t="shared" si="130"/>
        <v>306</v>
      </c>
      <c r="H258" s="72" t="str">
        <f t="shared" si="134"/>
        <v>C5</v>
      </c>
      <c r="I258" s="72">
        <f t="shared" si="136"/>
        <v>1</v>
      </c>
      <c r="J258" s="37" t="s">
        <v>38</v>
      </c>
      <c r="K258" s="37">
        <v>32</v>
      </c>
      <c r="L258" s="17">
        <v>0.57999999999999996</v>
      </c>
      <c r="M258" s="19">
        <v>4.1900000000000004</v>
      </c>
      <c r="N258" s="18">
        <f t="shared" si="107"/>
        <v>3.6100000000000003</v>
      </c>
      <c r="O258" s="20" t="str">
        <f t="shared" si="108"/>
        <v>OK</v>
      </c>
    </row>
    <row r="259" spans="1:15" ht="15" x14ac:dyDescent="0.25">
      <c r="A259" s="91"/>
      <c r="B259" s="32">
        <v>3</v>
      </c>
      <c r="C259" s="32">
        <v>1156010</v>
      </c>
      <c r="D259" s="39">
        <v>45796</v>
      </c>
      <c r="E259" s="32" t="s">
        <v>15</v>
      </c>
      <c r="F259" s="32" t="s">
        <v>40</v>
      </c>
      <c r="G259" s="61" t="s">
        <v>63</v>
      </c>
      <c r="H259" s="72" t="s">
        <v>43</v>
      </c>
      <c r="I259" s="72">
        <v>2</v>
      </c>
      <c r="J259" s="37" t="s">
        <v>31</v>
      </c>
      <c r="K259" s="37">
        <v>33</v>
      </c>
      <c r="L259" s="17">
        <v>0.2</v>
      </c>
      <c r="M259" s="19">
        <v>3.19</v>
      </c>
      <c r="N259" s="18">
        <f t="shared" si="107"/>
        <v>2.9899999999999998</v>
      </c>
      <c r="O259" s="20" t="str">
        <f t="shared" si="108"/>
        <v>OK</v>
      </c>
    </row>
    <row r="260" spans="1:15" ht="15" x14ac:dyDescent="0.25">
      <c r="A260" s="91"/>
      <c r="B260" s="32">
        <v>3</v>
      </c>
      <c r="C260" s="32">
        <v>1156010</v>
      </c>
      <c r="D260" s="39">
        <v>45796</v>
      </c>
      <c r="E260" s="32" t="s">
        <v>15</v>
      </c>
      <c r="F260" s="32" t="str">
        <f t="shared" ref="F260:F274" si="137">F259</f>
        <v>M21</v>
      </c>
      <c r="G260" s="61" t="str">
        <f t="shared" ref="G260:G274" si="138">G259</f>
        <v>012</v>
      </c>
      <c r="H260" s="72" t="str">
        <f t="shared" ref="H260:H266" si="139">H259</f>
        <v>C4</v>
      </c>
      <c r="I260" s="72">
        <f t="shared" ref="I260:I262" si="140">I259</f>
        <v>2</v>
      </c>
      <c r="J260" s="37" t="s">
        <v>32</v>
      </c>
      <c r="K260" s="37">
        <v>33</v>
      </c>
      <c r="L260" s="17">
        <v>0.47</v>
      </c>
      <c r="M260" s="19">
        <v>4.28</v>
      </c>
      <c r="N260" s="18">
        <f t="shared" ref="N260:N290" si="141">+M260-L260</f>
        <v>3.8100000000000005</v>
      </c>
      <c r="O260" s="20" t="str">
        <f t="shared" ref="O260:O323" si="142">IF(N260&lt;=0,"Critico",IF(N260&lt;=0.2,"Cambio",IF(N260&lt;=1,"Seguimiento",IF(L260&gt;=1.7,"Reperfilado","OK"))))</f>
        <v>OK</v>
      </c>
    </row>
    <row r="261" spans="1:15" ht="15" x14ac:dyDescent="0.25">
      <c r="A261" s="91"/>
      <c r="B261" s="32">
        <v>3</v>
      </c>
      <c r="C261" s="32">
        <v>1156010</v>
      </c>
      <c r="D261" s="39">
        <v>45796</v>
      </c>
      <c r="E261" s="32" t="s">
        <v>15</v>
      </c>
      <c r="F261" s="32" t="str">
        <f t="shared" si="137"/>
        <v>M21</v>
      </c>
      <c r="G261" s="61" t="str">
        <f t="shared" si="138"/>
        <v>012</v>
      </c>
      <c r="H261" s="72" t="str">
        <f t="shared" si="139"/>
        <v>C4</v>
      </c>
      <c r="I261" s="72">
        <f t="shared" si="140"/>
        <v>2</v>
      </c>
      <c r="J261" s="37" t="s">
        <v>33</v>
      </c>
      <c r="K261" s="37">
        <v>34</v>
      </c>
      <c r="L261" s="17">
        <v>0.75</v>
      </c>
      <c r="M261" s="19">
        <v>3.8</v>
      </c>
      <c r="N261" s="18">
        <f t="shared" si="141"/>
        <v>3.05</v>
      </c>
      <c r="O261" s="20" t="str">
        <f t="shared" si="142"/>
        <v>OK</v>
      </c>
    </row>
    <row r="262" spans="1:15" ht="15" x14ac:dyDescent="0.25">
      <c r="A262" s="91"/>
      <c r="B262" s="32">
        <v>3</v>
      </c>
      <c r="C262" s="32">
        <v>1156010</v>
      </c>
      <c r="D262" s="39">
        <v>45796</v>
      </c>
      <c r="E262" s="32" t="s">
        <v>15</v>
      </c>
      <c r="F262" s="32" t="str">
        <f t="shared" si="137"/>
        <v>M21</v>
      </c>
      <c r="G262" s="61" t="str">
        <f t="shared" si="138"/>
        <v>012</v>
      </c>
      <c r="H262" s="72" t="str">
        <f t="shared" si="139"/>
        <v>C4</v>
      </c>
      <c r="I262" s="72">
        <f t="shared" si="140"/>
        <v>2</v>
      </c>
      <c r="J262" s="37" t="s">
        <v>34</v>
      </c>
      <c r="K262" s="37">
        <v>34</v>
      </c>
      <c r="L262" s="17">
        <v>0.17</v>
      </c>
      <c r="M262" s="19">
        <v>2.39</v>
      </c>
      <c r="N262" s="18">
        <f t="shared" si="141"/>
        <v>2.2200000000000002</v>
      </c>
      <c r="O262" s="20" t="str">
        <f t="shared" si="142"/>
        <v>OK</v>
      </c>
    </row>
    <row r="263" spans="1:15" ht="15" x14ac:dyDescent="0.25">
      <c r="A263" s="91"/>
      <c r="B263" s="32">
        <v>3</v>
      </c>
      <c r="C263" s="32">
        <v>1156010</v>
      </c>
      <c r="D263" s="39">
        <v>45796</v>
      </c>
      <c r="E263" s="32" t="s">
        <v>15</v>
      </c>
      <c r="F263" s="32" t="str">
        <f t="shared" si="137"/>
        <v>M21</v>
      </c>
      <c r="G263" s="61" t="str">
        <f t="shared" si="138"/>
        <v>012</v>
      </c>
      <c r="H263" s="72" t="str">
        <f t="shared" si="139"/>
        <v>C4</v>
      </c>
      <c r="I263" s="72">
        <v>1</v>
      </c>
      <c r="J263" s="37" t="s">
        <v>35</v>
      </c>
      <c r="K263" s="37">
        <v>35</v>
      </c>
      <c r="L263" s="17">
        <v>0.89</v>
      </c>
      <c r="M263" s="19">
        <v>3.26</v>
      </c>
      <c r="N263" s="18">
        <f t="shared" si="141"/>
        <v>2.3699999999999997</v>
      </c>
      <c r="O263" s="20" t="str">
        <f t="shared" si="142"/>
        <v>OK</v>
      </c>
    </row>
    <row r="264" spans="1:15" ht="15" x14ac:dyDescent="0.25">
      <c r="A264" s="91"/>
      <c r="B264" s="32">
        <v>3</v>
      </c>
      <c r="C264" s="32">
        <v>1156010</v>
      </c>
      <c r="D264" s="39">
        <v>45796</v>
      </c>
      <c r="E264" s="32" t="s">
        <v>15</v>
      </c>
      <c r="F264" s="32" t="str">
        <f t="shared" si="137"/>
        <v>M21</v>
      </c>
      <c r="G264" s="61" t="str">
        <f t="shared" si="138"/>
        <v>012</v>
      </c>
      <c r="H264" s="72" t="str">
        <f t="shared" si="139"/>
        <v>C4</v>
      </c>
      <c r="I264" s="72">
        <f t="shared" ref="I264:I266" si="143">I263</f>
        <v>1</v>
      </c>
      <c r="J264" s="37" t="s">
        <v>36</v>
      </c>
      <c r="K264" s="37">
        <v>35</v>
      </c>
      <c r="L264" s="17">
        <v>0.38</v>
      </c>
      <c r="M264" s="19">
        <v>3.59</v>
      </c>
      <c r="N264" s="18">
        <f t="shared" si="141"/>
        <v>3.21</v>
      </c>
      <c r="O264" s="20" t="str">
        <f t="shared" si="142"/>
        <v>OK</v>
      </c>
    </row>
    <row r="265" spans="1:15" ht="15" x14ac:dyDescent="0.25">
      <c r="A265" s="91"/>
      <c r="B265" s="32">
        <v>3</v>
      </c>
      <c r="C265" s="32">
        <v>1156010</v>
      </c>
      <c r="D265" s="39">
        <v>45796</v>
      </c>
      <c r="E265" s="32" t="s">
        <v>15</v>
      </c>
      <c r="F265" s="32" t="str">
        <f t="shared" si="137"/>
        <v>M21</v>
      </c>
      <c r="G265" s="61" t="str">
        <f t="shared" si="138"/>
        <v>012</v>
      </c>
      <c r="H265" s="72" t="str">
        <f t="shared" si="139"/>
        <v>C4</v>
      </c>
      <c r="I265" s="72">
        <f t="shared" si="143"/>
        <v>1</v>
      </c>
      <c r="J265" s="37" t="s">
        <v>37</v>
      </c>
      <c r="K265" s="37">
        <v>36</v>
      </c>
      <c r="L265" s="17">
        <v>0.82</v>
      </c>
      <c r="M265" s="19">
        <v>3.72</v>
      </c>
      <c r="N265" s="18">
        <f t="shared" si="141"/>
        <v>2.9000000000000004</v>
      </c>
      <c r="O265" s="20" t="str">
        <f t="shared" si="142"/>
        <v>OK</v>
      </c>
    </row>
    <row r="266" spans="1:15" ht="15" x14ac:dyDescent="0.25">
      <c r="A266" s="91"/>
      <c r="B266" s="32">
        <v>3</v>
      </c>
      <c r="C266" s="32">
        <v>1156010</v>
      </c>
      <c r="D266" s="39">
        <v>45796</v>
      </c>
      <c r="E266" s="32" t="s">
        <v>15</v>
      </c>
      <c r="F266" s="32" t="str">
        <f t="shared" si="137"/>
        <v>M21</v>
      </c>
      <c r="G266" s="61" t="str">
        <f t="shared" si="138"/>
        <v>012</v>
      </c>
      <c r="H266" s="72" t="str">
        <f t="shared" si="139"/>
        <v>C4</v>
      </c>
      <c r="I266" s="72">
        <f t="shared" si="143"/>
        <v>1</v>
      </c>
      <c r="J266" s="37" t="s">
        <v>38</v>
      </c>
      <c r="K266" s="37">
        <v>36</v>
      </c>
      <c r="L266" s="17">
        <v>0.37</v>
      </c>
      <c r="M266" s="19">
        <v>3.84</v>
      </c>
      <c r="N266" s="18">
        <f t="shared" si="141"/>
        <v>3.4699999999999998</v>
      </c>
      <c r="O266" s="20" t="str">
        <f t="shared" si="142"/>
        <v>OK</v>
      </c>
    </row>
    <row r="267" spans="1:15" ht="15" x14ac:dyDescent="0.25">
      <c r="A267" s="91"/>
      <c r="B267" s="32">
        <v>3</v>
      </c>
      <c r="C267" s="32">
        <v>1156010</v>
      </c>
      <c r="D267" s="39">
        <v>45796</v>
      </c>
      <c r="E267" s="32" t="s">
        <v>15</v>
      </c>
      <c r="F267" s="32" t="str">
        <f t="shared" si="137"/>
        <v>M21</v>
      </c>
      <c r="G267" s="61" t="str">
        <f t="shared" si="138"/>
        <v>012</v>
      </c>
      <c r="H267" s="72" t="s">
        <v>42</v>
      </c>
      <c r="I267" s="72">
        <v>2</v>
      </c>
      <c r="J267" s="37" t="s">
        <v>31</v>
      </c>
      <c r="K267" s="37">
        <v>37</v>
      </c>
      <c r="L267" s="17">
        <v>1.1100000000000001</v>
      </c>
      <c r="M267" s="19">
        <v>3.77</v>
      </c>
      <c r="N267" s="18">
        <f t="shared" si="141"/>
        <v>2.66</v>
      </c>
      <c r="O267" s="20" t="str">
        <f t="shared" si="142"/>
        <v>OK</v>
      </c>
    </row>
    <row r="268" spans="1:15" ht="15" x14ac:dyDescent="0.25">
      <c r="A268" s="91"/>
      <c r="B268" s="32">
        <v>3</v>
      </c>
      <c r="C268" s="32">
        <v>1156010</v>
      </c>
      <c r="D268" s="39">
        <v>45796</v>
      </c>
      <c r="E268" s="32" t="s">
        <v>15</v>
      </c>
      <c r="F268" s="32" t="str">
        <f t="shared" si="137"/>
        <v>M21</v>
      </c>
      <c r="G268" s="61" t="str">
        <f t="shared" si="138"/>
        <v>012</v>
      </c>
      <c r="H268" s="72" t="str">
        <f t="shared" ref="H268:H274" si="144">H267</f>
        <v>C3</v>
      </c>
      <c r="I268" s="72">
        <f t="shared" ref="I268:I270" si="145">I267</f>
        <v>2</v>
      </c>
      <c r="J268" s="37" t="s">
        <v>32</v>
      </c>
      <c r="K268" s="37">
        <v>37</v>
      </c>
      <c r="L268" s="17">
        <v>1.37</v>
      </c>
      <c r="M268" s="19">
        <v>4.13</v>
      </c>
      <c r="N268" s="18">
        <f t="shared" si="141"/>
        <v>2.76</v>
      </c>
      <c r="O268" s="20" t="str">
        <f t="shared" si="142"/>
        <v>OK</v>
      </c>
    </row>
    <row r="269" spans="1:15" ht="15" x14ac:dyDescent="0.25">
      <c r="A269" s="91"/>
      <c r="B269" s="32">
        <v>3</v>
      </c>
      <c r="C269" s="32">
        <v>1156010</v>
      </c>
      <c r="D269" s="39">
        <v>45796</v>
      </c>
      <c r="E269" s="32" t="s">
        <v>15</v>
      </c>
      <c r="F269" s="32" t="str">
        <f t="shared" si="137"/>
        <v>M21</v>
      </c>
      <c r="G269" s="61" t="str">
        <f t="shared" si="138"/>
        <v>012</v>
      </c>
      <c r="H269" s="72" t="str">
        <f t="shared" si="144"/>
        <v>C3</v>
      </c>
      <c r="I269" s="72">
        <f t="shared" si="145"/>
        <v>2</v>
      </c>
      <c r="J269" s="37" t="s">
        <v>33</v>
      </c>
      <c r="K269" s="37">
        <v>38</v>
      </c>
      <c r="L269" s="17">
        <v>1.0900000000000001</v>
      </c>
      <c r="M269" s="19">
        <v>4.68</v>
      </c>
      <c r="N269" s="18">
        <f t="shared" si="141"/>
        <v>3.59</v>
      </c>
      <c r="O269" s="20" t="str">
        <f t="shared" si="142"/>
        <v>OK</v>
      </c>
    </row>
    <row r="270" spans="1:15" ht="15" x14ac:dyDescent="0.25">
      <c r="A270" s="91"/>
      <c r="B270" s="32">
        <v>3</v>
      </c>
      <c r="C270" s="32">
        <v>1156010</v>
      </c>
      <c r="D270" s="39">
        <v>45796</v>
      </c>
      <c r="E270" s="32" t="s">
        <v>15</v>
      </c>
      <c r="F270" s="32" t="str">
        <f t="shared" si="137"/>
        <v>M21</v>
      </c>
      <c r="G270" s="61" t="str">
        <f t="shared" si="138"/>
        <v>012</v>
      </c>
      <c r="H270" s="72" t="str">
        <f t="shared" si="144"/>
        <v>C3</v>
      </c>
      <c r="I270" s="72">
        <f t="shared" si="145"/>
        <v>2</v>
      </c>
      <c r="J270" s="37" t="s">
        <v>34</v>
      </c>
      <c r="K270" s="37">
        <v>38</v>
      </c>
      <c r="L270" s="17">
        <v>0.38</v>
      </c>
      <c r="M270" s="19">
        <v>3</v>
      </c>
      <c r="N270" s="18">
        <f t="shared" si="141"/>
        <v>2.62</v>
      </c>
      <c r="O270" s="20" t="str">
        <f t="shared" si="142"/>
        <v>OK</v>
      </c>
    </row>
    <row r="271" spans="1:15" ht="15" x14ac:dyDescent="0.25">
      <c r="A271" s="91"/>
      <c r="B271" s="32">
        <v>3</v>
      </c>
      <c r="C271" s="32">
        <v>1156010</v>
      </c>
      <c r="D271" s="39">
        <v>45796</v>
      </c>
      <c r="E271" s="32" t="s">
        <v>15</v>
      </c>
      <c r="F271" s="32" t="str">
        <f t="shared" si="137"/>
        <v>M21</v>
      </c>
      <c r="G271" s="61" t="str">
        <f t="shared" si="138"/>
        <v>012</v>
      </c>
      <c r="H271" s="72" t="str">
        <f t="shared" si="144"/>
        <v>C3</v>
      </c>
      <c r="I271" s="72">
        <v>1</v>
      </c>
      <c r="J271" s="37" t="s">
        <v>35</v>
      </c>
      <c r="K271" s="37">
        <v>39</v>
      </c>
      <c r="L271" s="17">
        <v>0.82</v>
      </c>
      <c r="M271" s="19">
        <v>3.89</v>
      </c>
      <c r="N271" s="18">
        <f t="shared" si="141"/>
        <v>3.0700000000000003</v>
      </c>
      <c r="O271" s="20" t="str">
        <f t="shared" si="142"/>
        <v>OK</v>
      </c>
    </row>
    <row r="272" spans="1:15" ht="15" x14ac:dyDescent="0.25">
      <c r="A272" s="91"/>
      <c r="B272" s="32">
        <v>3</v>
      </c>
      <c r="C272" s="32">
        <v>1156010</v>
      </c>
      <c r="D272" s="39">
        <v>45796</v>
      </c>
      <c r="E272" s="32" t="s">
        <v>15</v>
      </c>
      <c r="F272" s="32" t="str">
        <f t="shared" si="137"/>
        <v>M21</v>
      </c>
      <c r="G272" s="61" t="str">
        <f t="shared" si="138"/>
        <v>012</v>
      </c>
      <c r="H272" s="72" t="str">
        <f t="shared" si="144"/>
        <v>C3</v>
      </c>
      <c r="I272" s="72">
        <f t="shared" ref="I272:I274" si="146">I271</f>
        <v>1</v>
      </c>
      <c r="J272" s="37" t="s">
        <v>36</v>
      </c>
      <c r="K272" s="37">
        <v>39</v>
      </c>
      <c r="L272" s="17">
        <v>0.24</v>
      </c>
      <c r="M272" s="19">
        <v>4.72</v>
      </c>
      <c r="N272" s="18">
        <f t="shared" si="141"/>
        <v>4.4799999999999995</v>
      </c>
      <c r="O272" s="20" t="str">
        <f t="shared" si="142"/>
        <v>OK</v>
      </c>
    </row>
    <row r="273" spans="1:15" ht="15" x14ac:dyDescent="0.25">
      <c r="A273" s="91"/>
      <c r="B273" s="32">
        <v>3</v>
      </c>
      <c r="C273" s="32">
        <v>1156010</v>
      </c>
      <c r="D273" s="39">
        <v>45796</v>
      </c>
      <c r="E273" s="32" t="s">
        <v>15</v>
      </c>
      <c r="F273" s="32" t="str">
        <f t="shared" si="137"/>
        <v>M21</v>
      </c>
      <c r="G273" s="61" t="str">
        <f t="shared" si="138"/>
        <v>012</v>
      </c>
      <c r="H273" s="72" t="str">
        <f t="shared" si="144"/>
        <v>C3</v>
      </c>
      <c r="I273" s="72">
        <f t="shared" si="146"/>
        <v>1</v>
      </c>
      <c r="J273" s="37" t="s">
        <v>37</v>
      </c>
      <c r="K273" s="37">
        <v>40</v>
      </c>
      <c r="L273" s="17">
        <v>0.35</v>
      </c>
      <c r="M273" s="19">
        <v>3.31</v>
      </c>
      <c r="N273" s="18">
        <f t="shared" si="141"/>
        <v>2.96</v>
      </c>
      <c r="O273" s="20" t="str">
        <f t="shared" si="142"/>
        <v>OK</v>
      </c>
    </row>
    <row r="274" spans="1:15" ht="15" x14ac:dyDescent="0.25">
      <c r="A274" s="91"/>
      <c r="B274" s="32">
        <v>3</v>
      </c>
      <c r="C274" s="32">
        <v>1156010</v>
      </c>
      <c r="D274" s="39">
        <v>45796</v>
      </c>
      <c r="E274" s="32" t="s">
        <v>15</v>
      </c>
      <c r="F274" s="32" t="str">
        <f t="shared" si="137"/>
        <v>M21</v>
      </c>
      <c r="G274" s="61" t="str">
        <f t="shared" si="138"/>
        <v>012</v>
      </c>
      <c r="H274" s="72" t="str">
        <f t="shared" si="144"/>
        <v>C3</v>
      </c>
      <c r="I274" s="72">
        <f t="shared" si="146"/>
        <v>1</v>
      </c>
      <c r="J274" s="37" t="s">
        <v>38</v>
      </c>
      <c r="K274" s="37">
        <v>40</v>
      </c>
      <c r="L274" s="17">
        <v>0.95</v>
      </c>
      <c r="M274" s="19">
        <v>4.21</v>
      </c>
      <c r="N274" s="18">
        <f t="shared" si="141"/>
        <v>3.26</v>
      </c>
      <c r="O274" s="20" t="str">
        <f t="shared" si="142"/>
        <v>OK</v>
      </c>
    </row>
    <row r="275" spans="1:15" ht="15" x14ac:dyDescent="0.25">
      <c r="A275" s="91"/>
      <c r="B275" s="32">
        <v>3</v>
      </c>
      <c r="C275" s="32">
        <v>1156010</v>
      </c>
      <c r="D275" s="39">
        <v>45796</v>
      </c>
      <c r="E275" s="32" t="s">
        <v>15</v>
      </c>
      <c r="F275" s="32" t="s">
        <v>28</v>
      </c>
      <c r="G275" s="61" t="s">
        <v>64</v>
      </c>
      <c r="H275" s="72" t="s">
        <v>39</v>
      </c>
      <c r="I275" s="72">
        <v>2</v>
      </c>
      <c r="J275" s="37" t="s">
        <v>31</v>
      </c>
      <c r="K275" s="37">
        <v>41</v>
      </c>
      <c r="L275" s="17">
        <v>0.16</v>
      </c>
      <c r="M275" s="19">
        <v>0.95</v>
      </c>
      <c r="N275" s="18">
        <f t="shared" si="141"/>
        <v>0.78999999999999992</v>
      </c>
      <c r="O275" s="20" t="str">
        <f t="shared" si="142"/>
        <v>Seguimiento</v>
      </c>
    </row>
    <row r="276" spans="1:15" ht="15" x14ac:dyDescent="0.25">
      <c r="A276" s="91"/>
      <c r="B276" s="32">
        <v>3</v>
      </c>
      <c r="C276" s="32">
        <v>1156010</v>
      </c>
      <c r="D276" s="39">
        <v>45796</v>
      </c>
      <c r="E276" s="32" t="s">
        <v>15</v>
      </c>
      <c r="F276" s="32" t="str">
        <f t="shared" ref="F276:F290" si="147">F275</f>
        <v>M20</v>
      </c>
      <c r="G276" s="61" t="str">
        <f t="shared" ref="G276:G290" si="148">G275</f>
        <v>011</v>
      </c>
      <c r="H276" s="72" t="str">
        <f t="shared" ref="H276:H282" si="149">H275</f>
        <v>C2</v>
      </c>
      <c r="I276" s="72">
        <f t="shared" ref="I276:I278" si="150">I275</f>
        <v>2</v>
      </c>
      <c r="J276" s="37" t="s">
        <v>32</v>
      </c>
      <c r="K276" s="37">
        <v>41</v>
      </c>
      <c r="L276" s="17">
        <v>0.1</v>
      </c>
      <c r="M276" s="19">
        <v>2.34</v>
      </c>
      <c r="N276" s="18">
        <f t="shared" si="141"/>
        <v>2.2399999999999998</v>
      </c>
      <c r="O276" s="20" t="str">
        <f t="shared" si="142"/>
        <v>OK</v>
      </c>
    </row>
    <row r="277" spans="1:15" ht="15" x14ac:dyDescent="0.25">
      <c r="A277" s="91"/>
      <c r="B277" s="32">
        <v>3</v>
      </c>
      <c r="C277" s="32">
        <v>1156010</v>
      </c>
      <c r="D277" s="39">
        <v>45796</v>
      </c>
      <c r="E277" s="32" t="s">
        <v>15</v>
      </c>
      <c r="F277" s="32" t="str">
        <f t="shared" si="147"/>
        <v>M20</v>
      </c>
      <c r="G277" s="61" t="str">
        <f t="shared" si="148"/>
        <v>011</v>
      </c>
      <c r="H277" s="72" t="str">
        <f t="shared" si="149"/>
        <v>C2</v>
      </c>
      <c r="I277" s="72">
        <f t="shared" si="150"/>
        <v>2</v>
      </c>
      <c r="J277" s="37" t="s">
        <v>33</v>
      </c>
      <c r="K277" s="37">
        <v>42</v>
      </c>
      <c r="L277" s="17">
        <v>0.49</v>
      </c>
      <c r="M277" s="19">
        <v>3.86</v>
      </c>
      <c r="N277" s="18">
        <f t="shared" si="141"/>
        <v>3.37</v>
      </c>
      <c r="O277" s="20" t="str">
        <f t="shared" si="142"/>
        <v>OK</v>
      </c>
    </row>
    <row r="278" spans="1:15" ht="15" x14ac:dyDescent="0.25">
      <c r="A278" s="91"/>
      <c r="B278" s="32">
        <v>3</v>
      </c>
      <c r="C278" s="32">
        <v>1156010</v>
      </c>
      <c r="D278" s="39">
        <v>45796</v>
      </c>
      <c r="E278" s="32" t="s">
        <v>15</v>
      </c>
      <c r="F278" s="32" t="str">
        <f t="shared" si="147"/>
        <v>M20</v>
      </c>
      <c r="G278" s="61" t="str">
        <f t="shared" si="148"/>
        <v>011</v>
      </c>
      <c r="H278" s="72" t="str">
        <f t="shared" si="149"/>
        <v>C2</v>
      </c>
      <c r="I278" s="72">
        <f t="shared" si="150"/>
        <v>2</v>
      </c>
      <c r="J278" s="37" t="s">
        <v>34</v>
      </c>
      <c r="K278" s="37">
        <v>42</v>
      </c>
      <c r="L278" s="17">
        <v>0.74</v>
      </c>
      <c r="M278" s="19">
        <v>3.84</v>
      </c>
      <c r="N278" s="18">
        <f t="shared" si="141"/>
        <v>3.0999999999999996</v>
      </c>
      <c r="O278" s="20" t="str">
        <f t="shared" si="142"/>
        <v>OK</v>
      </c>
    </row>
    <row r="279" spans="1:15" ht="15" x14ac:dyDescent="0.25">
      <c r="A279" s="91"/>
      <c r="B279" s="32">
        <v>3</v>
      </c>
      <c r="C279" s="32">
        <v>1156010</v>
      </c>
      <c r="D279" s="39">
        <v>45796</v>
      </c>
      <c r="E279" s="32" t="s">
        <v>15</v>
      </c>
      <c r="F279" s="32" t="str">
        <f t="shared" si="147"/>
        <v>M20</v>
      </c>
      <c r="G279" s="61" t="str">
        <f t="shared" si="148"/>
        <v>011</v>
      </c>
      <c r="H279" s="72" t="str">
        <f t="shared" si="149"/>
        <v>C2</v>
      </c>
      <c r="I279" s="72">
        <v>1</v>
      </c>
      <c r="J279" s="37" t="s">
        <v>35</v>
      </c>
      <c r="K279" s="37">
        <v>43</v>
      </c>
      <c r="L279" s="17">
        <v>0.13</v>
      </c>
      <c r="M279" s="19">
        <v>1.3</v>
      </c>
      <c r="N279" s="18">
        <f t="shared" si="141"/>
        <v>1.17</v>
      </c>
      <c r="O279" s="20" t="str">
        <f t="shared" si="142"/>
        <v>OK</v>
      </c>
    </row>
    <row r="280" spans="1:15" ht="15" x14ac:dyDescent="0.25">
      <c r="A280" s="91"/>
      <c r="B280" s="32">
        <v>3</v>
      </c>
      <c r="C280" s="32">
        <v>1156010</v>
      </c>
      <c r="D280" s="39">
        <v>45796</v>
      </c>
      <c r="E280" s="32" t="s">
        <v>15</v>
      </c>
      <c r="F280" s="32" t="str">
        <f t="shared" si="147"/>
        <v>M20</v>
      </c>
      <c r="G280" s="61" t="str">
        <f t="shared" si="148"/>
        <v>011</v>
      </c>
      <c r="H280" s="72" t="str">
        <f t="shared" si="149"/>
        <v>C2</v>
      </c>
      <c r="I280" s="72">
        <f t="shared" ref="I280:I282" si="151">I279</f>
        <v>1</v>
      </c>
      <c r="J280" s="37" t="s">
        <v>36</v>
      </c>
      <c r="K280" s="37">
        <v>43</v>
      </c>
      <c r="L280" s="17">
        <v>0.39</v>
      </c>
      <c r="M280" s="19">
        <v>2.23</v>
      </c>
      <c r="N280" s="18">
        <f t="shared" si="141"/>
        <v>1.8399999999999999</v>
      </c>
      <c r="O280" s="20" t="str">
        <f t="shared" si="142"/>
        <v>OK</v>
      </c>
    </row>
    <row r="281" spans="1:15" ht="15" x14ac:dyDescent="0.25">
      <c r="A281" s="91"/>
      <c r="B281" s="32">
        <v>3</v>
      </c>
      <c r="C281" s="32">
        <v>1156010</v>
      </c>
      <c r="D281" s="39">
        <v>45796</v>
      </c>
      <c r="E281" s="32" t="s">
        <v>15</v>
      </c>
      <c r="F281" s="32" t="str">
        <f t="shared" si="147"/>
        <v>M20</v>
      </c>
      <c r="G281" s="61" t="str">
        <f t="shared" si="148"/>
        <v>011</v>
      </c>
      <c r="H281" s="72" t="str">
        <f t="shared" si="149"/>
        <v>C2</v>
      </c>
      <c r="I281" s="72">
        <f t="shared" si="151"/>
        <v>1</v>
      </c>
      <c r="J281" s="37" t="s">
        <v>37</v>
      </c>
      <c r="K281" s="37">
        <v>44</v>
      </c>
      <c r="L281" s="17">
        <v>0.48</v>
      </c>
      <c r="M281" s="19">
        <v>3.27</v>
      </c>
      <c r="N281" s="18">
        <f t="shared" si="141"/>
        <v>2.79</v>
      </c>
      <c r="O281" s="20" t="str">
        <f t="shared" si="142"/>
        <v>OK</v>
      </c>
    </row>
    <row r="282" spans="1:15" ht="15" x14ac:dyDescent="0.25">
      <c r="A282" s="91"/>
      <c r="B282" s="32">
        <v>3</v>
      </c>
      <c r="C282" s="32">
        <v>1156010</v>
      </c>
      <c r="D282" s="39">
        <v>45796</v>
      </c>
      <c r="E282" s="32" t="s">
        <v>15</v>
      </c>
      <c r="F282" s="32" t="str">
        <f t="shared" si="147"/>
        <v>M20</v>
      </c>
      <c r="G282" s="61" t="str">
        <f t="shared" si="148"/>
        <v>011</v>
      </c>
      <c r="H282" s="72" t="str">
        <f t="shared" si="149"/>
        <v>C2</v>
      </c>
      <c r="I282" s="72">
        <f t="shared" si="151"/>
        <v>1</v>
      </c>
      <c r="J282" s="37" t="s">
        <v>38</v>
      </c>
      <c r="K282" s="37">
        <v>44</v>
      </c>
      <c r="L282" s="17">
        <v>0.59</v>
      </c>
      <c r="M282" s="19">
        <v>3.39</v>
      </c>
      <c r="N282" s="18">
        <f t="shared" si="141"/>
        <v>2.8000000000000003</v>
      </c>
      <c r="O282" s="20" t="str">
        <f t="shared" si="142"/>
        <v>OK</v>
      </c>
    </row>
    <row r="283" spans="1:15" ht="15" x14ac:dyDescent="0.25">
      <c r="A283" s="91"/>
      <c r="B283" s="32">
        <v>3</v>
      </c>
      <c r="C283" s="32">
        <v>1156010</v>
      </c>
      <c r="D283" s="39">
        <v>45796</v>
      </c>
      <c r="E283" s="32" t="s">
        <v>15</v>
      </c>
      <c r="F283" s="32" t="str">
        <f t="shared" si="147"/>
        <v>M20</v>
      </c>
      <c r="G283" s="61" t="str">
        <f t="shared" si="148"/>
        <v>011</v>
      </c>
      <c r="H283" s="72" t="s">
        <v>30</v>
      </c>
      <c r="I283" s="72">
        <v>2</v>
      </c>
      <c r="J283" s="37" t="s">
        <v>31</v>
      </c>
      <c r="K283" s="37">
        <v>45</v>
      </c>
      <c r="L283" s="17">
        <v>0.57999999999999996</v>
      </c>
      <c r="M283" s="19">
        <v>4.1100000000000003</v>
      </c>
      <c r="N283" s="18">
        <f t="shared" si="141"/>
        <v>3.5300000000000002</v>
      </c>
      <c r="O283" s="20" t="str">
        <f t="shared" si="142"/>
        <v>OK</v>
      </c>
    </row>
    <row r="284" spans="1:15" ht="15" x14ac:dyDescent="0.25">
      <c r="A284" s="91"/>
      <c r="B284" s="32">
        <v>3</v>
      </c>
      <c r="C284" s="32">
        <v>1156010</v>
      </c>
      <c r="D284" s="39">
        <v>45796</v>
      </c>
      <c r="E284" s="32" t="s">
        <v>15</v>
      </c>
      <c r="F284" s="32" t="str">
        <f t="shared" si="147"/>
        <v>M20</v>
      </c>
      <c r="G284" s="61" t="str">
        <f t="shared" si="148"/>
        <v>011</v>
      </c>
      <c r="H284" s="72" t="str">
        <f t="shared" ref="H284:H290" si="152">H283</f>
        <v>C1</v>
      </c>
      <c r="I284" s="72">
        <f t="shared" ref="I284:I286" si="153">I283</f>
        <v>2</v>
      </c>
      <c r="J284" s="37" t="s">
        <v>32</v>
      </c>
      <c r="K284" s="37">
        <v>45</v>
      </c>
      <c r="L284" s="17">
        <v>0.09</v>
      </c>
      <c r="M284" s="19">
        <v>1.92</v>
      </c>
      <c r="N284" s="18">
        <f t="shared" si="141"/>
        <v>1.8299999999999998</v>
      </c>
      <c r="O284" s="20" t="str">
        <f t="shared" si="142"/>
        <v>OK</v>
      </c>
    </row>
    <row r="285" spans="1:15" ht="15" x14ac:dyDescent="0.25">
      <c r="A285" s="91"/>
      <c r="B285" s="32">
        <v>3</v>
      </c>
      <c r="C285" s="32">
        <v>1156010</v>
      </c>
      <c r="D285" s="39">
        <v>45796</v>
      </c>
      <c r="E285" s="32" t="s">
        <v>15</v>
      </c>
      <c r="F285" s="32" t="str">
        <f t="shared" si="147"/>
        <v>M20</v>
      </c>
      <c r="G285" s="61" t="str">
        <f t="shared" si="148"/>
        <v>011</v>
      </c>
      <c r="H285" s="72" t="str">
        <f t="shared" si="152"/>
        <v>C1</v>
      </c>
      <c r="I285" s="72">
        <f t="shared" si="153"/>
        <v>2</v>
      </c>
      <c r="J285" s="37" t="s">
        <v>33</v>
      </c>
      <c r="K285" s="37">
        <v>46</v>
      </c>
      <c r="L285" s="17">
        <v>0.08</v>
      </c>
      <c r="M285" s="19">
        <v>4.5</v>
      </c>
      <c r="N285" s="18">
        <f t="shared" si="141"/>
        <v>4.42</v>
      </c>
      <c r="O285" s="20" t="str">
        <f t="shared" si="142"/>
        <v>OK</v>
      </c>
    </row>
    <row r="286" spans="1:15" ht="15" x14ac:dyDescent="0.25">
      <c r="A286" s="91"/>
      <c r="B286" s="32">
        <v>3</v>
      </c>
      <c r="C286" s="32">
        <v>1156010</v>
      </c>
      <c r="D286" s="39">
        <v>45796</v>
      </c>
      <c r="E286" s="32" t="s">
        <v>15</v>
      </c>
      <c r="F286" s="32" t="str">
        <f t="shared" si="147"/>
        <v>M20</v>
      </c>
      <c r="G286" s="61" t="str">
        <f t="shared" si="148"/>
        <v>011</v>
      </c>
      <c r="H286" s="72" t="str">
        <f t="shared" si="152"/>
        <v>C1</v>
      </c>
      <c r="I286" s="72">
        <f t="shared" si="153"/>
        <v>2</v>
      </c>
      <c r="J286" s="37" t="s">
        <v>34</v>
      </c>
      <c r="K286" s="37">
        <v>46</v>
      </c>
      <c r="L286" s="17">
        <v>0.19</v>
      </c>
      <c r="M286" s="19">
        <v>1.92</v>
      </c>
      <c r="N286" s="18">
        <f t="shared" si="141"/>
        <v>1.73</v>
      </c>
      <c r="O286" s="20" t="str">
        <f t="shared" si="142"/>
        <v>OK</v>
      </c>
    </row>
    <row r="287" spans="1:15" ht="15" x14ac:dyDescent="0.25">
      <c r="A287" s="91"/>
      <c r="B287" s="32">
        <v>3</v>
      </c>
      <c r="C287" s="32">
        <v>1156010</v>
      </c>
      <c r="D287" s="39">
        <v>45796</v>
      </c>
      <c r="E287" s="32" t="s">
        <v>15</v>
      </c>
      <c r="F287" s="32" t="str">
        <f t="shared" si="147"/>
        <v>M20</v>
      </c>
      <c r="G287" s="61" t="str">
        <f t="shared" si="148"/>
        <v>011</v>
      </c>
      <c r="H287" s="72" t="str">
        <f t="shared" si="152"/>
        <v>C1</v>
      </c>
      <c r="I287" s="72">
        <v>1</v>
      </c>
      <c r="J287" s="37" t="s">
        <v>35</v>
      </c>
      <c r="K287" s="37">
        <v>47</v>
      </c>
      <c r="L287" s="17">
        <v>0.99</v>
      </c>
      <c r="M287" s="19">
        <v>3.66</v>
      </c>
      <c r="N287" s="18">
        <f t="shared" si="141"/>
        <v>2.67</v>
      </c>
      <c r="O287" s="20" t="str">
        <f t="shared" si="142"/>
        <v>OK</v>
      </c>
    </row>
    <row r="288" spans="1:15" ht="15" x14ac:dyDescent="0.25">
      <c r="A288" s="91"/>
      <c r="B288" s="32">
        <v>3</v>
      </c>
      <c r="C288" s="32">
        <v>1156010</v>
      </c>
      <c r="D288" s="39">
        <v>45796</v>
      </c>
      <c r="E288" s="32" t="s">
        <v>15</v>
      </c>
      <c r="F288" s="32" t="str">
        <f t="shared" si="147"/>
        <v>M20</v>
      </c>
      <c r="G288" s="61" t="str">
        <f t="shared" si="148"/>
        <v>011</v>
      </c>
      <c r="H288" s="72" t="str">
        <f t="shared" si="152"/>
        <v>C1</v>
      </c>
      <c r="I288" s="72">
        <f t="shared" ref="I288:I290" si="154">I287</f>
        <v>1</v>
      </c>
      <c r="J288" s="37" t="s">
        <v>36</v>
      </c>
      <c r="K288" s="37">
        <v>47</v>
      </c>
      <c r="L288" s="17">
        <v>0.26</v>
      </c>
      <c r="M288" s="19">
        <v>1.64</v>
      </c>
      <c r="N288" s="18">
        <f t="shared" si="141"/>
        <v>1.38</v>
      </c>
      <c r="O288" s="20" t="str">
        <f t="shared" si="142"/>
        <v>OK</v>
      </c>
    </row>
    <row r="289" spans="1:15" ht="15" x14ac:dyDescent="0.25">
      <c r="A289" s="91"/>
      <c r="B289" s="32">
        <v>3</v>
      </c>
      <c r="C289" s="32">
        <v>1156010</v>
      </c>
      <c r="D289" s="39">
        <v>45796</v>
      </c>
      <c r="E289" s="32" t="s">
        <v>15</v>
      </c>
      <c r="F289" s="32" t="str">
        <f t="shared" si="147"/>
        <v>M20</v>
      </c>
      <c r="G289" s="61" t="str">
        <f t="shared" si="148"/>
        <v>011</v>
      </c>
      <c r="H289" s="72" t="str">
        <f t="shared" si="152"/>
        <v>C1</v>
      </c>
      <c r="I289" s="72">
        <f t="shared" si="154"/>
        <v>1</v>
      </c>
      <c r="J289" s="37" t="s">
        <v>37</v>
      </c>
      <c r="K289" s="37">
        <v>48</v>
      </c>
      <c r="L289" s="17">
        <v>0.14000000000000001</v>
      </c>
      <c r="M289" s="19">
        <v>2.2999999999999998</v>
      </c>
      <c r="N289" s="18">
        <f t="shared" si="141"/>
        <v>2.1599999999999997</v>
      </c>
      <c r="O289" s="20" t="str">
        <f t="shared" si="142"/>
        <v>OK</v>
      </c>
    </row>
    <row r="290" spans="1:15" ht="15.75" thickBot="1" x14ac:dyDescent="0.3">
      <c r="A290" s="92"/>
      <c r="B290" s="48">
        <v>3</v>
      </c>
      <c r="C290" s="48">
        <v>1156010</v>
      </c>
      <c r="D290" s="49">
        <v>45796</v>
      </c>
      <c r="E290" s="48" t="s">
        <v>15</v>
      </c>
      <c r="F290" s="48" t="str">
        <f t="shared" si="147"/>
        <v>M20</v>
      </c>
      <c r="G290" s="73" t="str">
        <f t="shared" si="148"/>
        <v>011</v>
      </c>
      <c r="H290" s="74" t="str">
        <f t="shared" si="152"/>
        <v>C1</v>
      </c>
      <c r="I290" s="74">
        <f t="shared" si="154"/>
        <v>1</v>
      </c>
      <c r="J290" s="41" t="s">
        <v>38</v>
      </c>
      <c r="K290" s="37">
        <v>48</v>
      </c>
      <c r="L290" s="51">
        <v>0.9</v>
      </c>
      <c r="M290" s="34">
        <v>3.82</v>
      </c>
      <c r="N290" s="50">
        <f t="shared" si="141"/>
        <v>2.92</v>
      </c>
      <c r="O290" s="20" t="str">
        <f t="shared" si="142"/>
        <v>OK</v>
      </c>
    </row>
    <row r="291" spans="1:15" ht="15" x14ac:dyDescent="0.25">
      <c r="A291" s="91" t="s">
        <v>16</v>
      </c>
      <c r="B291" s="32">
        <v>3</v>
      </c>
      <c r="C291" s="36">
        <v>1161990</v>
      </c>
      <c r="D291" s="52">
        <v>45826</v>
      </c>
      <c r="E291" s="32" t="s">
        <v>15</v>
      </c>
      <c r="F291" s="32" t="s">
        <v>28</v>
      </c>
      <c r="G291" s="61" t="s">
        <v>59</v>
      </c>
      <c r="H291" s="72" t="s">
        <v>30</v>
      </c>
      <c r="I291" s="72">
        <v>1</v>
      </c>
      <c r="J291" s="37" t="s">
        <v>31</v>
      </c>
      <c r="K291" s="37">
        <v>1</v>
      </c>
      <c r="L291" s="21">
        <v>0.37</v>
      </c>
      <c r="M291" s="19">
        <v>1.75</v>
      </c>
      <c r="N291" s="18">
        <f t="shared" ref="N291:N322" si="155">+M291-L291</f>
        <v>1.38</v>
      </c>
      <c r="O291" s="20" t="str">
        <f t="shared" si="142"/>
        <v>OK</v>
      </c>
    </row>
    <row r="292" spans="1:15" ht="12" customHeight="1" x14ac:dyDescent="0.25">
      <c r="A292" s="91" t="s">
        <v>16</v>
      </c>
      <c r="B292" s="32">
        <v>3</v>
      </c>
      <c r="C292" s="36">
        <v>1161990</v>
      </c>
      <c r="D292" s="52">
        <v>45826</v>
      </c>
      <c r="E292" s="32" t="s">
        <v>15</v>
      </c>
      <c r="F292" s="32" t="str">
        <f t="shared" ref="F292:I294" si="156">F291</f>
        <v>M20</v>
      </c>
      <c r="G292" s="61" t="str">
        <f t="shared" si="156"/>
        <v>009</v>
      </c>
      <c r="H292" s="72" t="str">
        <f t="shared" si="156"/>
        <v>C1</v>
      </c>
      <c r="I292" s="72">
        <f t="shared" si="156"/>
        <v>1</v>
      </c>
      <c r="J292" s="37" t="s">
        <v>32</v>
      </c>
      <c r="K292" s="37">
        <v>1</v>
      </c>
      <c r="L292" s="17">
        <v>0.89</v>
      </c>
      <c r="M292" s="19">
        <v>3.9</v>
      </c>
      <c r="N292" s="18">
        <f t="shared" si="155"/>
        <v>3.01</v>
      </c>
      <c r="O292" s="20" t="str">
        <f t="shared" si="142"/>
        <v>OK</v>
      </c>
    </row>
    <row r="293" spans="1:15" ht="12" customHeight="1" x14ac:dyDescent="0.25">
      <c r="A293" s="91" t="s">
        <v>16</v>
      </c>
      <c r="B293" s="32">
        <v>3</v>
      </c>
      <c r="C293" s="36">
        <v>1161990</v>
      </c>
      <c r="D293" s="52">
        <v>45826</v>
      </c>
      <c r="E293" s="32" t="s">
        <v>15</v>
      </c>
      <c r="F293" s="32" t="str">
        <f t="shared" si="156"/>
        <v>M20</v>
      </c>
      <c r="G293" s="61" t="str">
        <f t="shared" si="156"/>
        <v>009</v>
      </c>
      <c r="H293" s="72" t="str">
        <f t="shared" si="156"/>
        <v>C1</v>
      </c>
      <c r="I293" s="72">
        <f t="shared" si="156"/>
        <v>1</v>
      </c>
      <c r="J293" s="37" t="s">
        <v>33</v>
      </c>
      <c r="K293" s="37">
        <v>2</v>
      </c>
      <c r="L293" s="17">
        <v>1.1599999999999999</v>
      </c>
      <c r="M293" s="19">
        <v>2.35</v>
      </c>
      <c r="N293" s="18">
        <f t="shared" si="155"/>
        <v>1.1900000000000002</v>
      </c>
      <c r="O293" s="20" t="str">
        <f t="shared" si="142"/>
        <v>OK</v>
      </c>
    </row>
    <row r="294" spans="1:15" ht="12" customHeight="1" x14ac:dyDescent="0.25">
      <c r="A294" s="91" t="s">
        <v>16</v>
      </c>
      <c r="B294" s="32">
        <v>3</v>
      </c>
      <c r="C294" s="36">
        <v>1161990</v>
      </c>
      <c r="D294" s="52">
        <v>45826</v>
      </c>
      <c r="E294" s="32" t="s">
        <v>15</v>
      </c>
      <c r="F294" s="32" t="str">
        <f t="shared" si="156"/>
        <v>M20</v>
      </c>
      <c r="G294" s="61" t="str">
        <f t="shared" si="156"/>
        <v>009</v>
      </c>
      <c r="H294" s="72" t="str">
        <f t="shared" si="156"/>
        <v>C1</v>
      </c>
      <c r="I294" s="72">
        <f t="shared" si="156"/>
        <v>1</v>
      </c>
      <c r="J294" s="37" t="s">
        <v>34</v>
      </c>
      <c r="K294" s="37">
        <v>2</v>
      </c>
      <c r="L294" s="17">
        <v>0.85</v>
      </c>
      <c r="M294" s="19">
        <v>2.93</v>
      </c>
      <c r="N294" s="18">
        <f t="shared" si="155"/>
        <v>2.08</v>
      </c>
      <c r="O294" s="20" t="str">
        <f t="shared" si="142"/>
        <v>OK</v>
      </c>
    </row>
    <row r="295" spans="1:15" ht="12" customHeight="1" x14ac:dyDescent="0.25">
      <c r="A295" s="91" t="s">
        <v>16</v>
      </c>
      <c r="B295" s="32">
        <v>3</v>
      </c>
      <c r="C295" s="36">
        <v>1161990</v>
      </c>
      <c r="D295" s="52">
        <v>45826</v>
      </c>
      <c r="E295" s="32" t="s">
        <v>15</v>
      </c>
      <c r="F295" s="32" t="str">
        <f t="shared" ref="F295:H298" si="157">F294</f>
        <v>M20</v>
      </c>
      <c r="G295" s="61" t="str">
        <f t="shared" si="157"/>
        <v>009</v>
      </c>
      <c r="H295" s="72" t="str">
        <f t="shared" si="157"/>
        <v>C1</v>
      </c>
      <c r="I295" s="72">
        <v>2</v>
      </c>
      <c r="J295" s="37" t="s">
        <v>35</v>
      </c>
      <c r="K295" s="37">
        <v>3</v>
      </c>
      <c r="L295" s="17">
        <v>0.12</v>
      </c>
      <c r="M295" s="19">
        <v>5.09</v>
      </c>
      <c r="N295" s="18">
        <f t="shared" si="155"/>
        <v>4.97</v>
      </c>
      <c r="O295" s="20" t="str">
        <f t="shared" si="142"/>
        <v>OK</v>
      </c>
    </row>
    <row r="296" spans="1:15" ht="12" customHeight="1" x14ac:dyDescent="0.25">
      <c r="A296" s="91" t="s">
        <v>16</v>
      </c>
      <c r="B296" s="32">
        <v>3</v>
      </c>
      <c r="C296" s="36">
        <v>1161990</v>
      </c>
      <c r="D296" s="52">
        <v>45826</v>
      </c>
      <c r="E296" s="32" t="s">
        <v>15</v>
      </c>
      <c r="F296" s="32" t="str">
        <f t="shared" si="157"/>
        <v>M20</v>
      </c>
      <c r="G296" s="61" t="str">
        <f t="shared" si="157"/>
        <v>009</v>
      </c>
      <c r="H296" s="72" t="str">
        <f t="shared" si="157"/>
        <v>C1</v>
      </c>
      <c r="I296" s="72">
        <f>I295</f>
        <v>2</v>
      </c>
      <c r="J296" s="37" t="s">
        <v>36</v>
      </c>
      <c r="K296" s="37">
        <v>3</v>
      </c>
      <c r="L296" s="17">
        <v>1.67</v>
      </c>
      <c r="M296" s="19">
        <v>2.73</v>
      </c>
      <c r="N296" s="18">
        <f t="shared" si="155"/>
        <v>1.06</v>
      </c>
      <c r="O296" s="20" t="str">
        <f t="shared" si="142"/>
        <v>OK</v>
      </c>
    </row>
    <row r="297" spans="1:15" ht="12" customHeight="1" x14ac:dyDescent="0.25">
      <c r="A297" s="91" t="s">
        <v>16</v>
      </c>
      <c r="B297" s="32">
        <v>3</v>
      </c>
      <c r="C297" s="36">
        <v>1161990</v>
      </c>
      <c r="D297" s="52">
        <v>45826</v>
      </c>
      <c r="E297" s="32" t="s">
        <v>15</v>
      </c>
      <c r="F297" s="32" t="str">
        <f t="shared" si="157"/>
        <v>M20</v>
      </c>
      <c r="G297" s="61" t="str">
        <f t="shared" si="157"/>
        <v>009</v>
      </c>
      <c r="H297" s="72" t="str">
        <f t="shared" si="157"/>
        <v>C1</v>
      </c>
      <c r="I297" s="72">
        <f>I296</f>
        <v>2</v>
      </c>
      <c r="J297" s="37" t="s">
        <v>37</v>
      </c>
      <c r="K297" s="37">
        <v>4</v>
      </c>
      <c r="L297" s="17">
        <v>1.67</v>
      </c>
      <c r="M297" s="19">
        <v>2.83</v>
      </c>
      <c r="N297" s="18">
        <f t="shared" si="155"/>
        <v>1.1600000000000001</v>
      </c>
      <c r="O297" s="20" t="str">
        <f t="shared" si="142"/>
        <v>OK</v>
      </c>
    </row>
    <row r="298" spans="1:15" ht="12" customHeight="1" x14ac:dyDescent="0.25">
      <c r="A298" s="91" t="s">
        <v>16</v>
      </c>
      <c r="B298" s="32">
        <v>3</v>
      </c>
      <c r="C298" s="36">
        <v>1161990</v>
      </c>
      <c r="D298" s="52">
        <v>45826</v>
      </c>
      <c r="E298" s="32" t="s">
        <v>15</v>
      </c>
      <c r="F298" s="32" t="str">
        <f t="shared" si="157"/>
        <v>M20</v>
      </c>
      <c r="G298" s="61" t="str">
        <f t="shared" si="157"/>
        <v>009</v>
      </c>
      <c r="H298" s="72" t="str">
        <f t="shared" si="157"/>
        <v>C1</v>
      </c>
      <c r="I298" s="72">
        <f>I297</f>
        <v>2</v>
      </c>
      <c r="J298" s="37" t="s">
        <v>38</v>
      </c>
      <c r="K298" s="37">
        <v>4</v>
      </c>
      <c r="L298" s="17">
        <v>0.56000000000000005</v>
      </c>
      <c r="M298" s="19">
        <v>1.24</v>
      </c>
      <c r="N298" s="18">
        <f t="shared" si="155"/>
        <v>0.67999999999999994</v>
      </c>
      <c r="O298" s="20" t="str">
        <f t="shared" si="142"/>
        <v>Seguimiento</v>
      </c>
    </row>
    <row r="299" spans="1:15" ht="12" customHeight="1" x14ac:dyDescent="0.25">
      <c r="A299" s="91" t="s">
        <v>16</v>
      </c>
      <c r="B299" s="32">
        <v>3</v>
      </c>
      <c r="C299" s="36">
        <v>1161990</v>
      </c>
      <c r="D299" s="52">
        <v>45826</v>
      </c>
      <c r="E299" s="32" t="s">
        <v>15</v>
      </c>
      <c r="F299" s="32" t="str">
        <f t="shared" ref="F299:G306" si="158">F298</f>
        <v>M20</v>
      </c>
      <c r="G299" s="61" t="str">
        <f t="shared" si="158"/>
        <v>009</v>
      </c>
      <c r="H299" s="72" t="s">
        <v>39</v>
      </c>
      <c r="I299" s="72">
        <v>1</v>
      </c>
      <c r="J299" s="37" t="s">
        <v>31</v>
      </c>
      <c r="K299" s="37">
        <v>5</v>
      </c>
      <c r="L299" s="17">
        <v>0.6</v>
      </c>
      <c r="M299" s="19">
        <v>3</v>
      </c>
      <c r="N299" s="18">
        <f t="shared" si="155"/>
        <v>2.4</v>
      </c>
      <c r="O299" s="20" t="str">
        <f t="shared" si="142"/>
        <v>OK</v>
      </c>
    </row>
    <row r="300" spans="1:15" ht="12" customHeight="1" x14ac:dyDescent="0.25">
      <c r="A300" s="91" t="s">
        <v>16</v>
      </c>
      <c r="B300" s="32">
        <v>3</v>
      </c>
      <c r="C300" s="36">
        <v>1161990</v>
      </c>
      <c r="D300" s="52">
        <v>45826</v>
      </c>
      <c r="E300" s="32" t="s">
        <v>15</v>
      </c>
      <c r="F300" s="32" t="str">
        <f t="shared" si="158"/>
        <v>M20</v>
      </c>
      <c r="G300" s="61" t="str">
        <f t="shared" si="158"/>
        <v>009</v>
      </c>
      <c r="H300" s="72" t="str">
        <f t="shared" ref="H300:I302" si="159">H299</f>
        <v>C2</v>
      </c>
      <c r="I300" s="72">
        <f t="shared" si="159"/>
        <v>1</v>
      </c>
      <c r="J300" s="37" t="s">
        <v>32</v>
      </c>
      <c r="K300" s="37">
        <v>5</v>
      </c>
      <c r="L300" s="17">
        <v>0.81</v>
      </c>
      <c r="M300" s="19">
        <v>3.28</v>
      </c>
      <c r="N300" s="18">
        <f t="shared" si="155"/>
        <v>2.4699999999999998</v>
      </c>
      <c r="O300" s="20" t="str">
        <f t="shared" si="142"/>
        <v>OK</v>
      </c>
    </row>
    <row r="301" spans="1:15" ht="12" customHeight="1" x14ac:dyDescent="0.25">
      <c r="A301" s="91" t="s">
        <v>16</v>
      </c>
      <c r="B301" s="32">
        <v>3</v>
      </c>
      <c r="C301" s="36">
        <v>1161990</v>
      </c>
      <c r="D301" s="52">
        <v>45826</v>
      </c>
      <c r="E301" s="32" t="s">
        <v>15</v>
      </c>
      <c r="F301" s="32" t="str">
        <f t="shared" si="158"/>
        <v>M20</v>
      </c>
      <c r="G301" s="61" t="str">
        <f t="shared" si="158"/>
        <v>009</v>
      </c>
      <c r="H301" s="72" t="str">
        <f t="shared" si="159"/>
        <v>C2</v>
      </c>
      <c r="I301" s="72">
        <f t="shared" si="159"/>
        <v>1</v>
      </c>
      <c r="J301" s="37" t="s">
        <v>33</v>
      </c>
      <c r="K301" s="37">
        <v>6</v>
      </c>
      <c r="L301" s="17">
        <v>0.99</v>
      </c>
      <c r="M301" s="19">
        <v>4.0199999999999996</v>
      </c>
      <c r="N301" s="18">
        <f t="shared" si="155"/>
        <v>3.0299999999999994</v>
      </c>
      <c r="O301" s="20" t="str">
        <f t="shared" si="142"/>
        <v>OK</v>
      </c>
    </row>
    <row r="302" spans="1:15" ht="12" customHeight="1" x14ac:dyDescent="0.25">
      <c r="A302" s="91" t="s">
        <v>16</v>
      </c>
      <c r="B302" s="32">
        <v>3</v>
      </c>
      <c r="C302" s="36">
        <v>1161990</v>
      </c>
      <c r="D302" s="52">
        <v>45826</v>
      </c>
      <c r="E302" s="32" t="s">
        <v>15</v>
      </c>
      <c r="F302" s="32" t="str">
        <f t="shared" si="158"/>
        <v>M20</v>
      </c>
      <c r="G302" s="61" t="str">
        <f t="shared" si="158"/>
        <v>009</v>
      </c>
      <c r="H302" s="72" t="str">
        <f t="shared" si="159"/>
        <v>C2</v>
      </c>
      <c r="I302" s="72">
        <f t="shared" si="159"/>
        <v>1</v>
      </c>
      <c r="J302" s="37" t="s">
        <v>34</v>
      </c>
      <c r="K302" s="37">
        <v>6</v>
      </c>
      <c r="L302" s="17">
        <v>0.41</v>
      </c>
      <c r="M302" s="19">
        <v>5.0599999999999996</v>
      </c>
      <c r="N302" s="18">
        <f t="shared" si="155"/>
        <v>4.6499999999999995</v>
      </c>
      <c r="O302" s="20" t="str">
        <f t="shared" si="142"/>
        <v>OK</v>
      </c>
    </row>
    <row r="303" spans="1:15" ht="12" customHeight="1" x14ac:dyDescent="0.25">
      <c r="A303" s="91" t="s">
        <v>16</v>
      </c>
      <c r="B303" s="32">
        <v>3</v>
      </c>
      <c r="C303" s="36">
        <v>1161990</v>
      </c>
      <c r="D303" s="52">
        <v>45826</v>
      </c>
      <c r="E303" s="32" t="s">
        <v>15</v>
      </c>
      <c r="F303" s="32" t="str">
        <f t="shared" si="158"/>
        <v>M20</v>
      </c>
      <c r="G303" s="61" t="str">
        <f t="shared" si="158"/>
        <v>009</v>
      </c>
      <c r="H303" s="72" t="str">
        <f>H302</f>
        <v>C2</v>
      </c>
      <c r="I303" s="72">
        <v>2</v>
      </c>
      <c r="J303" s="37" t="s">
        <v>35</v>
      </c>
      <c r="K303" s="37">
        <v>7</v>
      </c>
      <c r="L303" s="17">
        <v>0.68</v>
      </c>
      <c r="M303" s="19">
        <v>3.07</v>
      </c>
      <c r="N303" s="18">
        <f t="shared" si="155"/>
        <v>2.3899999999999997</v>
      </c>
      <c r="O303" s="20" t="str">
        <f t="shared" si="142"/>
        <v>OK</v>
      </c>
    </row>
    <row r="304" spans="1:15" ht="12" customHeight="1" x14ac:dyDescent="0.25">
      <c r="A304" s="91" t="s">
        <v>16</v>
      </c>
      <c r="B304" s="32">
        <v>3</v>
      </c>
      <c r="C304" s="36">
        <v>1161990</v>
      </c>
      <c r="D304" s="52">
        <v>45826</v>
      </c>
      <c r="E304" s="32" t="s">
        <v>15</v>
      </c>
      <c r="F304" s="32" t="str">
        <f t="shared" si="158"/>
        <v>M20</v>
      </c>
      <c r="G304" s="61" t="str">
        <f t="shared" si="158"/>
        <v>009</v>
      </c>
      <c r="H304" s="72" t="str">
        <f>H303</f>
        <v>C2</v>
      </c>
      <c r="I304" s="72">
        <f>I303</f>
        <v>2</v>
      </c>
      <c r="J304" s="37" t="s">
        <v>36</v>
      </c>
      <c r="K304" s="37">
        <v>7</v>
      </c>
      <c r="L304" s="17">
        <v>0.92</v>
      </c>
      <c r="M304" s="19">
        <v>1.99</v>
      </c>
      <c r="N304" s="18">
        <f t="shared" si="155"/>
        <v>1.0699999999999998</v>
      </c>
      <c r="O304" s="20" t="str">
        <f t="shared" si="142"/>
        <v>OK</v>
      </c>
    </row>
    <row r="305" spans="1:15" ht="12" customHeight="1" x14ac:dyDescent="0.25">
      <c r="A305" s="91" t="s">
        <v>16</v>
      </c>
      <c r="B305" s="32">
        <v>3</v>
      </c>
      <c r="C305" s="36">
        <v>1161990</v>
      </c>
      <c r="D305" s="52">
        <v>45826</v>
      </c>
      <c r="E305" s="32" t="s">
        <v>15</v>
      </c>
      <c r="F305" s="32" t="str">
        <f t="shared" si="158"/>
        <v>M20</v>
      </c>
      <c r="G305" s="61" t="str">
        <f t="shared" si="158"/>
        <v>009</v>
      </c>
      <c r="H305" s="72" t="str">
        <f>H304</f>
        <v>C2</v>
      </c>
      <c r="I305" s="72">
        <f>I304</f>
        <v>2</v>
      </c>
      <c r="J305" s="37" t="s">
        <v>37</v>
      </c>
      <c r="K305" s="37">
        <v>8</v>
      </c>
      <c r="L305" s="17">
        <v>0.4</v>
      </c>
      <c r="M305" s="19">
        <v>2.54</v>
      </c>
      <c r="N305" s="18">
        <f t="shared" si="155"/>
        <v>2.14</v>
      </c>
      <c r="O305" s="20" t="str">
        <f t="shared" si="142"/>
        <v>OK</v>
      </c>
    </row>
    <row r="306" spans="1:15" ht="12" customHeight="1" x14ac:dyDescent="0.25">
      <c r="A306" s="91" t="s">
        <v>16</v>
      </c>
      <c r="B306" s="32">
        <v>3</v>
      </c>
      <c r="C306" s="36">
        <v>1161990</v>
      </c>
      <c r="D306" s="52">
        <v>45826</v>
      </c>
      <c r="E306" s="32" t="s">
        <v>15</v>
      </c>
      <c r="F306" s="32" t="str">
        <f t="shared" si="158"/>
        <v>M20</v>
      </c>
      <c r="G306" s="61" t="str">
        <f t="shared" si="158"/>
        <v>009</v>
      </c>
      <c r="H306" s="72" t="str">
        <f>H305</f>
        <v>C2</v>
      </c>
      <c r="I306" s="72">
        <f>I305</f>
        <v>2</v>
      </c>
      <c r="J306" s="37" t="s">
        <v>38</v>
      </c>
      <c r="K306" s="37">
        <v>8</v>
      </c>
      <c r="L306" s="17">
        <v>0.73</v>
      </c>
      <c r="M306" s="19">
        <v>3.01</v>
      </c>
      <c r="N306" s="18">
        <f t="shared" si="155"/>
        <v>2.2799999999999998</v>
      </c>
      <c r="O306" s="20" t="str">
        <f t="shared" si="142"/>
        <v>OK</v>
      </c>
    </row>
    <row r="307" spans="1:15" ht="12" customHeight="1" x14ac:dyDescent="0.25">
      <c r="A307" s="91" t="s">
        <v>16</v>
      </c>
      <c r="B307" s="32">
        <v>3</v>
      </c>
      <c r="C307" s="36">
        <v>1161990</v>
      </c>
      <c r="D307" s="52">
        <v>45826</v>
      </c>
      <c r="E307" s="32" t="s">
        <v>15</v>
      </c>
      <c r="F307" s="32" t="s">
        <v>40</v>
      </c>
      <c r="G307" s="61" t="s">
        <v>60</v>
      </c>
      <c r="H307" s="72" t="s">
        <v>42</v>
      </c>
      <c r="I307" s="72">
        <v>1</v>
      </c>
      <c r="J307" s="37" t="s">
        <v>31</v>
      </c>
      <c r="K307" s="37">
        <v>9</v>
      </c>
      <c r="L307" s="17">
        <v>0.78</v>
      </c>
      <c r="M307" s="19">
        <v>3.28</v>
      </c>
      <c r="N307" s="18">
        <f t="shared" si="155"/>
        <v>2.5</v>
      </c>
      <c r="O307" s="20" t="str">
        <f t="shared" si="142"/>
        <v>OK</v>
      </c>
    </row>
    <row r="308" spans="1:15" ht="12" customHeight="1" x14ac:dyDescent="0.25">
      <c r="A308" s="91" t="s">
        <v>16</v>
      </c>
      <c r="B308" s="32">
        <v>3</v>
      </c>
      <c r="C308" s="36">
        <v>1161990</v>
      </c>
      <c r="D308" s="52">
        <v>45826</v>
      </c>
      <c r="E308" s="32" t="s">
        <v>15</v>
      </c>
      <c r="F308" s="32" t="str">
        <f t="shared" ref="F308:I310" si="160">F307</f>
        <v>M21</v>
      </c>
      <c r="G308" s="61" t="str">
        <f t="shared" si="160"/>
        <v>010</v>
      </c>
      <c r="H308" s="72" t="str">
        <f t="shared" si="160"/>
        <v>C3</v>
      </c>
      <c r="I308" s="72">
        <f t="shared" si="160"/>
        <v>1</v>
      </c>
      <c r="J308" s="37" t="s">
        <v>32</v>
      </c>
      <c r="K308" s="37">
        <v>9</v>
      </c>
      <c r="L308" s="17">
        <v>0.47</v>
      </c>
      <c r="M308" s="19">
        <v>2.94</v>
      </c>
      <c r="N308" s="18">
        <f t="shared" si="155"/>
        <v>2.4699999999999998</v>
      </c>
      <c r="O308" s="20" t="str">
        <f t="shared" si="142"/>
        <v>OK</v>
      </c>
    </row>
    <row r="309" spans="1:15" ht="12" customHeight="1" x14ac:dyDescent="0.25">
      <c r="A309" s="91" t="s">
        <v>16</v>
      </c>
      <c r="B309" s="32">
        <v>3</v>
      </c>
      <c r="C309" s="36">
        <v>1161990</v>
      </c>
      <c r="D309" s="52">
        <v>45826</v>
      </c>
      <c r="E309" s="32" t="s">
        <v>15</v>
      </c>
      <c r="F309" s="32" t="str">
        <f t="shared" si="160"/>
        <v>M21</v>
      </c>
      <c r="G309" s="61" t="str">
        <f t="shared" si="160"/>
        <v>010</v>
      </c>
      <c r="H309" s="72" t="str">
        <f t="shared" si="160"/>
        <v>C3</v>
      </c>
      <c r="I309" s="72">
        <f t="shared" si="160"/>
        <v>1</v>
      </c>
      <c r="J309" s="37" t="s">
        <v>33</v>
      </c>
      <c r="K309" s="37">
        <v>10</v>
      </c>
      <c r="L309" s="17">
        <v>0.75</v>
      </c>
      <c r="M309" s="19">
        <v>3.74</v>
      </c>
      <c r="N309" s="18">
        <f t="shared" si="155"/>
        <v>2.99</v>
      </c>
      <c r="O309" s="20" t="str">
        <f t="shared" si="142"/>
        <v>OK</v>
      </c>
    </row>
    <row r="310" spans="1:15" ht="12" customHeight="1" x14ac:dyDescent="0.25">
      <c r="A310" s="91" t="s">
        <v>16</v>
      </c>
      <c r="B310" s="32">
        <v>3</v>
      </c>
      <c r="C310" s="36">
        <v>1161990</v>
      </c>
      <c r="D310" s="52">
        <v>45826</v>
      </c>
      <c r="E310" s="32" t="s">
        <v>15</v>
      </c>
      <c r="F310" s="32" t="str">
        <f t="shared" si="160"/>
        <v>M21</v>
      </c>
      <c r="G310" s="61" t="str">
        <f t="shared" si="160"/>
        <v>010</v>
      </c>
      <c r="H310" s="72" t="str">
        <f t="shared" si="160"/>
        <v>C3</v>
      </c>
      <c r="I310" s="72">
        <f t="shared" si="160"/>
        <v>1</v>
      </c>
      <c r="J310" s="37" t="s">
        <v>34</v>
      </c>
      <c r="K310" s="37">
        <v>10</v>
      </c>
      <c r="L310" s="17">
        <v>1.1100000000000001</v>
      </c>
      <c r="M310" s="19">
        <v>3.21</v>
      </c>
      <c r="N310" s="18">
        <f t="shared" si="155"/>
        <v>2.0999999999999996</v>
      </c>
      <c r="O310" s="20" t="str">
        <f t="shared" si="142"/>
        <v>OK</v>
      </c>
    </row>
    <row r="311" spans="1:15" ht="12" customHeight="1" x14ac:dyDescent="0.25">
      <c r="A311" s="91" t="s">
        <v>16</v>
      </c>
      <c r="B311" s="32">
        <v>3</v>
      </c>
      <c r="C311" s="36">
        <v>1161990</v>
      </c>
      <c r="D311" s="52">
        <v>45826</v>
      </c>
      <c r="E311" s="32" t="s">
        <v>15</v>
      </c>
      <c r="F311" s="32" t="str">
        <f t="shared" ref="F311:H314" si="161">F310</f>
        <v>M21</v>
      </c>
      <c r="G311" s="61" t="str">
        <f t="shared" si="161"/>
        <v>010</v>
      </c>
      <c r="H311" s="72" t="str">
        <f t="shared" si="161"/>
        <v>C3</v>
      </c>
      <c r="I311" s="72">
        <v>2</v>
      </c>
      <c r="J311" s="37" t="s">
        <v>35</v>
      </c>
      <c r="K311" s="37">
        <v>11</v>
      </c>
      <c r="L311" s="17">
        <v>1.19</v>
      </c>
      <c r="M311" s="19">
        <v>4.41</v>
      </c>
      <c r="N311" s="18">
        <f t="shared" si="155"/>
        <v>3.22</v>
      </c>
      <c r="O311" s="20" t="str">
        <f t="shared" si="142"/>
        <v>OK</v>
      </c>
    </row>
    <row r="312" spans="1:15" ht="12" customHeight="1" x14ac:dyDescent="0.25">
      <c r="A312" s="91" t="s">
        <v>16</v>
      </c>
      <c r="B312" s="32">
        <v>3</v>
      </c>
      <c r="C312" s="36">
        <v>1161990</v>
      </c>
      <c r="D312" s="52">
        <v>45826</v>
      </c>
      <c r="E312" s="32" t="s">
        <v>15</v>
      </c>
      <c r="F312" s="32" t="str">
        <f t="shared" si="161"/>
        <v>M21</v>
      </c>
      <c r="G312" s="61" t="str">
        <f t="shared" si="161"/>
        <v>010</v>
      </c>
      <c r="H312" s="72" t="str">
        <f t="shared" si="161"/>
        <v>C3</v>
      </c>
      <c r="I312" s="72">
        <f>I311</f>
        <v>2</v>
      </c>
      <c r="J312" s="37" t="s">
        <v>36</v>
      </c>
      <c r="K312" s="37">
        <v>11</v>
      </c>
      <c r="L312" s="17">
        <v>0.74</v>
      </c>
      <c r="M312" s="19">
        <v>3.62</v>
      </c>
      <c r="N312" s="18">
        <f t="shared" si="155"/>
        <v>2.88</v>
      </c>
      <c r="O312" s="20" t="str">
        <f t="shared" si="142"/>
        <v>OK</v>
      </c>
    </row>
    <row r="313" spans="1:15" ht="12" customHeight="1" x14ac:dyDescent="0.25">
      <c r="A313" s="91" t="s">
        <v>16</v>
      </c>
      <c r="B313" s="32">
        <v>3</v>
      </c>
      <c r="C313" s="36">
        <v>1161990</v>
      </c>
      <c r="D313" s="52">
        <v>45826</v>
      </c>
      <c r="E313" s="32" t="s">
        <v>15</v>
      </c>
      <c r="F313" s="32" t="str">
        <f t="shared" si="161"/>
        <v>M21</v>
      </c>
      <c r="G313" s="61" t="str">
        <f t="shared" si="161"/>
        <v>010</v>
      </c>
      <c r="H313" s="72" t="str">
        <f t="shared" si="161"/>
        <v>C3</v>
      </c>
      <c r="I313" s="72">
        <f>I312</f>
        <v>2</v>
      </c>
      <c r="J313" s="37" t="s">
        <v>37</v>
      </c>
      <c r="K313" s="37">
        <v>12</v>
      </c>
      <c r="L313" s="17">
        <v>0.9</v>
      </c>
      <c r="M313" s="19">
        <v>4.2</v>
      </c>
      <c r="N313" s="18">
        <f t="shared" si="155"/>
        <v>3.3000000000000003</v>
      </c>
      <c r="O313" s="20" t="str">
        <f t="shared" si="142"/>
        <v>OK</v>
      </c>
    </row>
    <row r="314" spans="1:15" ht="12" customHeight="1" x14ac:dyDescent="0.25">
      <c r="A314" s="91" t="s">
        <v>16</v>
      </c>
      <c r="B314" s="32">
        <v>3</v>
      </c>
      <c r="C314" s="36">
        <v>1161990</v>
      </c>
      <c r="D314" s="52">
        <v>45826</v>
      </c>
      <c r="E314" s="32" t="s">
        <v>15</v>
      </c>
      <c r="F314" s="32" t="str">
        <f t="shared" si="161"/>
        <v>M21</v>
      </c>
      <c r="G314" s="61" t="str">
        <f t="shared" si="161"/>
        <v>010</v>
      </c>
      <c r="H314" s="72" t="str">
        <f t="shared" si="161"/>
        <v>C3</v>
      </c>
      <c r="I314" s="72">
        <f>I313</f>
        <v>2</v>
      </c>
      <c r="J314" s="37" t="s">
        <v>38</v>
      </c>
      <c r="K314" s="37">
        <v>12</v>
      </c>
      <c r="L314" s="17">
        <v>0.92</v>
      </c>
      <c r="M314" s="19">
        <v>4.07</v>
      </c>
      <c r="N314" s="18">
        <f t="shared" si="155"/>
        <v>3.1500000000000004</v>
      </c>
      <c r="O314" s="20" t="str">
        <f t="shared" si="142"/>
        <v>OK</v>
      </c>
    </row>
    <row r="315" spans="1:15" ht="12" customHeight="1" x14ac:dyDescent="0.25">
      <c r="A315" s="91" t="s">
        <v>16</v>
      </c>
      <c r="B315" s="32">
        <v>3</v>
      </c>
      <c r="C315" s="36">
        <v>1161990</v>
      </c>
      <c r="D315" s="52">
        <v>45826</v>
      </c>
      <c r="E315" s="32" t="s">
        <v>15</v>
      </c>
      <c r="F315" s="32" t="str">
        <f t="shared" ref="F315:G322" si="162">F314</f>
        <v>M21</v>
      </c>
      <c r="G315" s="61" t="str">
        <f t="shared" si="162"/>
        <v>010</v>
      </c>
      <c r="H315" s="72" t="s">
        <v>43</v>
      </c>
      <c r="I315" s="72">
        <v>1</v>
      </c>
      <c r="J315" s="37" t="s">
        <v>31</v>
      </c>
      <c r="K315" s="37">
        <v>13</v>
      </c>
      <c r="L315" s="17">
        <v>1.69</v>
      </c>
      <c r="M315" s="19">
        <v>4.28</v>
      </c>
      <c r="N315" s="18">
        <f t="shared" si="155"/>
        <v>2.5900000000000003</v>
      </c>
      <c r="O315" s="20" t="str">
        <f t="shared" si="142"/>
        <v>OK</v>
      </c>
    </row>
    <row r="316" spans="1:15" ht="12" customHeight="1" x14ac:dyDescent="0.25">
      <c r="A316" s="91" t="s">
        <v>16</v>
      </c>
      <c r="B316" s="32">
        <v>3</v>
      </c>
      <c r="C316" s="36">
        <v>1161990</v>
      </c>
      <c r="D316" s="52">
        <v>45826</v>
      </c>
      <c r="E316" s="32" t="s">
        <v>15</v>
      </c>
      <c r="F316" s="32" t="str">
        <f t="shared" si="162"/>
        <v>M21</v>
      </c>
      <c r="G316" s="61" t="str">
        <f t="shared" si="162"/>
        <v>010</v>
      </c>
      <c r="H316" s="72" t="str">
        <f t="shared" ref="H316:I318" si="163">H315</f>
        <v>C4</v>
      </c>
      <c r="I316" s="72">
        <f t="shared" si="163"/>
        <v>1</v>
      </c>
      <c r="J316" s="37" t="s">
        <v>32</v>
      </c>
      <c r="K316" s="37">
        <v>13</v>
      </c>
      <c r="L316" s="17">
        <v>0.74</v>
      </c>
      <c r="M316" s="19">
        <v>3.46</v>
      </c>
      <c r="N316" s="18">
        <f t="shared" si="155"/>
        <v>2.7199999999999998</v>
      </c>
      <c r="O316" s="20" t="str">
        <f t="shared" si="142"/>
        <v>OK</v>
      </c>
    </row>
    <row r="317" spans="1:15" ht="12" customHeight="1" x14ac:dyDescent="0.25">
      <c r="A317" s="91" t="s">
        <v>16</v>
      </c>
      <c r="B317" s="32">
        <v>3</v>
      </c>
      <c r="C317" s="36">
        <v>1161990</v>
      </c>
      <c r="D317" s="52">
        <v>45826</v>
      </c>
      <c r="E317" s="32" t="s">
        <v>15</v>
      </c>
      <c r="F317" s="32" t="str">
        <f t="shared" si="162"/>
        <v>M21</v>
      </c>
      <c r="G317" s="61" t="str">
        <f t="shared" si="162"/>
        <v>010</v>
      </c>
      <c r="H317" s="72" t="str">
        <f t="shared" si="163"/>
        <v>C4</v>
      </c>
      <c r="I317" s="72">
        <f t="shared" si="163"/>
        <v>1</v>
      </c>
      <c r="J317" s="37" t="s">
        <v>33</v>
      </c>
      <c r="K317" s="37">
        <v>14</v>
      </c>
      <c r="L317" s="17">
        <v>0.35</v>
      </c>
      <c r="M317" s="19">
        <v>3.32</v>
      </c>
      <c r="N317" s="18">
        <f t="shared" si="155"/>
        <v>2.9699999999999998</v>
      </c>
      <c r="O317" s="20" t="str">
        <f t="shared" si="142"/>
        <v>OK</v>
      </c>
    </row>
    <row r="318" spans="1:15" ht="12" customHeight="1" x14ac:dyDescent="0.25">
      <c r="A318" s="91" t="s">
        <v>16</v>
      </c>
      <c r="B318" s="32">
        <v>3</v>
      </c>
      <c r="C318" s="36">
        <v>1161990</v>
      </c>
      <c r="D318" s="52">
        <v>45826</v>
      </c>
      <c r="E318" s="32" t="s">
        <v>15</v>
      </c>
      <c r="F318" s="32" t="str">
        <f t="shared" si="162"/>
        <v>M21</v>
      </c>
      <c r="G318" s="61" t="str">
        <f t="shared" si="162"/>
        <v>010</v>
      </c>
      <c r="H318" s="72" t="str">
        <f t="shared" si="163"/>
        <v>C4</v>
      </c>
      <c r="I318" s="72">
        <f t="shared" si="163"/>
        <v>1</v>
      </c>
      <c r="J318" s="37" t="s">
        <v>34</v>
      </c>
      <c r="K318" s="37">
        <v>14</v>
      </c>
      <c r="L318" s="17">
        <v>1.4</v>
      </c>
      <c r="M318" s="19">
        <v>4.29</v>
      </c>
      <c r="N318" s="18">
        <f t="shared" si="155"/>
        <v>2.89</v>
      </c>
      <c r="O318" s="20" t="str">
        <f t="shared" si="142"/>
        <v>OK</v>
      </c>
    </row>
    <row r="319" spans="1:15" ht="12" customHeight="1" x14ac:dyDescent="0.25">
      <c r="A319" s="91" t="s">
        <v>16</v>
      </c>
      <c r="B319" s="32">
        <v>3</v>
      </c>
      <c r="C319" s="36">
        <v>1161990</v>
      </c>
      <c r="D319" s="52">
        <v>45826</v>
      </c>
      <c r="E319" s="32" t="s">
        <v>15</v>
      </c>
      <c r="F319" s="32" t="str">
        <f t="shared" si="162"/>
        <v>M21</v>
      </c>
      <c r="G319" s="61" t="str">
        <f t="shared" si="162"/>
        <v>010</v>
      </c>
      <c r="H319" s="72" t="str">
        <f>H318</f>
        <v>C4</v>
      </c>
      <c r="I319" s="72">
        <v>2</v>
      </c>
      <c r="J319" s="37" t="s">
        <v>35</v>
      </c>
      <c r="K319" s="37">
        <v>15</v>
      </c>
      <c r="L319" s="17">
        <v>0.56000000000000005</v>
      </c>
      <c r="M319" s="19">
        <v>2.94</v>
      </c>
      <c r="N319" s="18">
        <f t="shared" si="155"/>
        <v>2.38</v>
      </c>
      <c r="O319" s="20" t="str">
        <f t="shared" si="142"/>
        <v>OK</v>
      </c>
    </row>
    <row r="320" spans="1:15" ht="12" customHeight="1" x14ac:dyDescent="0.25">
      <c r="A320" s="91" t="s">
        <v>16</v>
      </c>
      <c r="B320" s="32">
        <v>3</v>
      </c>
      <c r="C320" s="36">
        <v>1161990</v>
      </c>
      <c r="D320" s="52">
        <v>45826</v>
      </c>
      <c r="E320" s="32" t="s">
        <v>15</v>
      </c>
      <c r="F320" s="32" t="str">
        <f t="shared" si="162"/>
        <v>M21</v>
      </c>
      <c r="G320" s="61" t="str">
        <f t="shared" si="162"/>
        <v>010</v>
      </c>
      <c r="H320" s="72" t="str">
        <f>H319</f>
        <v>C4</v>
      </c>
      <c r="I320" s="72">
        <f>I319</f>
        <v>2</v>
      </c>
      <c r="J320" s="37" t="s">
        <v>36</v>
      </c>
      <c r="K320" s="37">
        <v>15</v>
      </c>
      <c r="L320" s="17">
        <v>0.53</v>
      </c>
      <c r="M320" s="19">
        <v>3.85</v>
      </c>
      <c r="N320" s="18">
        <f t="shared" si="155"/>
        <v>3.3200000000000003</v>
      </c>
      <c r="O320" s="20" t="str">
        <f t="shared" si="142"/>
        <v>OK</v>
      </c>
    </row>
    <row r="321" spans="1:15" ht="12" customHeight="1" x14ac:dyDescent="0.25">
      <c r="A321" s="91" t="s">
        <v>16</v>
      </c>
      <c r="B321" s="32">
        <v>3</v>
      </c>
      <c r="C321" s="36">
        <v>1161990</v>
      </c>
      <c r="D321" s="52">
        <v>45826</v>
      </c>
      <c r="E321" s="32" t="s">
        <v>15</v>
      </c>
      <c r="F321" s="32" t="str">
        <f t="shared" si="162"/>
        <v>M21</v>
      </c>
      <c r="G321" s="61" t="str">
        <f t="shared" si="162"/>
        <v>010</v>
      </c>
      <c r="H321" s="72" t="str">
        <f>H320</f>
        <v>C4</v>
      </c>
      <c r="I321" s="72">
        <f>I320</f>
        <v>2</v>
      </c>
      <c r="J321" s="37" t="s">
        <v>37</v>
      </c>
      <c r="K321" s="37">
        <v>16</v>
      </c>
      <c r="L321" s="17">
        <v>0.54</v>
      </c>
      <c r="M321" s="19">
        <v>3.98</v>
      </c>
      <c r="N321" s="18">
        <f t="shared" si="155"/>
        <v>3.44</v>
      </c>
      <c r="O321" s="20" t="str">
        <f t="shared" si="142"/>
        <v>OK</v>
      </c>
    </row>
    <row r="322" spans="1:15" ht="12" customHeight="1" x14ac:dyDescent="0.25">
      <c r="A322" s="91" t="s">
        <v>16</v>
      </c>
      <c r="B322" s="32">
        <v>3</v>
      </c>
      <c r="C322" s="36">
        <v>1161990</v>
      </c>
      <c r="D322" s="52">
        <v>45826</v>
      </c>
      <c r="E322" s="32" t="s">
        <v>15</v>
      </c>
      <c r="F322" s="32" t="str">
        <f t="shared" si="162"/>
        <v>M21</v>
      </c>
      <c r="G322" s="61" t="str">
        <f t="shared" si="162"/>
        <v>010</v>
      </c>
      <c r="H322" s="72" t="str">
        <f>H321</f>
        <v>C4</v>
      </c>
      <c r="I322" s="72">
        <f>I321</f>
        <v>2</v>
      </c>
      <c r="J322" s="37" t="s">
        <v>38</v>
      </c>
      <c r="K322" s="37">
        <v>16</v>
      </c>
      <c r="L322" s="17">
        <v>1.37</v>
      </c>
      <c r="M322" s="19">
        <v>2.99</v>
      </c>
      <c r="N322" s="18">
        <f t="shared" si="155"/>
        <v>1.62</v>
      </c>
      <c r="O322" s="20" t="str">
        <f t="shared" si="142"/>
        <v>OK</v>
      </c>
    </row>
    <row r="323" spans="1:15" ht="12" customHeight="1" x14ac:dyDescent="0.25">
      <c r="A323" s="91" t="s">
        <v>16</v>
      </c>
      <c r="B323" s="32">
        <v>3</v>
      </c>
      <c r="C323" s="36">
        <v>1161990</v>
      </c>
      <c r="D323" s="52">
        <v>45826</v>
      </c>
      <c r="E323" s="32" t="s">
        <v>15</v>
      </c>
      <c r="F323" s="32" t="s">
        <v>44</v>
      </c>
      <c r="G323" s="61" t="s">
        <v>61</v>
      </c>
      <c r="H323" s="72" t="s">
        <v>46</v>
      </c>
      <c r="I323" s="72">
        <v>1</v>
      </c>
      <c r="J323" s="37" t="s">
        <v>31</v>
      </c>
      <c r="K323" s="37">
        <v>17</v>
      </c>
      <c r="L323" s="17">
        <v>1.61</v>
      </c>
      <c r="M323" s="19">
        <v>3.88</v>
      </c>
      <c r="N323" s="18">
        <f t="shared" ref="N323:N354" si="164">+M323-L323</f>
        <v>2.2699999999999996</v>
      </c>
      <c r="O323" s="20" t="str">
        <f t="shared" si="142"/>
        <v>OK</v>
      </c>
    </row>
    <row r="324" spans="1:15" ht="12" customHeight="1" x14ac:dyDescent="0.25">
      <c r="A324" s="91" t="s">
        <v>16</v>
      </c>
      <c r="B324" s="32">
        <v>3</v>
      </c>
      <c r="C324" s="36">
        <v>1161990</v>
      </c>
      <c r="D324" s="52">
        <v>45826</v>
      </c>
      <c r="E324" s="32" t="s">
        <v>15</v>
      </c>
      <c r="F324" s="32" t="str">
        <f t="shared" ref="F324:I326" si="165">F323</f>
        <v>M22</v>
      </c>
      <c r="G324" s="61" t="str">
        <f t="shared" si="165"/>
        <v>307</v>
      </c>
      <c r="H324" s="72" t="str">
        <f t="shared" si="165"/>
        <v>C5</v>
      </c>
      <c r="I324" s="72">
        <f t="shared" si="165"/>
        <v>1</v>
      </c>
      <c r="J324" s="37" t="s">
        <v>32</v>
      </c>
      <c r="K324" s="37">
        <v>17</v>
      </c>
      <c r="L324" s="17">
        <v>0.46</v>
      </c>
      <c r="M324" s="19">
        <v>0.79</v>
      </c>
      <c r="N324" s="18">
        <f t="shared" si="164"/>
        <v>0.33</v>
      </c>
      <c r="O324" s="20" t="str">
        <f t="shared" ref="O324:O387" si="166">IF(N324&lt;=0,"Critico",IF(N324&lt;=0.2,"Cambio",IF(N324&lt;=1,"Seguimiento",IF(L324&gt;=1.7,"Reperfilado","OK"))))</f>
        <v>Seguimiento</v>
      </c>
    </row>
    <row r="325" spans="1:15" ht="12" customHeight="1" x14ac:dyDescent="0.25">
      <c r="A325" s="91" t="s">
        <v>16</v>
      </c>
      <c r="B325" s="32">
        <v>3</v>
      </c>
      <c r="C325" s="36">
        <v>1161990</v>
      </c>
      <c r="D325" s="52">
        <v>45826</v>
      </c>
      <c r="E325" s="32" t="s">
        <v>15</v>
      </c>
      <c r="F325" s="32" t="str">
        <f t="shared" si="165"/>
        <v>M22</v>
      </c>
      <c r="G325" s="61" t="str">
        <f t="shared" si="165"/>
        <v>307</v>
      </c>
      <c r="H325" s="72" t="str">
        <f t="shared" si="165"/>
        <v>C5</v>
      </c>
      <c r="I325" s="72">
        <f t="shared" si="165"/>
        <v>1</v>
      </c>
      <c r="J325" s="37" t="s">
        <v>33</v>
      </c>
      <c r="K325" s="37">
        <v>18</v>
      </c>
      <c r="L325" s="17">
        <v>1.3</v>
      </c>
      <c r="M325" s="19">
        <v>4.8899999999999997</v>
      </c>
      <c r="N325" s="18">
        <f t="shared" si="164"/>
        <v>3.59</v>
      </c>
      <c r="O325" s="20" t="str">
        <f t="shared" si="166"/>
        <v>OK</v>
      </c>
    </row>
    <row r="326" spans="1:15" ht="12" customHeight="1" x14ac:dyDescent="0.25">
      <c r="A326" s="91" t="s">
        <v>16</v>
      </c>
      <c r="B326" s="32">
        <v>3</v>
      </c>
      <c r="C326" s="36">
        <v>1161990</v>
      </c>
      <c r="D326" s="52">
        <v>45826</v>
      </c>
      <c r="E326" s="32" t="s">
        <v>15</v>
      </c>
      <c r="F326" s="32" t="str">
        <f t="shared" si="165"/>
        <v>M22</v>
      </c>
      <c r="G326" s="61" t="str">
        <f t="shared" si="165"/>
        <v>307</v>
      </c>
      <c r="H326" s="72" t="str">
        <f t="shared" si="165"/>
        <v>C5</v>
      </c>
      <c r="I326" s="72">
        <f t="shared" si="165"/>
        <v>1</v>
      </c>
      <c r="J326" s="37" t="s">
        <v>34</v>
      </c>
      <c r="K326" s="37">
        <v>18</v>
      </c>
      <c r="L326" s="17">
        <v>7.0000000000000007E-2</v>
      </c>
      <c r="M326" s="19">
        <v>5.07</v>
      </c>
      <c r="N326" s="18">
        <f t="shared" si="164"/>
        <v>5</v>
      </c>
      <c r="O326" s="20" t="str">
        <f t="shared" si="166"/>
        <v>OK</v>
      </c>
    </row>
    <row r="327" spans="1:15" ht="12" customHeight="1" x14ac:dyDescent="0.25">
      <c r="A327" s="91" t="s">
        <v>16</v>
      </c>
      <c r="B327" s="32">
        <v>3</v>
      </c>
      <c r="C327" s="36">
        <v>1161990</v>
      </c>
      <c r="D327" s="52">
        <v>45826</v>
      </c>
      <c r="E327" s="32" t="s">
        <v>15</v>
      </c>
      <c r="F327" s="32" t="str">
        <f t="shared" ref="F327:H330" si="167">F326</f>
        <v>M22</v>
      </c>
      <c r="G327" s="61" t="str">
        <f t="shared" si="167"/>
        <v>307</v>
      </c>
      <c r="H327" s="72" t="str">
        <f t="shared" si="167"/>
        <v>C5</v>
      </c>
      <c r="I327" s="72">
        <v>2</v>
      </c>
      <c r="J327" s="37" t="s">
        <v>35</v>
      </c>
      <c r="K327" s="37">
        <v>19</v>
      </c>
      <c r="L327" s="17">
        <v>0.56999999999999995</v>
      </c>
      <c r="M327" s="19">
        <v>1.7</v>
      </c>
      <c r="N327" s="18">
        <f t="shared" si="164"/>
        <v>1.1299999999999999</v>
      </c>
      <c r="O327" s="20" t="str">
        <f t="shared" si="166"/>
        <v>OK</v>
      </c>
    </row>
    <row r="328" spans="1:15" ht="12" customHeight="1" x14ac:dyDescent="0.25">
      <c r="A328" s="91" t="s">
        <v>16</v>
      </c>
      <c r="B328" s="32">
        <v>3</v>
      </c>
      <c r="C328" s="36">
        <v>1161990</v>
      </c>
      <c r="D328" s="52">
        <v>45826</v>
      </c>
      <c r="E328" s="32" t="s">
        <v>15</v>
      </c>
      <c r="F328" s="32" t="str">
        <f t="shared" si="167"/>
        <v>M22</v>
      </c>
      <c r="G328" s="61" t="str">
        <f t="shared" si="167"/>
        <v>307</v>
      </c>
      <c r="H328" s="72" t="str">
        <f t="shared" si="167"/>
        <v>C5</v>
      </c>
      <c r="I328" s="72">
        <f>I327</f>
        <v>2</v>
      </c>
      <c r="J328" s="37" t="s">
        <v>36</v>
      </c>
      <c r="K328" s="37">
        <v>19</v>
      </c>
      <c r="L328" s="17">
        <v>1.68</v>
      </c>
      <c r="M328" s="19">
        <v>4.4000000000000004</v>
      </c>
      <c r="N328" s="18">
        <f t="shared" si="164"/>
        <v>2.7200000000000006</v>
      </c>
      <c r="O328" s="20" t="str">
        <f t="shared" si="166"/>
        <v>OK</v>
      </c>
    </row>
    <row r="329" spans="1:15" ht="12" customHeight="1" x14ac:dyDescent="0.25">
      <c r="A329" s="91" t="s">
        <v>16</v>
      </c>
      <c r="B329" s="32">
        <v>3</v>
      </c>
      <c r="C329" s="36">
        <v>1161990</v>
      </c>
      <c r="D329" s="52">
        <v>45826</v>
      </c>
      <c r="E329" s="32" t="s">
        <v>15</v>
      </c>
      <c r="F329" s="32" t="str">
        <f t="shared" si="167"/>
        <v>M22</v>
      </c>
      <c r="G329" s="61" t="str">
        <f t="shared" si="167"/>
        <v>307</v>
      </c>
      <c r="H329" s="72" t="str">
        <f t="shared" si="167"/>
        <v>C5</v>
      </c>
      <c r="I329" s="72">
        <f>I328</f>
        <v>2</v>
      </c>
      <c r="J329" s="37" t="s">
        <v>37</v>
      </c>
      <c r="K329" s="37">
        <v>20</v>
      </c>
      <c r="L329" s="17">
        <v>1.68</v>
      </c>
      <c r="M329" s="19">
        <v>4.7</v>
      </c>
      <c r="N329" s="18">
        <f t="shared" si="164"/>
        <v>3.0200000000000005</v>
      </c>
      <c r="O329" s="20" t="str">
        <f t="shared" si="166"/>
        <v>OK</v>
      </c>
    </row>
    <row r="330" spans="1:15" ht="12" customHeight="1" x14ac:dyDescent="0.25">
      <c r="A330" s="91" t="s">
        <v>16</v>
      </c>
      <c r="B330" s="32">
        <v>3</v>
      </c>
      <c r="C330" s="36">
        <v>1161990</v>
      </c>
      <c r="D330" s="52">
        <v>45826</v>
      </c>
      <c r="E330" s="32" t="s">
        <v>15</v>
      </c>
      <c r="F330" s="32" t="str">
        <f t="shared" si="167"/>
        <v>M22</v>
      </c>
      <c r="G330" s="61" t="str">
        <f t="shared" si="167"/>
        <v>307</v>
      </c>
      <c r="H330" s="72" t="str">
        <f t="shared" si="167"/>
        <v>C5</v>
      </c>
      <c r="I330" s="72">
        <f>I329</f>
        <v>2</v>
      </c>
      <c r="J330" s="37" t="s">
        <v>38</v>
      </c>
      <c r="K330" s="37">
        <v>20</v>
      </c>
      <c r="L330" s="17">
        <v>1.36</v>
      </c>
      <c r="M330" s="19">
        <v>4.28</v>
      </c>
      <c r="N330" s="18">
        <f t="shared" si="164"/>
        <v>2.92</v>
      </c>
      <c r="O330" s="20" t="str">
        <f t="shared" si="166"/>
        <v>OK</v>
      </c>
    </row>
    <row r="331" spans="1:15" ht="12" customHeight="1" x14ac:dyDescent="0.25">
      <c r="A331" s="91" t="s">
        <v>16</v>
      </c>
      <c r="B331" s="32">
        <v>3</v>
      </c>
      <c r="C331" s="36">
        <v>1161990</v>
      </c>
      <c r="D331" s="52">
        <v>45826</v>
      </c>
      <c r="E331" s="32" t="s">
        <v>15</v>
      </c>
      <c r="F331" s="32" t="str">
        <f t="shared" ref="F331:G338" si="168">F330</f>
        <v>M22</v>
      </c>
      <c r="G331" s="61" t="str">
        <f t="shared" si="168"/>
        <v>307</v>
      </c>
      <c r="H331" s="72" t="s">
        <v>47</v>
      </c>
      <c r="I331" s="72">
        <v>1</v>
      </c>
      <c r="J331" s="37" t="s">
        <v>31</v>
      </c>
      <c r="K331" s="37">
        <v>21</v>
      </c>
      <c r="L331" s="17">
        <v>1.1200000000000001</v>
      </c>
      <c r="M331" s="19">
        <v>4.96</v>
      </c>
      <c r="N331" s="18">
        <f t="shared" si="164"/>
        <v>3.84</v>
      </c>
      <c r="O331" s="20" t="str">
        <f t="shared" si="166"/>
        <v>OK</v>
      </c>
    </row>
    <row r="332" spans="1:15" ht="12" customHeight="1" x14ac:dyDescent="0.25">
      <c r="A332" s="91" t="s">
        <v>16</v>
      </c>
      <c r="B332" s="32">
        <v>3</v>
      </c>
      <c r="C332" s="36">
        <v>1161990</v>
      </c>
      <c r="D332" s="52">
        <v>45826</v>
      </c>
      <c r="E332" s="32" t="s">
        <v>15</v>
      </c>
      <c r="F332" s="32" t="str">
        <f t="shared" si="168"/>
        <v>M22</v>
      </c>
      <c r="G332" s="61" t="str">
        <f t="shared" si="168"/>
        <v>307</v>
      </c>
      <c r="H332" s="72" t="str">
        <f t="shared" ref="H332:I334" si="169">H331</f>
        <v>C6</v>
      </c>
      <c r="I332" s="72">
        <f t="shared" si="169"/>
        <v>1</v>
      </c>
      <c r="J332" s="37" t="s">
        <v>32</v>
      </c>
      <c r="K332" s="37">
        <v>21</v>
      </c>
      <c r="L332" s="17">
        <v>1.63</v>
      </c>
      <c r="M332" s="19">
        <v>4.9000000000000004</v>
      </c>
      <c r="N332" s="18">
        <f t="shared" si="164"/>
        <v>3.2700000000000005</v>
      </c>
      <c r="O332" s="20" t="str">
        <f t="shared" si="166"/>
        <v>OK</v>
      </c>
    </row>
    <row r="333" spans="1:15" ht="12" customHeight="1" x14ac:dyDescent="0.25">
      <c r="A333" s="91" t="s">
        <v>16</v>
      </c>
      <c r="B333" s="32">
        <v>3</v>
      </c>
      <c r="C333" s="36">
        <v>1161990</v>
      </c>
      <c r="D333" s="52">
        <v>45826</v>
      </c>
      <c r="E333" s="32" t="s">
        <v>15</v>
      </c>
      <c r="F333" s="32" t="str">
        <f t="shared" si="168"/>
        <v>M22</v>
      </c>
      <c r="G333" s="61" t="str">
        <f t="shared" si="168"/>
        <v>307</v>
      </c>
      <c r="H333" s="72" t="str">
        <f t="shared" si="169"/>
        <v>C6</v>
      </c>
      <c r="I333" s="72">
        <f t="shared" si="169"/>
        <v>1</v>
      </c>
      <c r="J333" s="37" t="s">
        <v>33</v>
      </c>
      <c r="K333" s="37">
        <v>22</v>
      </c>
      <c r="L333" s="17">
        <v>1.45</v>
      </c>
      <c r="M333" s="19">
        <v>4.91</v>
      </c>
      <c r="N333" s="18">
        <f t="shared" si="164"/>
        <v>3.46</v>
      </c>
      <c r="O333" s="20" t="str">
        <f t="shared" si="166"/>
        <v>OK</v>
      </c>
    </row>
    <row r="334" spans="1:15" ht="12" customHeight="1" x14ac:dyDescent="0.25">
      <c r="A334" s="91" t="s">
        <v>16</v>
      </c>
      <c r="B334" s="32">
        <v>3</v>
      </c>
      <c r="C334" s="36">
        <v>1161990</v>
      </c>
      <c r="D334" s="52">
        <v>45826</v>
      </c>
      <c r="E334" s="32" t="s">
        <v>15</v>
      </c>
      <c r="F334" s="32" t="str">
        <f t="shared" si="168"/>
        <v>M22</v>
      </c>
      <c r="G334" s="61" t="str">
        <f t="shared" si="168"/>
        <v>307</v>
      </c>
      <c r="H334" s="72" t="str">
        <f t="shared" si="169"/>
        <v>C6</v>
      </c>
      <c r="I334" s="72">
        <f t="shared" si="169"/>
        <v>1</v>
      </c>
      <c r="J334" s="37" t="s">
        <v>34</v>
      </c>
      <c r="K334" s="37">
        <v>22</v>
      </c>
      <c r="L334" s="17">
        <v>0.66</v>
      </c>
      <c r="M334" s="19">
        <v>4.6900000000000004</v>
      </c>
      <c r="N334" s="18">
        <f t="shared" si="164"/>
        <v>4.03</v>
      </c>
      <c r="O334" s="20" t="str">
        <f t="shared" si="166"/>
        <v>OK</v>
      </c>
    </row>
    <row r="335" spans="1:15" ht="12" customHeight="1" x14ac:dyDescent="0.25">
      <c r="A335" s="91" t="s">
        <v>16</v>
      </c>
      <c r="B335" s="32">
        <v>3</v>
      </c>
      <c r="C335" s="36">
        <v>1161990</v>
      </c>
      <c r="D335" s="52">
        <v>45826</v>
      </c>
      <c r="E335" s="32" t="s">
        <v>15</v>
      </c>
      <c r="F335" s="32" t="str">
        <f t="shared" si="168"/>
        <v>M22</v>
      </c>
      <c r="G335" s="61" t="str">
        <f t="shared" si="168"/>
        <v>307</v>
      </c>
      <c r="H335" s="72" t="str">
        <f>H334</f>
        <v>C6</v>
      </c>
      <c r="I335" s="72">
        <v>2</v>
      </c>
      <c r="J335" s="37" t="s">
        <v>35</v>
      </c>
      <c r="K335" s="37">
        <v>23</v>
      </c>
      <c r="L335" s="17">
        <v>0.36</v>
      </c>
      <c r="M335" s="19">
        <v>5.01</v>
      </c>
      <c r="N335" s="18">
        <f t="shared" si="164"/>
        <v>4.6499999999999995</v>
      </c>
      <c r="O335" s="20" t="str">
        <f t="shared" si="166"/>
        <v>OK</v>
      </c>
    </row>
    <row r="336" spans="1:15" ht="12" customHeight="1" x14ac:dyDescent="0.25">
      <c r="A336" s="91" t="s">
        <v>16</v>
      </c>
      <c r="B336" s="32">
        <v>3</v>
      </c>
      <c r="C336" s="36">
        <v>1161990</v>
      </c>
      <c r="D336" s="52">
        <v>45826</v>
      </c>
      <c r="E336" s="32" t="s">
        <v>15</v>
      </c>
      <c r="F336" s="32" t="str">
        <f t="shared" si="168"/>
        <v>M22</v>
      </c>
      <c r="G336" s="61" t="str">
        <f t="shared" si="168"/>
        <v>307</v>
      </c>
      <c r="H336" s="72" t="str">
        <f>H335</f>
        <v>C6</v>
      </c>
      <c r="I336" s="72">
        <f>I335</f>
        <v>2</v>
      </c>
      <c r="J336" s="37" t="s">
        <v>36</v>
      </c>
      <c r="K336" s="37">
        <v>23</v>
      </c>
      <c r="L336" s="17">
        <v>1.02</v>
      </c>
      <c r="M336" s="19">
        <v>4.63</v>
      </c>
      <c r="N336" s="18">
        <f t="shared" si="164"/>
        <v>3.61</v>
      </c>
      <c r="O336" s="20" t="str">
        <f t="shared" si="166"/>
        <v>OK</v>
      </c>
    </row>
    <row r="337" spans="1:15" ht="12" customHeight="1" x14ac:dyDescent="0.25">
      <c r="A337" s="91" t="s">
        <v>16</v>
      </c>
      <c r="B337" s="32">
        <v>3</v>
      </c>
      <c r="C337" s="36">
        <v>1161990</v>
      </c>
      <c r="D337" s="52">
        <v>45826</v>
      </c>
      <c r="E337" s="32" t="s">
        <v>15</v>
      </c>
      <c r="F337" s="32" t="str">
        <f t="shared" si="168"/>
        <v>M22</v>
      </c>
      <c r="G337" s="61" t="str">
        <f t="shared" si="168"/>
        <v>307</v>
      </c>
      <c r="H337" s="72" t="str">
        <f>H336</f>
        <v>C6</v>
      </c>
      <c r="I337" s="72">
        <f>I336</f>
        <v>2</v>
      </c>
      <c r="J337" s="37" t="s">
        <v>37</v>
      </c>
      <c r="K337" s="37">
        <v>24</v>
      </c>
      <c r="L337" s="17">
        <v>1.18</v>
      </c>
      <c r="M337" s="19">
        <v>4.92</v>
      </c>
      <c r="N337" s="18">
        <f t="shared" si="164"/>
        <v>3.74</v>
      </c>
      <c r="O337" s="20" t="str">
        <f t="shared" si="166"/>
        <v>OK</v>
      </c>
    </row>
    <row r="338" spans="1:15" ht="12" customHeight="1" x14ac:dyDescent="0.25">
      <c r="A338" s="91" t="s">
        <v>16</v>
      </c>
      <c r="B338" s="32">
        <v>3</v>
      </c>
      <c r="C338" s="36">
        <v>1161990</v>
      </c>
      <c r="D338" s="52">
        <v>45826</v>
      </c>
      <c r="E338" s="32" t="s">
        <v>15</v>
      </c>
      <c r="F338" s="32" t="str">
        <f t="shared" si="168"/>
        <v>M22</v>
      </c>
      <c r="G338" s="61" t="str">
        <f t="shared" si="168"/>
        <v>307</v>
      </c>
      <c r="H338" s="72" t="str">
        <f>H337</f>
        <v>C6</v>
      </c>
      <c r="I338" s="72">
        <f>I337</f>
        <v>2</v>
      </c>
      <c r="J338" s="37" t="s">
        <v>38</v>
      </c>
      <c r="K338" s="37">
        <v>24</v>
      </c>
      <c r="L338" s="17">
        <v>1.65</v>
      </c>
      <c r="M338" s="19">
        <v>4.91</v>
      </c>
      <c r="N338" s="18">
        <f t="shared" si="164"/>
        <v>3.2600000000000002</v>
      </c>
      <c r="O338" s="20" t="str">
        <f t="shared" si="166"/>
        <v>OK</v>
      </c>
    </row>
    <row r="339" spans="1:15" ht="12" customHeight="1" x14ac:dyDescent="0.25">
      <c r="A339" s="91" t="s">
        <v>16</v>
      </c>
      <c r="B339" s="32">
        <v>3</v>
      </c>
      <c r="C339" s="36">
        <v>1161990</v>
      </c>
      <c r="D339" s="52">
        <v>45826</v>
      </c>
      <c r="E339" s="32" t="s">
        <v>15</v>
      </c>
      <c r="F339" s="32" t="s">
        <v>44</v>
      </c>
      <c r="G339" s="61" t="s">
        <v>62</v>
      </c>
      <c r="H339" s="72" t="s">
        <v>47</v>
      </c>
      <c r="I339" s="72">
        <v>2</v>
      </c>
      <c r="J339" s="37" t="s">
        <v>31</v>
      </c>
      <c r="K339" s="37">
        <v>25</v>
      </c>
      <c r="L339" s="17">
        <v>1.1200000000000001</v>
      </c>
      <c r="M339" s="19">
        <v>3.09</v>
      </c>
      <c r="N339" s="18">
        <f t="shared" si="164"/>
        <v>1.9699999999999998</v>
      </c>
      <c r="O339" s="20" t="str">
        <f t="shared" si="166"/>
        <v>OK</v>
      </c>
    </row>
    <row r="340" spans="1:15" ht="12" customHeight="1" x14ac:dyDescent="0.25">
      <c r="A340" s="91" t="s">
        <v>16</v>
      </c>
      <c r="B340" s="32">
        <v>3</v>
      </c>
      <c r="C340" s="36">
        <v>1161990</v>
      </c>
      <c r="D340" s="52">
        <v>45826</v>
      </c>
      <c r="E340" s="32" t="s">
        <v>15</v>
      </c>
      <c r="F340" s="32" t="str">
        <f t="shared" ref="F340:I342" si="170">F339</f>
        <v>M22</v>
      </c>
      <c r="G340" s="61" t="str">
        <f t="shared" si="170"/>
        <v>306</v>
      </c>
      <c r="H340" s="72" t="str">
        <f t="shared" si="170"/>
        <v>C6</v>
      </c>
      <c r="I340" s="72">
        <f t="shared" si="170"/>
        <v>2</v>
      </c>
      <c r="J340" s="37" t="s">
        <v>32</v>
      </c>
      <c r="K340" s="37">
        <v>25</v>
      </c>
      <c r="L340" s="17">
        <v>0.56000000000000005</v>
      </c>
      <c r="M340" s="19">
        <v>1.1499999999999999</v>
      </c>
      <c r="N340" s="18">
        <f t="shared" si="164"/>
        <v>0.58999999999999986</v>
      </c>
      <c r="O340" s="20" t="str">
        <f t="shared" si="166"/>
        <v>Seguimiento</v>
      </c>
    </row>
    <row r="341" spans="1:15" ht="12" customHeight="1" x14ac:dyDescent="0.25">
      <c r="A341" s="91" t="s">
        <v>16</v>
      </c>
      <c r="B341" s="32">
        <v>3</v>
      </c>
      <c r="C341" s="36">
        <v>1161990</v>
      </c>
      <c r="D341" s="52">
        <v>45826</v>
      </c>
      <c r="E341" s="32" t="s">
        <v>15</v>
      </c>
      <c r="F341" s="32" t="str">
        <f t="shared" si="170"/>
        <v>M22</v>
      </c>
      <c r="G341" s="61" t="str">
        <f t="shared" si="170"/>
        <v>306</v>
      </c>
      <c r="H341" s="72" t="str">
        <f t="shared" si="170"/>
        <v>C6</v>
      </c>
      <c r="I341" s="72">
        <f t="shared" si="170"/>
        <v>2</v>
      </c>
      <c r="J341" s="37" t="s">
        <v>33</v>
      </c>
      <c r="K341" s="37">
        <v>26</v>
      </c>
      <c r="L341" s="17">
        <v>0.54</v>
      </c>
      <c r="M341" s="19">
        <v>4.95</v>
      </c>
      <c r="N341" s="18">
        <f t="shared" si="164"/>
        <v>4.41</v>
      </c>
      <c r="O341" s="20" t="str">
        <f t="shared" si="166"/>
        <v>OK</v>
      </c>
    </row>
    <row r="342" spans="1:15" ht="12" customHeight="1" x14ac:dyDescent="0.25">
      <c r="A342" s="91" t="s">
        <v>16</v>
      </c>
      <c r="B342" s="32">
        <v>3</v>
      </c>
      <c r="C342" s="36">
        <v>1161990</v>
      </c>
      <c r="D342" s="52">
        <v>45826</v>
      </c>
      <c r="E342" s="32" t="s">
        <v>15</v>
      </c>
      <c r="F342" s="32" t="str">
        <f t="shared" si="170"/>
        <v>M22</v>
      </c>
      <c r="G342" s="61" t="str">
        <f t="shared" si="170"/>
        <v>306</v>
      </c>
      <c r="H342" s="72" t="str">
        <f t="shared" si="170"/>
        <v>C6</v>
      </c>
      <c r="I342" s="72">
        <f t="shared" si="170"/>
        <v>2</v>
      </c>
      <c r="J342" s="37" t="s">
        <v>34</v>
      </c>
      <c r="K342" s="37">
        <v>26</v>
      </c>
      <c r="L342" s="17">
        <v>0.51</v>
      </c>
      <c r="M342" s="19">
        <v>2.36</v>
      </c>
      <c r="N342" s="18">
        <f t="shared" si="164"/>
        <v>1.8499999999999999</v>
      </c>
      <c r="O342" s="20" t="str">
        <f t="shared" si="166"/>
        <v>OK</v>
      </c>
    </row>
    <row r="343" spans="1:15" ht="12" customHeight="1" x14ac:dyDescent="0.25">
      <c r="A343" s="91" t="s">
        <v>16</v>
      </c>
      <c r="B343" s="32">
        <v>3</v>
      </c>
      <c r="C343" s="36">
        <v>1161990</v>
      </c>
      <c r="D343" s="52">
        <v>45826</v>
      </c>
      <c r="E343" s="32" t="s">
        <v>15</v>
      </c>
      <c r="F343" s="32" t="str">
        <f t="shared" ref="F343:H346" si="171">F342</f>
        <v>M22</v>
      </c>
      <c r="G343" s="61" t="str">
        <f t="shared" si="171"/>
        <v>306</v>
      </c>
      <c r="H343" s="72" t="str">
        <f t="shared" si="171"/>
        <v>C6</v>
      </c>
      <c r="I343" s="72">
        <v>1</v>
      </c>
      <c r="J343" s="37" t="s">
        <v>35</v>
      </c>
      <c r="K343" s="37">
        <v>27</v>
      </c>
      <c r="L343" s="17">
        <v>0.27</v>
      </c>
      <c r="M343" s="19">
        <v>1.52</v>
      </c>
      <c r="N343" s="18">
        <f t="shared" si="164"/>
        <v>1.25</v>
      </c>
      <c r="O343" s="20" t="str">
        <f t="shared" si="166"/>
        <v>OK</v>
      </c>
    </row>
    <row r="344" spans="1:15" ht="12" customHeight="1" x14ac:dyDescent="0.25">
      <c r="A344" s="91" t="s">
        <v>16</v>
      </c>
      <c r="B344" s="32">
        <v>3</v>
      </c>
      <c r="C344" s="36">
        <v>1161990</v>
      </c>
      <c r="D344" s="52">
        <v>45826</v>
      </c>
      <c r="E344" s="32" t="s">
        <v>15</v>
      </c>
      <c r="F344" s="32" t="str">
        <f t="shared" si="171"/>
        <v>M22</v>
      </c>
      <c r="G344" s="61" t="str">
        <f t="shared" si="171"/>
        <v>306</v>
      </c>
      <c r="H344" s="72" t="str">
        <f t="shared" si="171"/>
        <v>C6</v>
      </c>
      <c r="I344" s="72">
        <f>I343</f>
        <v>1</v>
      </c>
      <c r="J344" s="37" t="s">
        <v>36</v>
      </c>
      <c r="K344" s="37">
        <v>27</v>
      </c>
      <c r="L344" s="17">
        <v>0.56999999999999995</v>
      </c>
      <c r="M344" s="19">
        <v>4.99</v>
      </c>
      <c r="N344" s="18">
        <f t="shared" si="164"/>
        <v>4.42</v>
      </c>
      <c r="O344" s="20" t="str">
        <f t="shared" si="166"/>
        <v>OK</v>
      </c>
    </row>
    <row r="345" spans="1:15" ht="12" customHeight="1" x14ac:dyDescent="0.25">
      <c r="A345" s="91" t="s">
        <v>16</v>
      </c>
      <c r="B345" s="32">
        <v>3</v>
      </c>
      <c r="C345" s="36">
        <v>1161990</v>
      </c>
      <c r="D345" s="52">
        <v>45826</v>
      </c>
      <c r="E345" s="32" t="s">
        <v>15</v>
      </c>
      <c r="F345" s="32" t="str">
        <f t="shared" si="171"/>
        <v>M22</v>
      </c>
      <c r="G345" s="61" t="str">
        <f t="shared" si="171"/>
        <v>306</v>
      </c>
      <c r="H345" s="72" t="str">
        <f t="shared" si="171"/>
        <v>C6</v>
      </c>
      <c r="I345" s="72">
        <f>I344</f>
        <v>1</v>
      </c>
      <c r="J345" s="37" t="s">
        <v>37</v>
      </c>
      <c r="K345" s="37">
        <v>28</v>
      </c>
      <c r="L345" s="17">
        <v>0.6</v>
      </c>
      <c r="M345" s="19">
        <v>4.82</v>
      </c>
      <c r="N345" s="18">
        <f t="shared" si="164"/>
        <v>4.2200000000000006</v>
      </c>
      <c r="O345" s="20" t="str">
        <f t="shared" si="166"/>
        <v>OK</v>
      </c>
    </row>
    <row r="346" spans="1:15" ht="12" customHeight="1" x14ac:dyDescent="0.25">
      <c r="A346" s="91" t="s">
        <v>16</v>
      </c>
      <c r="B346" s="32">
        <v>3</v>
      </c>
      <c r="C346" s="36">
        <v>1161990</v>
      </c>
      <c r="D346" s="52">
        <v>45826</v>
      </c>
      <c r="E346" s="32" t="s">
        <v>15</v>
      </c>
      <c r="F346" s="32" t="str">
        <f t="shared" si="171"/>
        <v>M22</v>
      </c>
      <c r="G346" s="61" t="str">
        <f t="shared" si="171"/>
        <v>306</v>
      </c>
      <c r="H346" s="72" t="str">
        <f t="shared" si="171"/>
        <v>C6</v>
      </c>
      <c r="I346" s="72">
        <f>I345</f>
        <v>1</v>
      </c>
      <c r="J346" s="37" t="s">
        <v>38</v>
      </c>
      <c r="K346" s="37">
        <v>28</v>
      </c>
      <c r="L346" s="17">
        <v>0.46</v>
      </c>
      <c r="M346" s="19">
        <v>4.8099999999999996</v>
      </c>
      <c r="N346" s="18">
        <f t="shared" si="164"/>
        <v>4.3499999999999996</v>
      </c>
      <c r="O346" s="20" t="str">
        <f t="shared" si="166"/>
        <v>OK</v>
      </c>
    </row>
    <row r="347" spans="1:15" ht="12" customHeight="1" x14ac:dyDescent="0.25">
      <c r="A347" s="91" t="s">
        <v>16</v>
      </c>
      <c r="B347" s="32">
        <v>3</v>
      </c>
      <c r="C347" s="36">
        <v>1161990</v>
      </c>
      <c r="D347" s="52">
        <v>45826</v>
      </c>
      <c r="E347" s="32" t="s">
        <v>15</v>
      </c>
      <c r="F347" s="32" t="str">
        <f t="shared" ref="F347:G354" si="172">F346</f>
        <v>M22</v>
      </c>
      <c r="G347" s="61" t="str">
        <f t="shared" si="172"/>
        <v>306</v>
      </c>
      <c r="H347" s="72" t="s">
        <v>46</v>
      </c>
      <c r="I347" s="72">
        <v>2</v>
      </c>
      <c r="J347" s="37" t="s">
        <v>31</v>
      </c>
      <c r="K347" s="37">
        <v>29</v>
      </c>
      <c r="L347" s="17">
        <v>0.81</v>
      </c>
      <c r="M347" s="19">
        <v>3.92</v>
      </c>
      <c r="N347" s="18">
        <f t="shared" si="164"/>
        <v>3.11</v>
      </c>
      <c r="O347" s="20" t="str">
        <f t="shared" si="166"/>
        <v>OK</v>
      </c>
    </row>
    <row r="348" spans="1:15" ht="12" customHeight="1" x14ac:dyDescent="0.25">
      <c r="A348" s="91" t="s">
        <v>16</v>
      </c>
      <c r="B348" s="32">
        <v>3</v>
      </c>
      <c r="C348" s="36">
        <v>1161990</v>
      </c>
      <c r="D348" s="52">
        <v>45826</v>
      </c>
      <c r="E348" s="32" t="s">
        <v>15</v>
      </c>
      <c r="F348" s="32" t="str">
        <f t="shared" si="172"/>
        <v>M22</v>
      </c>
      <c r="G348" s="61" t="str">
        <f t="shared" si="172"/>
        <v>306</v>
      </c>
      <c r="H348" s="72" t="str">
        <f t="shared" ref="H348:I350" si="173">H347</f>
        <v>C5</v>
      </c>
      <c r="I348" s="72">
        <f t="shared" si="173"/>
        <v>2</v>
      </c>
      <c r="J348" s="37" t="s">
        <v>32</v>
      </c>
      <c r="K348" s="37">
        <v>29</v>
      </c>
      <c r="L348" s="17">
        <v>0.52</v>
      </c>
      <c r="M348" s="19">
        <v>4.79</v>
      </c>
      <c r="N348" s="18">
        <f t="shared" si="164"/>
        <v>4.2699999999999996</v>
      </c>
      <c r="O348" s="20" t="str">
        <f t="shared" si="166"/>
        <v>OK</v>
      </c>
    </row>
    <row r="349" spans="1:15" ht="12" customHeight="1" x14ac:dyDescent="0.25">
      <c r="A349" s="91" t="s">
        <v>16</v>
      </c>
      <c r="B349" s="32">
        <v>3</v>
      </c>
      <c r="C349" s="36">
        <v>1161990</v>
      </c>
      <c r="D349" s="52">
        <v>45826</v>
      </c>
      <c r="E349" s="32" t="s">
        <v>15</v>
      </c>
      <c r="F349" s="32" t="str">
        <f t="shared" si="172"/>
        <v>M22</v>
      </c>
      <c r="G349" s="61" t="str">
        <f t="shared" si="172"/>
        <v>306</v>
      </c>
      <c r="H349" s="72" t="str">
        <f t="shared" si="173"/>
        <v>C5</v>
      </c>
      <c r="I349" s="72">
        <f t="shared" si="173"/>
        <v>2</v>
      </c>
      <c r="J349" s="37" t="s">
        <v>33</v>
      </c>
      <c r="K349" s="37">
        <v>30</v>
      </c>
      <c r="L349" s="17">
        <v>0.31</v>
      </c>
      <c r="M349" s="19">
        <v>4.97</v>
      </c>
      <c r="N349" s="18">
        <f t="shared" si="164"/>
        <v>4.66</v>
      </c>
      <c r="O349" s="20" t="str">
        <f t="shared" si="166"/>
        <v>OK</v>
      </c>
    </row>
    <row r="350" spans="1:15" ht="12" customHeight="1" x14ac:dyDescent="0.25">
      <c r="A350" s="91" t="s">
        <v>16</v>
      </c>
      <c r="B350" s="32">
        <v>3</v>
      </c>
      <c r="C350" s="36">
        <v>1161990</v>
      </c>
      <c r="D350" s="52">
        <v>45826</v>
      </c>
      <c r="E350" s="32" t="s">
        <v>15</v>
      </c>
      <c r="F350" s="32" t="str">
        <f t="shared" si="172"/>
        <v>M22</v>
      </c>
      <c r="G350" s="61" t="str">
        <f t="shared" si="172"/>
        <v>306</v>
      </c>
      <c r="H350" s="72" t="str">
        <f t="shared" si="173"/>
        <v>C5</v>
      </c>
      <c r="I350" s="72">
        <f t="shared" si="173"/>
        <v>2</v>
      </c>
      <c r="J350" s="37" t="s">
        <v>34</v>
      </c>
      <c r="K350" s="37">
        <v>30</v>
      </c>
      <c r="L350" s="17">
        <v>0.35</v>
      </c>
      <c r="M350" s="19">
        <v>3.96</v>
      </c>
      <c r="N350" s="18">
        <f t="shared" si="164"/>
        <v>3.61</v>
      </c>
      <c r="O350" s="20" t="str">
        <f t="shared" si="166"/>
        <v>OK</v>
      </c>
    </row>
    <row r="351" spans="1:15" ht="12" customHeight="1" x14ac:dyDescent="0.25">
      <c r="A351" s="91" t="s">
        <v>16</v>
      </c>
      <c r="B351" s="32">
        <v>3</v>
      </c>
      <c r="C351" s="36">
        <v>1161990</v>
      </c>
      <c r="D351" s="52">
        <v>45826</v>
      </c>
      <c r="E351" s="32" t="s">
        <v>15</v>
      </c>
      <c r="F351" s="32" t="str">
        <f t="shared" si="172"/>
        <v>M22</v>
      </c>
      <c r="G351" s="61" t="str">
        <f t="shared" si="172"/>
        <v>306</v>
      </c>
      <c r="H351" s="72" t="str">
        <f>H350</f>
        <v>C5</v>
      </c>
      <c r="I351" s="72">
        <v>1</v>
      </c>
      <c r="J351" s="37" t="s">
        <v>35</v>
      </c>
      <c r="K351" s="37">
        <v>31</v>
      </c>
      <c r="L351" s="17">
        <v>0.9</v>
      </c>
      <c r="M351" s="19">
        <v>1.75</v>
      </c>
      <c r="N351" s="18">
        <f t="shared" si="164"/>
        <v>0.85</v>
      </c>
      <c r="O351" s="20" t="str">
        <f t="shared" si="166"/>
        <v>Seguimiento</v>
      </c>
    </row>
    <row r="352" spans="1:15" ht="12" customHeight="1" x14ac:dyDescent="0.25">
      <c r="A352" s="91" t="s">
        <v>16</v>
      </c>
      <c r="B352" s="32">
        <v>3</v>
      </c>
      <c r="C352" s="36">
        <v>1161990</v>
      </c>
      <c r="D352" s="52">
        <v>45826</v>
      </c>
      <c r="E352" s="32" t="s">
        <v>15</v>
      </c>
      <c r="F352" s="32" t="str">
        <f t="shared" si="172"/>
        <v>M22</v>
      </c>
      <c r="G352" s="61" t="str">
        <f t="shared" si="172"/>
        <v>306</v>
      </c>
      <c r="H352" s="72" t="str">
        <f>H351</f>
        <v>C5</v>
      </c>
      <c r="I352" s="72">
        <f>I351</f>
        <v>1</v>
      </c>
      <c r="J352" s="37" t="s">
        <v>36</v>
      </c>
      <c r="K352" s="37">
        <v>31</v>
      </c>
      <c r="L352" s="17">
        <v>0.59</v>
      </c>
      <c r="M352" s="19">
        <v>4.99</v>
      </c>
      <c r="N352" s="18">
        <f t="shared" si="164"/>
        <v>4.4000000000000004</v>
      </c>
      <c r="O352" s="20" t="str">
        <f t="shared" si="166"/>
        <v>OK</v>
      </c>
    </row>
    <row r="353" spans="1:15" ht="12" customHeight="1" x14ac:dyDescent="0.25">
      <c r="A353" s="91" t="s">
        <v>16</v>
      </c>
      <c r="B353" s="32">
        <v>3</v>
      </c>
      <c r="C353" s="36">
        <v>1161990</v>
      </c>
      <c r="D353" s="52">
        <v>45826</v>
      </c>
      <c r="E353" s="32" t="s">
        <v>15</v>
      </c>
      <c r="F353" s="32" t="str">
        <f t="shared" si="172"/>
        <v>M22</v>
      </c>
      <c r="G353" s="61" t="str">
        <f t="shared" si="172"/>
        <v>306</v>
      </c>
      <c r="H353" s="72" t="str">
        <f>H352</f>
        <v>C5</v>
      </c>
      <c r="I353" s="72">
        <f>I352</f>
        <v>1</v>
      </c>
      <c r="J353" s="37" t="s">
        <v>37</v>
      </c>
      <c r="K353" s="37">
        <v>32</v>
      </c>
      <c r="L353" s="17">
        <v>0.41</v>
      </c>
      <c r="M353" s="19">
        <v>4.88</v>
      </c>
      <c r="N353" s="18">
        <f t="shared" si="164"/>
        <v>4.47</v>
      </c>
      <c r="O353" s="20" t="str">
        <f t="shared" si="166"/>
        <v>OK</v>
      </c>
    </row>
    <row r="354" spans="1:15" ht="12" customHeight="1" x14ac:dyDescent="0.25">
      <c r="A354" s="91" t="s">
        <v>16</v>
      </c>
      <c r="B354" s="32">
        <v>3</v>
      </c>
      <c r="C354" s="36">
        <v>1161990</v>
      </c>
      <c r="D354" s="52">
        <v>45826</v>
      </c>
      <c r="E354" s="32" t="s">
        <v>15</v>
      </c>
      <c r="F354" s="32" t="str">
        <f t="shared" si="172"/>
        <v>M22</v>
      </c>
      <c r="G354" s="61" t="str">
        <f t="shared" si="172"/>
        <v>306</v>
      </c>
      <c r="H354" s="72" t="str">
        <f>H353</f>
        <v>C5</v>
      </c>
      <c r="I354" s="72">
        <f>I353</f>
        <v>1</v>
      </c>
      <c r="J354" s="37" t="s">
        <v>38</v>
      </c>
      <c r="K354" s="37">
        <v>32</v>
      </c>
      <c r="L354" s="17">
        <v>0.57999999999999996</v>
      </c>
      <c r="M354" s="19">
        <v>4.2</v>
      </c>
      <c r="N354" s="18">
        <f t="shared" si="164"/>
        <v>3.62</v>
      </c>
      <c r="O354" s="20" t="str">
        <f t="shared" si="166"/>
        <v>OK</v>
      </c>
    </row>
    <row r="355" spans="1:15" ht="12" customHeight="1" x14ac:dyDescent="0.25">
      <c r="A355" s="91" t="s">
        <v>16</v>
      </c>
      <c r="B355" s="32">
        <v>3</v>
      </c>
      <c r="C355" s="36">
        <v>1161990</v>
      </c>
      <c r="D355" s="52">
        <v>45826</v>
      </c>
      <c r="E355" s="32" t="s">
        <v>15</v>
      </c>
      <c r="F355" s="32" t="s">
        <v>40</v>
      </c>
      <c r="G355" s="61" t="s">
        <v>63</v>
      </c>
      <c r="H355" s="72" t="s">
        <v>43</v>
      </c>
      <c r="I355" s="72">
        <v>2</v>
      </c>
      <c r="J355" s="37" t="s">
        <v>31</v>
      </c>
      <c r="K355" s="37">
        <v>33</v>
      </c>
      <c r="L355" s="17">
        <v>0.2</v>
      </c>
      <c r="M355" s="19">
        <v>3.23</v>
      </c>
      <c r="N355" s="18">
        <f t="shared" ref="N355:N418" si="174">+M355-L355</f>
        <v>3.03</v>
      </c>
      <c r="O355" s="20" t="str">
        <f t="shared" si="166"/>
        <v>OK</v>
      </c>
    </row>
    <row r="356" spans="1:15" ht="12" customHeight="1" x14ac:dyDescent="0.25">
      <c r="A356" s="91" t="s">
        <v>16</v>
      </c>
      <c r="B356" s="32">
        <v>3</v>
      </c>
      <c r="C356" s="36">
        <v>1161990</v>
      </c>
      <c r="D356" s="52">
        <v>45826</v>
      </c>
      <c r="E356" s="32" t="s">
        <v>15</v>
      </c>
      <c r="F356" s="32" t="str">
        <f t="shared" ref="F356:I358" si="175">F355</f>
        <v>M21</v>
      </c>
      <c r="G356" s="61" t="str">
        <f t="shared" si="175"/>
        <v>012</v>
      </c>
      <c r="H356" s="72" t="str">
        <f t="shared" si="175"/>
        <v>C4</v>
      </c>
      <c r="I356" s="72">
        <f t="shared" si="175"/>
        <v>2</v>
      </c>
      <c r="J356" s="37" t="s">
        <v>32</v>
      </c>
      <c r="K356" s="37">
        <v>33</v>
      </c>
      <c r="L356" s="17">
        <v>0.39</v>
      </c>
      <c r="M356" s="19">
        <v>4.3099999999999996</v>
      </c>
      <c r="N356" s="18">
        <f t="shared" si="174"/>
        <v>3.9199999999999995</v>
      </c>
      <c r="O356" s="20" t="str">
        <f t="shared" si="166"/>
        <v>OK</v>
      </c>
    </row>
    <row r="357" spans="1:15" ht="12" customHeight="1" x14ac:dyDescent="0.25">
      <c r="A357" s="91" t="s">
        <v>16</v>
      </c>
      <c r="B357" s="32">
        <v>3</v>
      </c>
      <c r="C357" s="36">
        <v>1161990</v>
      </c>
      <c r="D357" s="52">
        <v>45826</v>
      </c>
      <c r="E357" s="32" t="s">
        <v>15</v>
      </c>
      <c r="F357" s="32" t="str">
        <f t="shared" si="175"/>
        <v>M21</v>
      </c>
      <c r="G357" s="61" t="str">
        <f t="shared" si="175"/>
        <v>012</v>
      </c>
      <c r="H357" s="72" t="str">
        <f t="shared" si="175"/>
        <v>C4</v>
      </c>
      <c r="I357" s="72">
        <f t="shared" si="175"/>
        <v>2</v>
      </c>
      <c r="J357" s="37" t="s">
        <v>33</v>
      </c>
      <c r="K357" s="37">
        <v>34</v>
      </c>
      <c r="L357" s="17">
        <v>0.6</v>
      </c>
      <c r="M357" s="19">
        <v>4.0199999999999996</v>
      </c>
      <c r="N357" s="18">
        <f t="shared" si="174"/>
        <v>3.4199999999999995</v>
      </c>
      <c r="O357" s="20" t="str">
        <f t="shared" si="166"/>
        <v>OK</v>
      </c>
    </row>
    <row r="358" spans="1:15" ht="12" customHeight="1" x14ac:dyDescent="0.25">
      <c r="A358" s="91" t="s">
        <v>16</v>
      </c>
      <c r="B358" s="32">
        <v>3</v>
      </c>
      <c r="C358" s="36">
        <v>1161990</v>
      </c>
      <c r="D358" s="52">
        <v>45826</v>
      </c>
      <c r="E358" s="32" t="s">
        <v>15</v>
      </c>
      <c r="F358" s="32" t="str">
        <f t="shared" si="175"/>
        <v>M21</v>
      </c>
      <c r="G358" s="61" t="str">
        <f t="shared" si="175"/>
        <v>012</v>
      </c>
      <c r="H358" s="72" t="str">
        <f t="shared" si="175"/>
        <v>C4</v>
      </c>
      <c r="I358" s="72">
        <f t="shared" si="175"/>
        <v>2</v>
      </c>
      <c r="J358" s="37" t="s">
        <v>34</v>
      </c>
      <c r="K358" s="37">
        <v>34</v>
      </c>
      <c r="L358" s="17">
        <v>0.24</v>
      </c>
      <c r="M358" s="19">
        <v>2.4900000000000002</v>
      </c>
      <c r="N358" s="18">
        <f t="shared" si="174"/>
        <v>2.25</v>
      </c>
      <c r="O358" s="20" t="str">
        <f t="shared" si="166"/>
        <v>OK</v>
      </c>
    </row>
    <row r="359" spans="1:15" ht="12" customHeight="1" x14ac:dyDescent="0.25">
      <c r="A359" s="91" t="s">
        <v>16</v>
      </c>
      <c r="B359" s="32">
        <v>3</v>
      </c>
      <c r="C359" s="36">
        <v>1161990</v>
      </c>
      <c r="D359" s="52">
        <v>45826</v>
      </c>
      <c r="E359" s="32" t="s">
        <v>15</v>
      </c>
      <c r="F359" s="32" t="str">
        <f t="shared" ref="F359:H362" si="176">F358</f>
        <v>M21</v>
      </c>
      <c r="G359" s="61" t="str">
        <f t="shared" si="176"/>
        <v>012</v>
      </c>
      <c r="H359" s="72" t="str">
        <f t="shared" si="176"/>
        <v>C4</v>
      </c>
      <c r="I359" s="72">
        <v>1</v>
      </c>
      <c r="J359" s="37" t="s">
        <v>35</v>
      </c>
      <c r="K359" s="37">
        <v>35</v>
      </c>
      <c r="L359" s="17">
        <v>0.91</v>
      </c>
      <c r="M359" s="19">
        <v>3.18</v>
      </c>
      <c r="N359" s="18">
        <f t="shared" si="174"/>
        <v>2.27</v>
      </c>
      <c r="O359" s="20" t="str">
        <f t="shared" si="166"/>
        <v>OK</v>
      </c>
    </row>
    <row r="360" spans="1:15" ht="12" customHeight="1" x14ac:dyDescent="0.25">
      <c r="A360" s="91" t="s">
        <v>16</v>
      </c>
      <c r="B360" s="32">
        <v>3</v>
      </c>
      <c r="C360" s="36">
        <v>1161990</v>
      </c>
      <c r="D360" s="52">
        <v>45826</v>
      </c>
      <c r="E360" s="32" t="s">
        <v>15</v>
      </c>
      <c r="F360" s="32" t="str">
        <f t="shared" si="176"/>
        <v>M21</v>
      </c>
      <c r="G360" s="61" t="str">
        <f t="shared" si="176"/>
        <v>012</v>
      </c>
      <c r="H360" s="72" t="str">
        <f t="shared" si="176"/>
        <v>C4</v>
      </c>
      <c r="I360" s="72">
        <f>I359</f>
        <v>1</v>
      </c>
      <c r="J360" s="37" t="s">
        <v>36</v>
      </c>
      <c r="K360" s="37">
        <v>35</v>
      </c>
      <c r="L360" s="17">
        <v>0.27</v>
      </c>
      <c r="M360" s="19">
        <v>3.72</v>
      </c>
      <c r="N360" s="18">
        <f t="shared" si="174"/>
        <v>3.45</v>
      </c>
      <c r="O360" s="20" t="str">
        <f t="shared" si="166"/>
        <v>OK</v>
      </c>
    </row>
    <row r="361" spans="1:15" ht="12" customHeight="1" x14ac:dyDescent="0.25">
      <c r="A361" s="91" t="s">
        <v>16</v>
      </c>
      <c r="B361" s="32">
        <v>3</v>
      </c>
      <c r="C361" s="36">
        <v>1161990</v>
      </c>
      <c r="D361" s="52">
        <v>45826</v>
      </c>
      <c r="E361" s="32" t="s">
        <v>15</v>
      </c>
      <c r="F361" s="32" t="str">
        <f t="shared" si="176"/>
        <v>M21</v>
      </c>
      <c r="G361" s="61" t="str">
        <f t="shared" si="176"/>
        <v>012</v>
      </c>
      <c r="H361" s="72" t="str">
        <f t="shared" si="176"/>
        <v>C4</v>
      </c>
      <c r="I361" s="72">
        <f>I360</f>
        <v>1</v>
      </c>
      <c r="J361" s="37" t="s">
        <v>37</v>
      </c>
      <c r="K361" s="37">
        <v>36</v>
      </c>
      <c r="L361" s="17">
        <v>0.53</v>
      </c>
      <c r="M361" s="19">
        <v>3.74</v>
      </c>
      <c r="N361" s="18">
        <f t="shared" si="174"/>
        <v>3.21</v>
      </c>
      <c r="O361" s="20" t="str">
        <f t="shared" si="166"/>
        <v>OK</v>
      </c>
    </row>
    <row r="362" spans="1:15" ht="12" customHeight="1" x14ac:dyDescent="0.25">
      <c r="A362" s="91" t="s">
        <v>16</v>
      </c>
      <c r="B362" s="32">
        <v>3</v>
      </c>
      <c r="C362" s="36">
        <v>1161990</v>
      </c>
      <c r="D362" s="52">
        <v>45826</v>
      </c>
      <c r="E362" s="32" t="s">
        <v>15</v>
      </c>
      <c r="F362" s="32" t="str">
        <f t="shared" si="176"/>
        <v>M21</v>
      </c>
      <c r="G362" s="61" t="str">
        <f t="shared" si="176"/>
        <v>012</v>
      </c>
      <c r="H362" s="72" t="str">
        <f t="shared" si="176"/>
        <v>C4</v>
      </c>
      <c r="I362" s="72">
        <f>I361</f>
        <v>1</v>
      </c>
      <c r="J362" s="37" t="s">
        <v>38</v>
      </c>
      <c r="K362" s="37">
        <v>36</v>
      </c>
      <c r="L362" s="17">
        <v>0.65</v>
      </c>
      <c r="M362" s="19">
        <v>4.0199999999999996</v>
      </c>
      <c r="N362" s="18">
        <f t="shared" si="174"/>
        <v>3.3699999999999997</v>
      </c>
      <c r="O362" s="20" t="str">
        <f t="shared" si="166"/>
        <v>OK</v>
      </c>
    </row>
    <row r="363" spans="1:15" ht="12" customHeight="1" x14ac:dyDescent="0.25">
      <c r="A363" s="91" t="s">
        <v>16</v>
      </c>
      <c r="B363" s="32">
        <v>3</v>
      </c>
      <c r="C363" s="36">
        <v>1161990</v>
      </c>
      <c r="D363" s="52">
        <v>45826</v>
      </c>
      <c r="E363" s="32" t="s">
        <v>15</v>
      </c>
      <c r="F363" s="32" t="str">
        <f t="shared" ref="F363:G370" si="177">F362</f>
        <v>M21</v>
      </c>
      <c r="G363" s="61" t="str">
        <f t="shared" si="177"/>
        <v>012</v>
      </c>
      <c r="H363" s="72" t="s">
        <v>42</v>
      </c>
      <c r="I363" s="72">
        <v>2</v>
      </c>
      <c r="J363" s="37" t="s">
        <v>31</v>
      </c>
      <c r="K363" s="37">
        <v>37</v>
      </c>
      <c r="L363" s="17">
        <v>1.08</v>
      </c>
      <c r="M363" s="19">
        <v>4.07</v>
      </c>
      <c r="N363" s="18">
        <f t="shared" si="174"/>
        <v>2.99</v>
      </c>
      <c r="O363" s="20" t="str">
        <f t="shared" si="166"/>
        <v>OK</v>
      </c>
    </row>
    <row r="364" spans="1:15" ht="12" customHeight="1" x14ac:dyDescent="0.25">
      <c r="A364" s="91" t="s">
        <v>16</v>
      </c>
      <c r="B364" s="32">
        <v>3</v>
      </c>
      <c r="C364" s="36">
        <v>1161990</v>
      </c>
      <c r="D364" s="52">
        <v>45826</v>
      </c>
      <c r="E364" s="32" t="s">
        <v>15</v>
      </c>
      <c r="F364" s="32" t="str">
        <f t="shared" si="177"/>
        <v>M21</v>
      </c>
      <c r="G364" s="61" t="str">
        <f t="shared" si="177"/>
        <v>012</v>
      </c>
      <c r="H364" s="72" t="str">
        <f t="shared" ref="H364:I366" si="178">H363</f>
        <v>C3</v>
      </c>
      <c r="I364" s="72">
        <f t="shared" si="178"/>
        <v>2</v>
      </c>
      <c r="J364" s="37" t="s">
        <v>32</v>
      </c>
      <c r="K364" s="37">
        <v>37</v>
      </c>
      <c r="L364" s="17">
        <v>1.21</v>
      </c>
      <c r="M364" s="19">
        <v>3.97</v>
      </c>
      <c r="N364" s="18">
        <f t="shared" si="174"/>
        <v>2.7600000000000002</v>
      </c>
      <c r="O364" s="20" t="str">
        <f t="shared" si="166"/>
        <v>OK</v>
      </c>
    </row>
    <row r="365" spans="1:15" ht="12" customHeight="1" x14ac:dyDescent="0.25">
      <c r="A365" s="91" t="s">
        <v>16</v>
      </c>
      <c r="B365" s="32">
        <v>3</v>
      </c>
      <c r="C365" s="36">
        <v>1161990</v>
      </c>
      <c r="D365" s="52">
        <v>45826</v>
      </c>
      <c r="E365" s="32" t="s">
        <v>15</v>
      </c>
      <c r="F365" s="32" t="str">
        <f t="shared" si="177"/>
        <v>M21</v>
      </c>
      <c r="G365" s="61" t="str">
        <f t="shared" si="177"/>
        <v>012</v>
      </c>
      <c r="H365" s="72" t="str">
        <f t="shared" si="178"/>
        <v>C3</v>
      </c>
      <c r="I365" s="72">
        <f t="shared" si="178"/>
        <v>2</v>
      </c>
      <c r="J365" s="37" t="s">
        <v>33</v>
      </c>
      <c r="K365" s="37">
        <v>38</v>
      </c>
      <c r="L365" s="17">
        <v>1.01</v>
      </c>
      <c r="M365" s="19">
        <v>4.66</v>
      </c>
      <c r="N365" s="18">
        <f t="shared" si="174"/>
        <v>3.6500000000000004</v>
      </c>
      <c r="O365" s="20" t="str">
        <f t="shared" si="166"/>
        <v>OK</v>
      </c>
    </row>
    <row r="366" spans="1:15" ht="12" customHeight="1" x14ac:dyDescent="0.25">
      <c r="A366" s="91" t="s">
        <v>16</v>
      </c>
      <c r="B366" s="32">
        <v>3</v>
      </c>
      <c r="C366" s="36">
        <v>1161990</v>
      </c>
      <c r="D366" s="52">
        <v>45826</v>
      </c>
      <c r="E366" s="32" t="s">
        <v>15</v>
      </c>
      <c r="F366" s="32" t="str">
        <f t="shared" si="177"/>
        <v>M21</v>
      </c>
      <c r="G366" s="61" t="str">
        <f t="shared" si="177"/>
        <v>012</v>
      </c>
      <c r="H366" s="72" t="str">
        <f t="shared" si="178"/>
        <v>C3</v>
      </c>
      <c r="I366" s="72">
        <f t="shared" si="178"/>
        <v>2</v>
      </c>
      <c r="J366" s="37" t="s">
        <v>34</v>
      </c>
      <c r="K366" s="37">
        <v>38</v>
      </c>
      <c r="L366" s="17">
        <v>0.55000000000000004</v>
      </c>
      <c r="M366" s="19">
        <v>2.99</v>
      </c>
      <c r="N366" s="18">
        <f t="shared" si="174"/>
        <v>2.4400000000000004</v>
      </c>
      <c r="O366" s="20" t="str">
        <f t="shared" si="166"/>
        <v>OK</v>
      </c>
    </row>
    <row r="367" spans="1:15" ht="12" customHeight="1" x14ac:dyDescent="0.25">
      <c r="A367" s="91" t="s">
        <v>16</v>
      </c>
      <c r="B367" s="32">
        <v>3</v>
      </c>
      <c r="C367" s="36">
        <v>1161990</v>
      </c>
      <c r="D367" s="52">
        <v>45826</v>
      </c>
      <c r="E367" s="32" t="s">
        <v>15</v>
      </c>
      <c r="F367" s="32" t="str">
        <f t="shared" si="177"/>
        <v>M21</v>
      </c>
      <c r="G367" s="61" t="str">
        <f t="shared" si="177"/>
        <v>012</v>
      </c>
      <c r="H367" s="72" t="str">
        <f>H366</f>
        <v>C3</v>
      </c>
      <c r="I367" s="72">
        <v>1</v>
      </c>
      <c r="J367" s="37" t="s">
        <v>35</v>
      </c>
      <c r="K367" s="37">
        <v>39</v>
      </c>
      <c r="L367" s="17">
        <v>0.77</v>
      </c>
      <c r="M367" s="19">
        <v>3.9</v>
      </c>
      <c r="N367" s="18">
        <f t="shared" si="174"/>
        <v>3.13</v>
      </c>
      <c r="O367" s="20" t="str">
        <f t="shared" si="166"/>
        <v>OK</v>
      </c>
    </row>
    <row r="368" spans="1:15" ht="12" customHeight="1" x14ac:dyDescent="0.25">
      <c r="A368" s="91" t="s">
        <v>16</v>
      </c>
      <c r="B368" s="32">
        <v>3</v>
      </c>
      <c r="C368" s="36">
        <v>1161990</v>
      </c>
      <c r="D368" s="52">
        <v>45826</v>
      </c>
      <c r="E368" s="32" t="s">
        <v>15</v>
      </c>
      <c r="F368" s="32" t="str">
        <f t="shared" si="177"/>
        <v>M21</v>
      </c>
      <c r="G368" s="61" t="str">
        <f t="shared" si="177"/>
        <v>012</v>
      </c>
      <c r="H368" s="72" t="str">
        <f>H367</f>
        <v>C3</v>
      </c>
      <c r="I368" s="72">
        <f>I367</f>
        <v>1</v>
      </c>
      <c r="J368" s="37" t="s">
        <v>36</v>
      </c>
      <c r="K368" s="37">
        <v>39</v>
      </c>
      <c r="L368" s="17">
        <v>0.26</v>
      </c>
      <c r="M368" s="19">
        <v>4.6900000000000004</v>
      </c>
      <c r="N368" s="18">
        <f t="shared" si="174"/>
        <v>4.4300000000000006</v>
      </c>
      <c r="O368" s="20" t="str">
        <f t="shared" si="166"/>
        <v>OK</v>
      </c>
    </row>
    <row r="369" spans="1:15" ht="12" customHeight="1" x14ac:dyDescent="0.25">
      <c r="A369" s="91" t="s">
        <v>16</v>
      </c>
      <c r="B369" s="32">
        <v>3</v>
      </c>
      <c r="C369" s="36">
        <v>1161990</v>
      </c>
      <c r="D369" s="52">
        <v>45826</v>
      </c>
      <c r="E369" s="32" t="s">
        <v>15</v>
      </c>
      <c r="F369" s="32" t="str">
        <f t="shared" si="177"/>
        <v>M21</v>
      </c>
      <c r="G369" s="61" t="str">
        <f t="shared" si="177"/>
        <v>012</v>
      </c>
      <c r="H369" s="72" t="str">
        <f>H368</f>
        <v>C3</v>
      </c>
      <c r="I369" s="72">
        <f>I368</f>
        <v>1</v>
      </c>
      <c r="J369" s="37" t="s">
        <v>37</v>
      </c>
      <c r="K369" s="37">
        <v>40</v>
      </c>
      <c r="L369" s="17">
        <v>0.33</v>
      </c>
      <c r="M369" s="19">
        <v>3.22</v>
      </c>
      <c r="N369" s="18">
        <f t="shared" si="174"/>
        <v>2.89</v>
      </c>
      <c r="O369" s="20" t="str">
        <f t="shared" si="166"/>
        <v>OK</v>
      </c>
    </row>
    <row r="370" spans="1:15" ht="12" customHeight="1" x14ac:dyDescent="0.25">
      <c r="A370" s="91" t="s">
        <v>16</v>
      </c>
      <c r="B370" s="32">
        <v>3</v>
      </c>
      <c r="C370" s="36">
        <v>1161990</v>
      </c>
      <c r="D370" s="52">
        <v>45826</v>
      </c>
      <c r="E370" s="32" t="s">
        <v>15</v>
      </c>
      <c r="F370" s="32" t="str">
        <f t="shared" si="177"/>
        <v>M21</v>
      </c>
      <c r="G370" s="61" t="str">
        <f t="shared" si="177"/>
        <v>012</v>
      </c>
      <c r="H370" s="72" t="str">
        <f>H369</f>
        <v>C3</v>
      </c>
      <c r="I370" s="72">
        <f>I369</f>
        <v>1</v>
      </c>
      <c r="J370" s="37" t="s">
        <v>38</v>
      </c>
      <c r="K370" s="37">
        <v>40</v>
      </c>
      <c r="L370" s="17">
        <v>1.01</v>
      </c>
      <c r="M370" s="19">
        <v>4.18</v>
      </c>
      <c r="N370" s="18">
        <f t="shared" si="174"/>
        <v>3.17</v>
      </c>
      <c r="O370" s="20" t="str">
        <f t="shared" si="166"/>
        <v>OK</v>
      </c>
    </row>
    <row r="371" spans="1:15" ht="12" customHeight="1" x14ac:dyDescent="0.25">
      <c r="A371" s="91" t="s">
        <v>16</v>
      </c>
      <c r="B371" s="32">
        <v>3</v>
      </c>
      <c r="C371" s="36">
        <v>1161990</v>
      </c>
      <c r="D371" s="52">
        <v>45826</v>
      </c>
      <c r="E371" s="32" t="s">
        <v>15</v>
      </c>
      <c r="F371" s="32" t="s">
        <v>28</v>
      </c>
      <c r="G371" s="61" t="s">
        <v>64</v>
      </c>
      <c r="H371" s="72" t="s">
        <v>39</v>
      </c>
      <c r="I371" s="72">
        <v>2</v>
      </c>
      <c r="J371" s="37" t="s">
        <v>31</v>
      </c>
      <c r="K371" s="37">
        <v>41</v>
      </c>
      <c r="L371" s="17">
        <v>0.15</v>
      </c>
      <c r="M371" s="19">
        <v>0.18</v>
      </c>
      <c r="N371" s="18">
        <f t="shared" si="174"/>
        <v>0.03</v>
      </c>
      <c r="O371" s="20" t="str">
        <f t="shared" si="166"/>
        <v>Cambio</v>
      </c>
    </row>
    <row r="372" spans="1:15" ht="12" customHeight="1" x14ac:dyDescent="0.25">
      <c r="A372" s="91" t="s">
        <v>16</v>
      </c>
      <c r="B372" s="32">
        <v>3</v>
      </c>
      <c r="C372" s="36">
        <v>1161990</v>
      </c>
      <c r="D372" s="52">
        <v>45826</v>
      </c>
      <c r="E372" s="32" t="s">
        <v>15</v>
      </c>
      <c r="F372" s="32" t="str">
        <f t="shared" ref="F372:I374" si="179">F371</f>
        <v>M20</v>
      </c>
      <c r="G372" s="61" t="str">
        <f t="shared" si="179"/>
        <v>011</v>
      </c>
      <c r="H372" s="72" t="str">
        <f t="shared" si="179"/>
        <v>C2</v>
      </c>
      <c r="I372" s="72">
        <f t="shared" si="179"/>
        <v>2</v>
      </c>
      <c r="J372" s="37" t="s">
        <v>32</v>
      </c>
      <c r="K372" s="37">
        <v>41</v>
      </c>
      <c r="L372" s="17">
        <v>0.11</v>
      </c>
      <c r="M372" s="19">
        <v>2.42</v>
      </c>
      <c r="N372" s="18">
        <f t="shared" si="174"/>
        <v>2.31</v>
      </c>
      <c r="O372" s="20" t="str">
        <f t="shared" si="166"/>
        <v>OK</v>
      </c>
    </row>
    <row r="373" spans="1:15" ht="12" customHeight="1" x14ac:dyDescent="0.25">
      <c r="A373" s="91" t="s">
        <v>16</v>
      </c>
      <c r="B373" s="32">
        <v>3</v>
      </c>
      <c r="C373" s="36">
        <v>1161990</v>
      </c>
      <c r="D373" s="52">
        <v>45826</v>
      </c>
      <c r="E373" s="32" t="s">
        <v>15</v>
      </c>
      <c r="F373" s="32" t="str">
        <f t="shared" si="179"/>
        <v>M20</v>
      </c>
      <c r="G373" s="61" t="str">
        <f t="shared" si="179"/>
        <v>011</v>
      </c>
      <c r="H373" s="72" t="str">
        <f t="shared" si="179"/>
        <v>C2</v>
      </c>
      <c r="I373" s="72">
        <f t="shared" si="179"/>
        <v>2</v>
      </c>
      <c r="J373" s="37" t="s">
        <v>33</v>
      </c>
      <c r="K373" s="37">
        <v>42</v>
      </c>
      <c r="L373" s="17">
        <v>0.4</v>
      </c>
      <c r="M373" s="19">
        <v>3.86</v>
      </c>
      <c r="N373" s="18">
        <f t="shared" si="174"/>
        <v>3.46</v>
      </c>
      <c r="O373" s="20" t="str">
        <f t="shared" si="166"/>
        <v>OK</v>
      </c>
    </row>
    <row r="374" spans="1:15" ht="12" customHeight="1" x14ac:dyDescent="0.25">
      <c r="A374" s="91" t="s">
        <v>16</v>
      </c>
      <c r="B374" s="32">
        <v>3</v>
      </c>
      <c r="C374" s="36">
        <v>1161990</v>
      </c>
      <c r="D374" s="52">
        <v>45826</v>
      </c>
      <c r="E374" s="32" t="s">
        <v>15</v>
      </c>
      <c r="F374" s="32" t="str">
        <f t="shared" si="179"/>
        <v>M20</v>
      </c>
      <c r="G374" s="61" t="str">
        <f t="shared" si="179"/>
        <v>011</v>
      </c>
      <c r="H374" s="72" t="str">
        <f t="shared" si="179"/>
        <v>C2</v>
      </c>
      <c r="I374" s="72">
        <f t="shared" si="179"/>
        <v>2</v>
      </c>
      <c r="J374" s="37" t="s">
        <v>34</v>
      </c>
      <c r="K374" s="37">
        <v>42</v>
      </c>
      <c r="L374" s="17">
        <v>0.87</v>
      </c>
      <c r="M374" s="19">
        <v>3.53</v>
      </c>
      <c r="N374" s="18">
        <f t="shared" si="174"/>
        <v>2.6599999999999997</v>
      </c>
      <c r="O374" s="20" t="str">
        <f t="shared" si="166"/>
        <v>OK</v>
      </c>
    </row>
    <row r="375" spans="1:15" ht="12" customHeight="1" x14ac:dyDescent="0.25">
      <c r="A375" s="91" t="s">
        <v>16</v>
      </c>
      <c r="B375" s="32">
        <v>3</v>
      </c>
      <c r="C375" s="36">
        <v>1161990</v>
      </c>
      <c r="D375" s="52">
        <v>45826</v>
      </c>
      <c r="E375" s="32" t="s">
        <v>15</v>
      </c>
      <c r="F375" s="32" t="str">
        <f t="shared" ref="F375:H378" si="180">F374</f>
        <v>M20</v>
      </c>
      <c r="G375" s="61" t="str">
        <f t="shared" si="180"/>
        <v>011</v>
      </c>
      <c r="H375" s="72" t="str">
        <f t="shared" si="180"/>
        <v>C2</v>
      </c>
      <c r="I375" s="72">
        <v>1</v>
      </c>
      <c r="J375" s="37" t="s">
        <v>35</v>
      </c>
      <c r="K375" s="37">
        <v>43</v>
      </c>
      <c r="L375" s="17">
        <v>0.17</v>
      </c>
      <c r="M375" s="19">
        <v>1.1299999999999999</v>
      </c>
      <c r="N375" s="18">
        <f t="shared" si="174"/>
        <v>0.95999999999999985</v>
      </c>
      <c r="O375" s="20" t="str">
        <f t="shared" si="166"/>
        <v>Seguimiento</v>
      </c>
    </row>
    <row r="376" spans="1:15" ht="12" customHeight="1" x14ac:dyDescent="0.25">
      <c r="A376" s="91" t="s">
        <v>16</v>
      </c>
      <c r="B376" s="32">
        <v>3</v>
      </c>
      <c r="C376" s="36">
        <v>1161990</v>
      </c>
      <c r="D376" s="52">
        <v>45826</v>
      </c>
      <c r="E376" s="32" t="s">
        <v>15</v>
      </c>
      <c r="F376" s="32" t="str">
        <f t="shared" si="180"/>
        <v>M20</v>
      </c>
      <c r="G376" s="61" t="str">
        <f t="shared" si="180"/>
        <v>011</v>
      </c>
      <c r="H376" s="72" t="str">
        <f t="shared" si="180"/>
        <v>C2</v>
      </c>
      <c r="I376" s="72">
        <f>I375</f>
        <v>1</v>
      </c>
      <c r="J376" s="37" t="s">
        <v>36</v>
      </c>
      <c r="K376" s="37">
        <v>43</v>
      </c>
      <c r="L376" s="17">
        <v>0.36</v>
      </c>
      <c r="M376" s="19">
        <v>2.21</v>
      </c>
      <c r="N376" s="18">
        <f t="shared" si="174"/>
        <v>1.85</v>
      </c>
      <c r="O376" s="20" t="str">
        <f t="shared" si="166"/>
        <v>OK</v>
      </c>
    </row>
    <row r="377" spans="1:15" ht="12" customHeight="1" x14ac:dyDescent="0.25">
      <c r="A377" s="91" t="s">
        <v>16</v>
      </c>
      <c r="B377" s="32">
        <v>3</v>
      </c>
      <c r="C377" s="36">
        <v>1161990</v>
      </c>
      <c r="D377" s="52">
        <v>45826</v>
      </c>
      <c r="E377" s="32" t="s">
        <v>15</v>
      </c>
      <c r="F377" s="32" t="str">
        <f t="shared" si="180"/>
        <v>M20</v>
      </c>
      <c r="G377" s="61" t="str">
        <f t="shared" si="180"/>
        <v>011</v>
      </c>
      <c r="H377" s="72" t="str">
        <f t="shared" si="180"/>
        <v>C2</v>
      </c>
      <c r="I377" s="72">
        <f>I376</f>
        <v>1</v>
      </c>
      <c r="J377" s="37" t="s">
        <v>37</v>
      </c>
      <c r="K377" s="37">
        <v>44</v>
      </c>
      <c r="L377" s="17">
        <v>0.42</v>
      </c>
      <c r="M377" s="19">
        <v>3.02</v>
      </c>
      <c r="N377" s="18">
        <f t="shared" si="174"/>
        <v>2.6</v>
      </c>
      <c r="O377" s="20" t="str">
        <f t="shared" si="166"/>
        <v>OK</v>
      </c>
    </row>
    <row r="378" spans="1:15" ht="12" customHeight="1" x14ac:dyDescent="0.25">
      <c r="A378" s="91" t="s">
        <v>16</v>
      </c>
      <c r="B378" s="32">
        <v>3</v>
      </c>
      <c r="C378" s="36">
        <v>1161990</v>
      </c>
      <c r="D378" s="52">
        <v>45826</v>
      </c>
      <c r="E378" s="32" t="s">
        <v>15</v>
      </c>
      <c r="F378" s="32" t="str">
        <f t="shared" si="180"/>
        <v>M20</v>
      </c>
      <c r="G378" s="61" t="str">
        <f t="shared" si="180"/>
        <v>011</v>
      </c>
      <c r="H378" s="72" t="str">
        <f t="shared" si="180"/>
        <v>C2</v>
      </c>
      <c r="I378" s="72">
        <f>I377</f>
        <v>1</v>
      </c>
      <c r="J378" s="37" t="s">
        <v>38</v>
      </c>
      <c r="K378" s="37">
        <v>44</v>
      </c>
      <c r="L378" s="17">
        <v>0.79</v>
      </c>
      <c r="M378" s="19">
        <v>3.3</v>
      </c>
      <c r="N378" s="18">
        <f t="shared" si="174"/>
        <v>2.5099999999999998</v>
      </c>
      <c r="O378" s="20" t="str">
        <f t="shared" si="166"/>
        <v>OK</v>
      </c>
    </row>
    <row r="379" spans="1:15" ht="12" customHeight="1" x14ac:dyDescent="0.25">
      <c r="A379" s="91" t="s">
        <v>16</v>
      </c>
      <c r="B379" s="32">
        <v>3</v>
      </c>
      <c r="C379" s="36">
        <v>1161990</v>
      </c>
      <c r="D379" s="52">
        <v>45826</v>
      </c>
      <c r="E379" s="32" t="s">
        <v>15</v>
      </c>
      <c r="F379" s="32" t="str">
        <f t="shared" ref="F379:G386" si="181">F378</f>
        <v>M20</v>
      </c>
      <c r="G379" s="61" t="str">
        <f t="shared" si="181"/>
        <v>011</v>
      </c>
      <c r="H379" s="72" t="s">
        <v>30</v>
      </c>
      <c r="I379" s="72">
        <v>2</v>
      </c>
      <c r="J379" s="37" t="s">
        <v>31</v>
      </c>
      <c r="K379" s="37">
        <v>45</v>
      </c>
      <c r="L379" s="17">
        <v>0.67</v>
      </c>
      <c r="M379" s="19">
        <v>4.0199999999999996</v>
      </c>
      <c r="N379" s="18">
        <f t="shared" si="174"/>
        <v>3.3499999999999996</v>
      </c>
      <c r="O379" s="20" t="str">
        <f t="shared" si="166"/>
        <v>OK</v>
      </c>
    </row>
    <row r="380" spans="1:15" ht="12" customHeight="1" x14ac:dyDescent="0.25">
      <c r="A380" s="91" t="s">
        <v>16</v>
      </c>
      <c r="B380" s="32">
        <v>3</v>
      </c>
      <c r="C380" s="36">
        <v>1161990</v>
      </c>
      <c r="D380" s="52">
        <v>45826</v>
      </c>
      <c r="E380" s="32" t="s">
        <v>15</v>
      </c>
      <c r="F380" s="32" t="str">
        <f t="shared" si="181"/>
        <v>M20</v>
      </c>
      <c r="G380" s="61" t="str">
        <f t="shared" si="181"/>
        <v>011</v>
      </c>
      <c r="H380" s="72" t="str">
        <f t="shared" ref="H380:I382" si="182">H379</f>
        <v>C1</v>
      </c>
      <c r="I380" s="72">
        <f t="shared" si="182"/>
        <v>2</v>
      </c>
      <c r="J380" s="37" t="s">
        <v>32</v>
      </c>
      <c r="K380" s="37">
        <v>45</v>
      </c>
      <c r="L380" s="17">
        <v>0.05</v>
      </c>
      <c r="M380" s="19">
        <v>1.64</v>
      </c>
      <c r="N380" s="18">
        <f t="shared" si="174"/>
        <v>1.5899999999999999</v>
      </c>
      <c r="O380" s="20" t="str">
        <f t="shared" si="166"/>
        <v>OK</v>
      </c>
    </row>
    <row r="381" spans="1:15" ht="12" customHeight="1" x14ac:dyDescent="0.25">
      <c r="A381" s="91" t="s">
        <v>16</v>
      </c>
      <c r="B381" s="32">
        <v>3</v>
      </c>
      <c r="C381" s="36">
        <v>1161990</v>
      </c>
      <c r="D381" s="52">
        <v>45826</v>
      </c>
      <c r="E381" s="32" t="s">
        <v>15</v>
      </c>
      <c r="F381" s="32" t="str">
        <f t="shared" si="181"/>
        <v>M20</v>
      </c>
      <c r="G381" s="61" t="str">
        <f t="shared" si="181"/>
        <v>011</v>
      </c>
      <c r="H381" s="72" t="str">
        <f t="shared" si="182"/>
        <v>C1</v>
      </c>
      <c r="I381" s="72">
        <f t="shared" si="182"/>
        <v>2</v>
      </c>
      <c r="J381" s="37" t="s">
        <v>33</v>
      </c>
      <c r="K381" s="37">
        <v>46</v>
      </c>
      <c r="L381" s="17">
        <v>0.12</v>
      </c>
      <c r="M381" s="19">
        <v>4.6500000000000004</v>
      </c>
      <c r="N381" s="18">
        <f t="shared" si="174"/>
        <v>4.53</v>
      </c>
      <c r="O381" s="20" t="str">
        <f t="shared" si="166"/>
        <v>OK</v>
      </c>
    </row>
    <row r="382" spans="1:15" ht="12" customHeight="1" x14ac:dyDescent="0.25">
      <c r="A382" s="91" t="s">
        <v>16</v>
      </c>
      <c r="B382" s="32">
        <v>3</v>
      </c>
      <c r="C382" s="36">
        <v>1161990</v>
      </c>
      <c r="D382" s="52">
        <v>45826</v>
      </c>
      <c r="E382" s="32" t="s">
        <v>15</v>
      </c>
      <c r="F382" s="32" t="str">
        <f t="shared" si="181"/>
        <v>M20</v>
      </c>
      <c r="G382" s="61" t="str">
        <f t="shared" si="181"/>
        <v>011</v>
      </c>
      <c r="H382" s="72" t="str">
        <f t="shared" si="182"/>
        <v>C1</v>
      </c>
      <c r="I382" s="72">
        <f t="shared" si="182"/>
        <v>2</v>
      </c>
      <c r="J382" s="37" t="s">
        <v>34</v>
      </c>
      <c r="K382" s="37">
        <v>46</v>
      </c>
      <c r="L382" s="17">
        <v>0.2</v>
      </c>
      <c r="M382" s="19">
        <v>1.62</v>
      </c>
      <c r="N382" s="18">
        <f t="shared" si="174"/>
        <v>1.4200000000000002</v>
      </c>
      <c r="O382" s="20" t="str">
        <f t="shared" si="166"/>
        <v>OK</v>
      </c>
    </row>
    <row r="383" spans="1:15" ht="12" customHeight="1" x14ac:dyDescent="0.25">
      <c r="A383" s="91" t="s">
        <v>16</v>
      </c>
      <c r="B383" s="32">
        <v>3</v>
      </c>
      <c r="C383" s="36">
        <v>1161990</v>
      </c>
      <c r="D383" s="52">
        <v>45826</v>
      </c>
      <c r="E383" s="32" t="s">
        <v>15</v>
      </c>
      <c r="F383" s="32" t="str">
        <f t="shared" si="181"/>
        <v>M20</v>
      </c>
      <c r="G383" s="61" t="str">
        <f t="shared" si="181"/>
        <v>011</v>
      </c>
      <c r="H383" s="72" t="str">
        <f>H382</f>
        <v>C1</v>
      </c>
      <c r="I383" s="72">
        <v>1</v>
      </c>
      <c r="J383" s="37" t="s">
        <v>35</v>
      </c>
      <c r="K383" s="37">
        <v>47</v>
      </c>
      <c r="L383" s="17">
        <v>1.1000000000000001</v>
      </c>
      <c r="M383" s="19">
        <v>2.82</v>
      </c>
      <c r="N383" s="18">
        <f t="shared" si="174"/>
        <v>1.7199999999999998</v>
      </c>
      <c r="O383" s="20" t="str">
        <f t="shared" si="166"/>
        <v>OK</v>
      </c>
    </row>
    <row r="384" spans="1:15" ht="12" customHeight="1" x14ac:dyDescent="0.25">
      <c r="A384" s="91" t="s">
        <v>16</v>
      </c>
      <c r="B384" s="32">
        <v>3</v>
      </c>
      <c r="C384" s="36">
        <v>1161990</v>
      </c>
      <c r="D384" s="52">
        <v>45826</v>
      </c>
      <c r="E384" s="32" t="s">
        <v>15</v>
      </c>
      <c r="F384" s="32" t="str">
        <f t="shared" si="181"/>
        <v>M20</v>
      </c>
      <c r="G384" s="61" t="str">
        <f t="shared" si="181"/>
        <v>011</v>
      </c>
      <c r="H384" s="72" t="str">
        <f>H383</f>
        <v>C1</v>
      </c>
      <c r="I384" s="72">
        <f>I383</f>
        <v>1</v>
      </c>
      <c r="J384" s="37" t="s">
        <v>36</v>
      </c>
      <c r="K384" s="37">
        <v>47</v>
      </c>
      <c r="L384" s="17">
        <v>0.2</v>
      </c>
      <c r="M384" s="19">
        <v>1.62</v>
      </c>
      <c r="N384" s="18">
        <f t="shared" si="174"/>
        <v>1.4200000000000002</v>
      </c>
      <c r="O384" s="20" t="str">
        <f t="shared" si="166"/>
        <v>OK</v>
      </c>
    </row>
    <row r="385" spans="1:15" ht="12" customHeight="1" x14ac:dyDescent="0.25">
      <c r="A385" s="91" t="s">
        <v>16</v>
      </c>
      <c r="B385" s="32">
        <v>3</v>
      </c>
      <c r="C385" s="36">
        <v>1161990</v>
      </c>
      <c r="D385" s="52">
        <v>45826</v>
      </c>
      <c r="E385" s="32" t="s">
        <v>15</v>
      </c>
      <c r="F385" s="32" t="str">
        <f t="shared" si="181"/>
        <v>M20</v>
      </c>
      <c r="G385" s="61" t="str">
        <f t="shared" si="181"/>
        <v>011</v>
      </c>
      <c r="H385" s="72" t="str">
        <f>H384</f>
        <v>C1</v>
      </c>
      <c r="I385" s="72">
        <f>I384</f>
        <v>1</v>
      </c>
      <c r="J385" s="37" t="s">
        <v>37</v>
      </c>
      <c r="K385" s="37">
        <v>48</v>
      </c>
      <c r="L385" s="17">
        <v>0.09</v>
      </c>
      <c r="M385" s="19">
        <v>2.79</v>
      </c>
      <c r="N385" s="18">
        <f t="shared" si="174"/>
        <v>2.7</v>
      </c>
      <c r="O385" s="20" t="str">
        <f t="shared" si="166"/>
        <v>OK</v>
      </c>
    </row>
    <row r="386" spans="1:15" ht="12" customHeight="1" thickBot="1" x14ac:dyDescent="0.3">
      <c r="A386" s="91" t="s">
        <v>16</v>
      </c>
      <c r="B386" s="48">
        <v>3</v>
      </c>
      <c r="C386" s="36">
        <v>1161990</v>
      </c>
      <c r="D386" s="52">
        <v>45826</v>
      </c>
      <c r="E386" s="48" t="s">
        <v>15</v>
      </c>
      <c r="F386" s="48" t="str">
        <f t="shared" si="181"/>
        <v>M20</v>
      </c>
      <c r="G386" s="73" t="str">
        <f t="shared" si="181"/>
        <v>011</v>
      </c>
      <c r="H386" s="74" t="str">
        <f>H385</f>
        <v>C1</v>
      </c>
      <c r="I386" s="74">
        <f>I385</f>
        <v>1</v>
      </c>
      <c r="J386" s="41" t="s">
        <v>38</v>
      </c>
      <c r="K386" s="37">
        <v>48</v>
      </c>
      <c r="L386" s="51">
        <v>1.21</v>
      </c>
      <c r="M386" s="34">
        <v>3.81</v>
      </c>
      <c r="N386" s="50">
        <f t="shared" si="174"/>
        <v>2.6</v>
      </c>
      <c r="O386" s="20" t="str">
        <f t="shared" si="166"/>
        <v>OK</v>
      </c>
    </row>
    <row r="387" spans="1:15" ht="12" customHeight="1" x14ac:dyDescent="0.25">
      <c r="A387" s="91" t="s">
        <v>16</v>
      </c>
      <c r="B387" s="32">
        <v>3</v>
      </c>
      <c r="C387" s="36">
        <v>1198360</v>
      </c>
      <c r="D387" s="52">
        <v>46126</v>
      </c>
      <c r="E387" s="32" t="s">
        <v>15</v>
      </c>
      <c r="F387" s="32" t="s">
        <v>28</v>
      </c>
      <c r="G387" s="61" t="s">
        <v>59</v>
      </c>
      <c r="H387" s="72" t="s">
        <v>30</v>
      </c>
      <c r="I387" s="72">
        <v>1</v>
      </c>
      <c r="J387" s="37" t="s">
        <v>31</v>
      </c>
      <c r="K387" s="37">
        <v>1</v>
      </c>
      <c r="L387" s="17">
        <v>0.39</v>
      </c>
      <c r="M387" s="19">
        <v>1.85</v>
      </c>
      <c r="N387" s="18">
        <f t="shared" si="174"/>
        <v>1.46</v>
      </c>
      <c r="O387" s="20" t="str">
        <f t="shared" si="166"/>
        <v>OK</v>
      </c>
    </row>
    <row r="388" spans="1:15" ht="12" customHeight="1" x14ac:dyDescent="0.25">
      <c r="A388" s="91" t="s">
        <v>16</v>
      </c>
      <c r="B388" s="32">
        <v>3</v>
      </c>
      <c r="C388" s="36">
        <v>1198360</v>
      </c>
      <c r="D388" s="52">
        <v>46126</v>
      </c>
      <c r="E388" s="32" t="s">
        <v>15</v>
      </c>
      <c r="F388" s="32" t="str">
        <f t="shared" ref="F388:I388" si="183">F387</f>
        <v>M20</v>
      </c>
      <c r="G388" s="61" t="str">
        <f t="shared" si="183"/>
        <v>009</v>
      </c>
      <c r="H388" s="72" t="str">
        <f t="shared" si="183"/>
        <v>C1</v>
      </c>
      <c r="I388" s="72">
        <f t="shared" si="183"/>
        <v>1</v>
      </c>
      <c r="J388" s="37" t="s">
        <v>32</v>
      </c>
      <c r="K388" s="37">
        <v>1</v>
      </c>
      <c r="L388" s="17">
        <v>0.87</v>
      </c>
      <c r="M388" s="19">
        <v>3.79</v>
      </c>
      <c r="N388" s="18">
        <f t="shared" si="174"/>
        <v>2.92</v>
      </c>
      <c r="O388" s="20" t="str">
        <f t="shared" ref="O388:O451" si="184">IF(N388&lt;=0,"Critico",IF(N388&lt;=0.2,"Cambio",IF(N388&lt;=1,"Seguimiento",IF(L388&gt;=1.7,"Reperfilado","OK"))))</f>
        <v>OK</v>
      </c>
    </row>
    <row r="389" spans="1:15" ht="12" customHeight="1" x14ac:dyDescent="0.25">
      <c r="A389" s="91" t="s">
        <v>16</v>
      </c>
      <c r="B389" s="32">
        <v>3</v>
      </c>
      <c r="C389" s="36">
        <v>1198360</v>
      </c>
      <c r="D389" s="52">
        <v>46126</v>
      </c>
      <c r="E389" s="32" t="s">
        <v>15</v>
      </c>
      <c r="F389" s="32" t="str">
        <f t="shared" ref="F389:I389" si="185">F388</f>
        <v>M20</v>
      </c>
      <c r="G389" s="61" t="str">
        <f t="shared" si="185"/>
        <v>009</v>
      </c>
      <c r="H389" s="72" t="str">
        <f t="shared" si="185"/>
        <v>C1</v>
      </c>
      <c r="I389" s="72">
        <f t="shared" si="185"/>
        <v>1</v>
      </c>
      <c r="J389" s="37" t="s">
        <v>33</v>
      </c>
      <c r="K389" s="37">
        <v>2</v>
      </c>
      <c r="L389" s="17">
        <v>1.22</v>
      </c>
      <c r="M389" s="19">
        <v>1.57</v>
      </c>
      <c r="N389" s="18">
        <f t="shared" si="174"/>
        <v>0.35000000000000009</v>
      </c>
      <c r="O389" s="20" t="str">
        <f t="shared" si="184"/>
        <v>Seguimiento</v>
      </c>
    </row>
    <row r="390" spans="1:15" ht="12" customHeight="1" x14ac:dyDescent="0.25">
      <c r="A390" s="91" t="s">
        <v>16</v>
      </c>
      <c r="B390" s="32">
        <v>3</v>
      </c>
      <c r="C390" s="36">
        <v>1198360</v>
      </c>
      <c r="D390" s="52">
        <v>46126</v>
      </c>
      <c r="E390" s="32" t="s">
        <v>15</v>
      </c>
      <c r="F390" s="32" t="str">
        <f t="shared" ref="F390:I390" si="186">F389</f>
        <v>M20</v>
      </c>
      <c r="G390" s="61" t="str">
        <f t="shared" si="186"/>
        <v>009</v>
      </c>
      <c r="H390" s="72" t="str">
        <f t="shared" si="186"/>
        <v>C1</v>
      </c>
      <c r="I390" s="72">
        <f t="shared" si="186"/>
        <v>1</v>
      </c>
      <c r="J390" s="37" t="s">
        <v>34</v>
      </c>
      <c r="K390" s="37">
        <v>2</v>
      </c>
      <c r="L390" s="17">
        <v>0.93</v>
      </c>
      <c r="M390" s="19">
        <v>2.84</v>
      </c>
      <c r="N390" s="18">
        <f t="shared" si="174"/>
        <v>1.9099999999999997</v>
      </c>
      <c r="O390" s="20" t="str">
        <f t="shared" si="184"/>
        <v>OK</v>
      </c>
    </row>
    <row r="391" spans="1:15" ht="12" customHeight="1" x14ac:dyDescent="0.25">
      <c r="A391" s="91" t="s">
        <v>16</v>
      </c>
      <c r="B391" s="32">
        <v>3</v>
      </c>
      <c r="C391" s="36">
        <v>1198360</v>
      </c>
      <c r="D391" s="52">
        <v>46126</v>
      </c>
      <c r="E391" s="32" t="s">
        <v>15</v>
      </c>
      <c r="F391" s="32" t="str">
        <f t="shared" ref="F391:H391" si="187">F390</f>
        <v>M20</v>
      </c>
      <c r="G391" s="61" t="str">
        <f t="shared" si="187"/>
        <v>009</v>
      </c>
      <c r="H391" s="72" t="str">
        <f t="shared" si="187"/>
        <v>C1</v>
      </c>
      <c r="I391" s="72">
        <v>2</v>
      </c>
      <c r="J391" s="37" t="s">
        <v>35</v>
      </c>
      <c r="K391" s="37">
        <v>3</v>
      </c>
      <c r="L391" s="17">
        <v>0.62</v>
      </c>
      <c r="M391" s="19">
        <v>1.45</v>
      </c>
      <c r="N391" s="18">
        <f t="shared" si="174"/>
        <v>0.83</v>
      </c>
      <c r="O391" s="20" t="str">
        <f t="shared" si="184"/>
        <v>Seguimiento</v>
      </c>
    </row>
    <row r="392" spans="1:15" ht="12" customHeight="1" x14ac:dyDescent="0.25">
      <c r="A392" s="91" t="s">
        <v>16</v>
      </c>
      <c r="B392" s="32">
        <v>3</v>
      </c>
      <c r="C392" s="36">
        <v>1198360</v>
      </c>
      <c r="D392" s="52">
        <v>46126</v>
      </c>
      <c r="E392" s="32" t="s">
        <v>15</v>
      </c>
      <c r="F392" s="32" t="str">
        <f t="shared" ref="F392:H392" si="188">F391</f>
        <v>M20</v>
      </c>
      <c r="G392" s="61" t="str">
        <f t="shared" si="188"/>
        <v>009</v>
      </c>
      <c r="H392" s="72" t="str">
        <f t="shared" si="188"/>
        <v>C1</v>
      </c>
      <c r="I392" s="72">
        <f>I391</f>
        <v>2</v>
      </c>
      <c r="J392" s="37" t="s">
        <v>36</v>
      </c>
      <c r="K392" s="37">
        <v>3</v>
      </c>
      <c r="L392" s="17">
        <v>0.52</v>
      </c>
      <c r="M392" s="19">
        <v>2.23</v>
      </c>
      <c r="N392" s="18">
        <f t="shared" si="174"/>
        <v>1.71</v>
      </c>
      <c r="O392" s="20" t="str">
        <f t="shared" si="184"/>
        <v>OK</v>
      </c>
    </row>
    <row r="393" spans="1:15" ht="12" customHeight="1" x14ac:dyDescent="0.25">
      <c r="A393" s="91" t="s">
        <v>16</v>
      </c>
      <c r="B393" s="32">
        <v>3</v>
      </c>
      <c r="C393" s="36">
        <v>1198360</v>
      </c>
      <c r="D393" s="52">
        <v>46126</v>
      </c>
      <c r="E393" s="32" t="s">
        <v>15</v>
      </c>
      <c r="F393" s="32" t="str">
        <f t="shared" ref="F393:H393" si="189">F392</f>
        <v>M20</v>
      </c>
      <c r="G393" s="61" t="str">
        <f t="shared" si="189"/>
        <v>009</v>
      </c>
      <c r="H393" s="72" t="str">
        <f t="shared" si="189"/>
        <v>C1</v>
      </c>
      <c r="I393" s="72">
        <f>I392</f>
        <v>2</v>
      </c>
      <c r="J393" s="37" t="s">
        <v>37</v>
      </c>
      <c r="K393" s="37">
        <v>4</v>
      </c>
      <c r="L393" s="17">
        <v>1.67</v>
      </c>
      <c r="M393" s="19">
        <v>2.74</v>
      </c>
      <c r="N393" s="18">
        <f t="shared" si="174"/>
        <v>1.0700000000000003</v>
      </c>
      <c r="O393" s="20" t="str">
        <f t="shared" si="184"/>
        <v>OK</v>
      </c>
    </row>
    <row r="394" spans="1:15" ht="12" customHeight="1" x14ac:dyDescent="0.25">
      <c r="A394" s="91" t="s">
        <v>16</v>
      </c>
      <c r="B394" s="32">
        <v>3</v>
      </c>
      <c r="C394" s="36">
        <v>1198360</v>
      </c>
      <c r="D394" s="52">
        <v>46126</v>
      </c>
      <c r="E394" s="32" t="s">
        <v>15</v>
      </c>
      <c r="F394" s="32" t="str">
        <f t="shared" ref="F394:H394" si="190">F393</f>
        <v>M20</v>
      </c>
      <c r="G394" s="61" t="str">
        <f t="shared" si="190"/>
        <v>009</v>
      </c>
      <c r="H394" s="72" t="str">
        <f t="shared" si="190"/>
        <v>C1</v>
      </c>
      <c r="I394" s="72">
        <f>I393</f>
        <v>2</v>
      </c>
      <c r="J394" s="37" t="s">
        <v>38</v>
      </c>
      <c r="K394" s="37">
        <v>4</v>
      </c>
      <c r="L394" s="17">
        <v>0.18</v>
      </c>
      <c r="M394" s="19">
        <v>5.01</v>
      </c>
      <c r="N394" s="18">
        <f t="shared" si="174"/>
        <v>4.83</v>
      </c>
      <c r="O394" s="20" t="str">
        <f t="shared" si="184"/>
        <v>OK</v>
      </c>
    </row>
    <row r="395" spans="1:15" ht="12" customHeight="1" x14ac:dyDescent="0.25">
      <c r="A395" s="91" t="s">
        <v>16</v>
      </c>
      <c r="B395" s="32">
        <v>3</v>
      </c>
      <c r="C395" s="36">
        <v>1198360</v>
      </c>
      <c r="D395" s="52">
        <v>46126</v>
      </c>
      <c r="E395" s="32" t="s">
        <v>15</v>
      </c>
      <c r="F395" s="32" t="str">
        <f t="shared" ref="F395:G395" si="191">F394</f>
        <v>M20</v>
      </c>
      <c r="G395" s="61" t="str">
        <f t="shared" si="191"/>
        <v>009</v>
      </c>
      <c r="H395" s="72" t="s">
        <v>39</v>
      </c>
      <c r="I395" s="72">
        <v>1</v>
      </c>
      <c r="J395" s="37" t="s">
        <v>31</v>
      </c>
      <c r="K395" s="37">
        <v>5</v>
      </c>
      <c r="L395" s="17">
        <v>0.62</v>
      </c>
      <c r="M395" s="19">
        <v>3.04</v>
      </c>
      <c r="N395" s="18">
        <f t="shared" si="174"/>
        <v>2.42</v>
      </c>
      <c r="O395" s="20" t="str">
        <f t="shared" si="184"/>
        <v>OK</v>
      </c>
    </row>
    <row r="396" spans="1:15" ht="12" customHeight="1" x14ac:dyDescent="0.25">
      <c r="A396" s="91" t="s">
        <v>16</v>
      </c>
      <c r="B396" s="32">
        <v>3</v>
      </c>
      <c r="C396" s="36">
        <v>1198360</v>
      </c>
      <c r="D396" s="52">
        <v>46126</v>
      </c>
      <c r="E396" s="32" t="s">
        <v>15</v>
      </c>
      <c r="F396" s="32" t="str">
        <f t="shared" ref="F396:I396" si="192">F395</f>
        <v>M20</v>
      </c>
      <c r="G396" s="61" t="str">
        <f t="shared" si="192"/>
        <v>009</v>
      </c>
      <c r="H396" s="72" t="str">
        <f t="shared" si="192"/>
        <v>C2</v>
      </c>
      <c r="I396" s="72">
        <f t="shared" si="192"/>
        <v>1</v>
      </c>
      <c r="J396" s="37" t="s">
        <v>32</v>
      </c>
      <c r="K396" s="37">
        <v>5</v>
      </c>
      <c r="L396" s="17">
        <v>0.88</v>
      </c>
      <c r="M396" s="19">
        <v>3.26</v>
      </c>
      <c r="N396" s="18">
        <f t="shared" si="174"/>
        <v>2.38</v>
      </c>
      <c r="O396" s="20" t="str">
        <f t="shared" si="184"/>
        <v>OK</v>
      </c>
    </row>
    <row r="397" spans="1:15" ht="12" customHeight="1" x14ac:dyDescent="0.25">
      <c r="A397" s="91" t="s">
        <v>16</v>
      </c>
      <c r="B397" s="32">
        <v>3</v>
      </c>
      <c r="C397" s="36">
        <v>1198360</v>
      </c>
      <c r="D397" s="52">
        <v>46126</v>
      </c>
      <c r="E397" s="32" t="s">
        <v>15</v>
      </c>
      <c r="F397" s="32" t="str">
        <f t="shared" ref="F397:I397" si="193">F396</f>
        <v>M20</v>
      </c>
      <c r="G397" s="61" t="str">
        <f t="shared" si="193"/>
        <v>009</v>
      </c>
      <c r="H397" s="72" t="str">
        <f t="shared" si="193"/>
        <v>C2</v>
      </c>
      <c r="I397" s="72">
        <f t="shared" si="193"/>
        <v>1</v>
      </c>
      <c r="J397" s="37" t="s">
        <v>33</v>
      </c>
      <c r="K397" s="37">
        <v>6</v>
      </c>
      <c r="L397" s="17">
        <v>1.17</v>
      </c>
      <c r="M397" s="19">
        <v>3.54</v>
      </c>
      <c r="N397" s="18">
        <f t="shared" si="174"/>
        <v>2.37</v>
      </c>
      <c r="O397" s="20" t="str">
        <f t="shared" si="184"/>
        <v>OK</v>
      </c>
    </row>
    <row r="398" spans="1:15" ht="12" customHeight="1" x14ac:dyDescent="0.25">
      <c r="A398" s="91" t="s">
        <v>16</v>
      </c>
      <c r="B398" s="32">
        <v>3</v>
      </c>
      <c r="C398" s="36">
        <v>1198360</v>
      </c>
      <c r="D398" s="52">
        <v>46126</v>
      </c>
      <c r="E398" s="32" t="s">
        <v>15</v>
      </c>
      <c r="F398" s="32" t="str">
        <f t="shared" ref="F398:I398" si="194">F397</f>
        <v>M20</v>
      </c>
      <c r="G398" s="61" t="str">
        <f t="shared" si="194"/>
        <v>009</v>
      </c>
      <c r="H398" s="72" t="str">
        <f t="shared" si="194"/>
        <v>C2</v>
      </c>
      <c r="I398" s="72">
        <f t="shared" si="194"/>
        <v>1</v>
      </c>
      <c r="J398" s="37" t="s">
        <v>34</v>
      </c>
      <c r="K398" s="37">
        <v>6</v>
      </c>
      <c r="L398" s="17">
        <v>0.47</v>
      </c>
      <c r="M398" s="19">
        <v>4.83</v>
      </c>
      <c r="N398" s="18">
        <f t="shared" si="174"/>
        <v>4.3600000000000003</v>
      </c>
      <c r="O398" s="20" t="str">
        <f t="shared" si="184"/>
        <v>OK</v>
      </c>
    </row>
    <row r="399" spans="1:15" ht="12" customHeight="1" x14ac:dyDescent="0.25">
      <c r="A399" s="91" t="s">
        <v>16</v>
      </c>
      <c r="B399" s="32">
        <v>3</v>
      </c>
      <c r="C399" s="36">
        <v>1198360</v>
      </c>
      <c r="D399" s="52">
        <v>46126</v>
      </c>
      <c r="E399" s="32" t="s">
        <v>15</v>
      </c>
      <c r="F399" s="32" t="str">
        <f t="shared" ref="F399:G399" si="195">F398</f>
        <v>M20</v>
      </c>
      <c r="G399" s="61" t="str">
        <f t="shared" si="195"/>
        <v>009</v>
      </c>
      <c r="H399" s="72" t="str">
        <f>H398</f>
        <v>C2</v>
      </c>
      <c r="I399" s="72">
        <v>2</v>
      </c>
      <c r="J399" s="37" t="s">
        <v>35</v>
      </c>
      <c r="K399" s="37">
        <v>7</v>
      </c>
      <c r="L399" s="17">
        <v>0.7</v>
      </c>
      <c r="M399" s="19">
        <v>2.88</v>
      </c>
      <c r="N399" s="18">
        <f t="shared" si="174"/>
        <v>2.1799999999999997</v>
      </c>
      <c r="O399" s="20" t="str">
        <f t="shared" si="184"/>
        <v>OK</v>
      </c>
    </row>
    <row r="400" spans="1:15" ht="12" customHeight="1" x14ac:dyDescent="0.25">
      <c r="A400" s="91" t="s">
        <v>16</v>
      </c>
      <c r="B400" s="32">
        <v>3</v>
      </c>
      <c r="C400" s="36">
        <v>1198360</v>
      </c>
      <c r="D400" s="52">
        <v>46126</v>
      </c>
      <c r="E400" s="32" t="s">
        <v>15</v>
      </c>
      <c r="F400" s="32" t="str">
        <f t="shared" ref="F400:G400" si="196">F399</f>
        <v>M20</v>
      </c>
      <c r="G400" s="61" t="str">
        <f t="shared" si="196"/>
        <v>009</v>
      </c>
      <c r="H400" s="72" t="str">
        <f>H399</f>
        <v>C2</v>
      </c>
      <c r="I400" s="72">
        <f>I399</f>
        <v>2</v>
      </c>
      <c r="J400" s="37" t="s">
        <v>36</v>
      </c>
      <c r="K400" s="37">
        <v>7</v>
      </c>
      <c r="L400" s="17">
        <v>0.93</v>
      </c>
      <c r="M400" s="19">
        <v>2.0099999999999998</v>
      </c>
      <c r="N400" s="18">
        <f t="shared" si="174"/>
        <v>1.0799999999999996</v>
      </c>
      <c r="O400" s="20" t="str">
        <f t="shared" si="184"/>
        <v>OK</v>
      </c>
    </row>
    <row r="401" spans="1:15" ht="12" customHeight="1" x14ac:dyDescent="0.25">
      <c r="A401" s="91" t="s">
        <v>16</v>
      </c>
      <c r="B401" s="32">
        <v>3</v>
      </c>
      <c r="C401" s="36">
        <v>1198360</v>
      </c>
      <c r="D401" s="52">
        <v>46126</v>
      </c>
      <c r="E401" s="32" t="s">
        <v>15</v>
      </c>
      <c r="F401" s="32" t="str">
        <f t="shared" ref="F401:G401" si="197">F400</f>
        <v>M20</v>
      </c>
      <c r="G401" s="61" t="str">
        <f t="shared" si="197"/>
        <v>009</v>
      </c>
      <c r="H401" s="72" t="str">
        <f>H400</f>
        <v>C2</v>
      </c>
      <c r="I401" s="72">
        <f>I400</f>
        <v>2</v>
      </c>
      <c r="J401" s="37" t="s">
        <v>37</v>
      </c>
      <c r="K401" s="37">
        <v>8</v>
      </c>
      <c r="L401" s="17">
        <v>0.41</v>
      </c>
      <c r="M401" s="19">
        <v>2.5299999999999998</v>
      </c>
      <c r="N401" s="18">
        <f t="shared" si="174"/>
        <v>2.1199999999999997</v>
      </c>
      <c r="O401" s="20" t="str">
        <f t="shared" si="184"/>
        <v>OK</v>
      </c>
    </row>
    <row r="402" spans="1:15" ht="12" customHeight="1" x14ac:dyDescent="0.25">
      <c r="A402" s="91" t="s">
        <v>16</v>
      </c>
      <c r="B402" s="32">
        <v>3</v>
      </c>
      <c r="C402" s="36">
        <v>1198360</v>
      </c>
      <c r="D402" s="52">
        <v>46126</v>
      </c>
      <c r="E402" s="32" t="s">
        <v>15</v>
      </c>
      <c r="F402" s="32" t="str">
        <f t="shared" ref="F402:G402" si="198">F401</f>
        <v>M20</v>
      </c>
      <c r="G402" s="61" t="str">
        <f t="shared" si="198"/>
        <v>009</v>
      </c>
      <c r="H402" s="72" t="str">
        <f>H401</f>
        <v>C2</v>
      </c>
      <c r="I402" s="72">
        <f>I401</f>
        <v>2</v>
      </c>
      <c r="J402" s="37" t="s">
        <v>38</v>
      </c>
      <c r="K402" s="37">
        <v>8</v>
      </c>
      <c r="L402" s="17">
        <v>0.78</v>
      </c>
      <c r="M402" s="19">
        <v>2.74</v>
      </c>
      <c r="N402" s="18">
        <f t="shared" si="174"/>
        <v>1.9600000000000002</v>
      </c>
      <c r="O402" s="20" t="str">
        <f t="shared" si="184"/>
        <v>OK</v>
      </c>
    </row>
    <row r="403" spans="1:15" ht="12" customHeight="1" x14ac:dyDescent="0.25">
      <c r="A403" s="91" t="s">
        <v>16</v>
      </c>
      <c r="B403" s="32">
        <v>3</v>
      </c>
      <c r="C403" s="36">
        <v>1198360</v>
      </c>
      <c r="D403" s="52">
        <v>46126</v>
      </c>
      <c r="E403" s="32" t="s">
        <v>15</v>
      </c>
      <c r="F403" s="32" t="s">
        <v>40</v>
      </c>
      <c r="G403" s="61" t="s">
        <v>60</v>
      </c>
      <c r="H403" s="72" t="s">
        <v>42</v>
      </c>
      <c r="I403" s="72">
        <v>1</v>
      </c>
      <c r="J403" s="37" t="s">
        <v>31</v>
      </c>
      <c r="K403" s="37">
        <v>9</v>
      </c>
      <c r="L403" s="17">
        <v>1.74</v>
      </c>
      <c r="M403" s="19">
        <v>4.1500000000000004</v>
      </c>
      <c r="N403" s="18">
        <f t="shared" si="174"/>
        <v>2.41</v>
      </c>
      <c r="O403" s="20" t="str">
        <f t="shared" si="184"/>
        <v>Reperfilado</v>
      </c>
    </row>
    <row r="404" spans="1:15" ht="12" customHeight="1" x14ac:dyDescent="0.25">
      <c r="A404" s="91" t="s">
        <v>16</v>
      </c>
      <c r="B404" s="32">
        <v>3</v>
      </c>
      <c r="C404" s="36">
        <v>1198360</v>
      </c>
      <c r="D404" s="52">
        <v>46126</v>
      </c>
      <c r="E404" s="32" t="s">
        <v>15</v>
      </c>
      <c r="F404" s="32" t="str">
        <f t="shared" ref="F404:I404" si="199">F403</f>
        <v>M21</v>
      </c>
      <c r="G404" s="61" t="str">
        <f t="shared" si="199"/>
        <v>010</v>
      </c>
      <c r="H404" s="72" t="str">
        <f t="shared" si="199"/>
        <v>C3</v>
      </c>
      <c r="I404" s="72">
        <f t="shared" si="199"/>
        <v>1</v>
      </c>
      <c r="J404" s="37" t="s">
        <v>32</v>
      </c>
      <c r="K404" s="37">
        <v>9</v>
      </c>
      <c r="L404" s="17">
        <v>0.15</v>
      </c>
      <c r="M404" s="19">
        <v>4.74</v>
      </c>
      <c r="N404" s="18">
        <f t="shared" si="174"/>
        <v>4.59</v>
      </c>
      <c r="O404" s="20" t="str">
        <f t="shared" si="184"/>
        <v>OK</v>
      </c>
    </row>
    <row r="405" spans="1:15" ht="12" customHeight="1" x14ac:dyDescent="0.25">
      <c r="A405" s="91" t="s">
        <v>16</v>
      </c>
      <c r="B405" s="32">
        <v>3</v>
      </c>
      <c r="C405" s="36">
        <v>1198360</v>
      </c>
      <c r="D405" s="52">
        <v>46126</v>
      </c>
      <c r="E405" s="32" t="s">
        <v>15</v>
      </c>
      <c r="F405" s="32" t="str">
        <f t="shared" ref="F405:I405" si="200">F404</f>
        <v>M21</v>
      </c>
      <c r="G405" s="61" t="str">
        <f t="shared" si="200"/>
        <v>010</v>
      </c>
      <c r="H405" s="72" t="str">
        <f t="shared" si="200"/>
        <v>C3</v>
      </c>
      <c r="I405" s="72">
        <f t="shared" si="200"/>
        <v>1</v>
      </c>
      <c r="J405" s="37" t="s">
        <v>33</v>
      </c>
      <c r="K405" s="37">
        <v>10</v>
      </c>
      <c r="L405" s="17">
        <v>1.02</v>
      </c>
      <c r="M405" s="19">
        <v>4.24</v>
      </c>
      <c r="N405" s="18">
        <f t="shared" si="174"/>
        <v>3.22</v>
      </c>
      <c r="O405" s="20" t="str">
        <f t="shared" si="184"/>
        <v>OK</v>
      </c>
    </row>
    <row r="406" spans="1:15" ht="12" customHeight="1" x14ac:dyDescent="0.25">
      <c r="A406" s="91" t="s">
        <v>16</v>
      </c>
      <c r="B406" s="32">
        <v>3</v>
      </c>
      <c r="C406" s="36">
        <v>1198360</v>
      </c>
      <c r="D406" s="52">
        <v>46126</v>
      </c>
      <c r="E406" s="32" t="s">
        <v>15</v>
      </c>
      <c r="F406" s="32" t="str">
        <f t="shared" ref="F406:I406" si="201">F405</f>
        <v>M21</v>
      </c>
      <c r="G406" s="61" t="str">
        <f t="shared" si="201"/>
        <v>010</v>
      </c>
      <c r="H406" s="72" t="str">
        <f t="shared" si="201"/>
        <v>C3</v>
      </c>
      <c r="I406" s="72">
        <f t="shared" si="201"/>
        <v>1</v>
      </c>
      <c r="J406" s="37" t="s">
        <v>34</v>
      </c>
      <c r="K406" s="37">
        <v>10</v>
      </c>
      <c r="L406" s="17">
        <v>1.1299999999999999</v>
      </c>
      <c r="M406" s="19">
        <v>3.44</v>
      </c>
      <c r="N406" s="18">
        <f t="shared" si="174"/>
        <v>2.31</v>
      </c>
      <c r="O406" s="20" t="str">
        <f t="shared" si="184"/>
        <v>OK</v>
      </c>
    </row>
    <row r="407" spans="1:15" ht="12" customHeight="1" x14ac:dyDescent="0.25">
      <c r="A407" s="91" t="s">
        <v>16</v>
      </c>
      <c r="B407" s="32">
        <v>3</v>
      </c>
      <c r="C407" s="36">
        <v>1198360</v>
      </c>
      <c r="D407" s="52">
        <v>46126</v>
      </c>
      <c r="E407" s="32" t="s">
        <v>15</v>
      </c>
      <c r="F407" s="32" t="str">
        <f t="shared" ref="F407:H407" si="202">F406</f>
        <v>M21</v>
      </c>
      <c r="G407" s="61" t="str">
        <f t="shared" si="202"/>
        <v>010</v>
      </c>
      <c r="H407" s="72" t="str">
        <f t="shared" si="202"/>
        <v>C3</v>
      </c>
      <c r="I407" s="72">
        <v>2</v>
      </c>
      <c r="J407" s="37" t="s">
        <v>35</v>
      </c>
      <c r="K407" s="37">
        <v>11</v>
      </c>
      <c r="L407" s="17">
        <v>0.9</v>
      </c>
      <c r="M407" s="19">
        <v>4.71</v>
      </c>
      <c r="N407" s="18">
        <f t="shared" si="174"/>
        <v>3.81</v>
      </c>
      <c r="O407" s="20" t="str">
        <f t="shared" si="184"/>
        <v>OK</v>
      </c>
    </row>
    <row r="408" spans="1:15" ht="12" customHeight="1" x14ac:dyDescent="0.25">
      <c r="A408" s="91" t="s">
        <v>16</v>
      </c>
      <c r="B408" s="32">
        <v>3</v>
      </c>
      <c r="C408" s="36">
        <v>1198360</v>
      </c>
      <c r="D408" s="52">
        <v>46126</v>
      </c>
      <c r="E408" s="32" t="s">
        <v>15</v>
      </c>
      <c r="F408" s="32" t="str">
        <f t="shared" ref="F408:H408" si="203">F407</f>
        <v>M21</v>
      </c>
      <c r="G408" s="61" t="str">
        <f t="shared" si="203"/>
        <v>010</v>
      </c>
      <c r="H408" s="72" t="str">
        <f t="shared" si="203"/>
        <v>C3</v>
      </c>
      <c r="I408" s="72">
        <f>I407</f>
        <v>2</v>
      </c>
      <c r="J408" s="37" t="s">
        <v>36</v>
      </c>
      <c r="K408" s="37">
        <v>11</v>
      </c>
      <c r="L408" s="17">
        <v>7.0000000000000007E-2</v>
      </c>
      <c r="M408" s="19">
        <v>3.4</v>
      </c>
      <c r="N408" s="18">
        <f t="shared" si="174"/>
        <v>3.33</v>
      </c>
      <c r="O408" s="20" t="str">
        <f t="shared" si="184"/>
        <v>OK</v>
      </c>
    </row>
    <row r="409" spans="1:15" ht="12" customHeight="1" x14ac:dyDescent="0.25">
      <c r="A409" s="91" t="s">
        <v>16</v>
      </c>
      <c r="B409" s="32">
        <v>3</v>
      </c>
      <c r="C409" s="36">
        <v>1198360</v>
      </c>
      <c r="D409" s="52">
        <v>46126</v>
      </c>
      <c r="E409" s="32" t="s">
        <v>15</v>
      </c>
      <c r="F409" s="32" t="str">
        <f t="shared" ref="F409:H409" si="204">F408</f>
        <v>M21</v>
      </c>
      <c r="G409" s="61" t="str">
        <f t="shared" si="204"/>
        <v>010</v>
      </c>
      <c r="H409" s="72" t="str">
        <f t="shared" si="204"/>
        <v>C3</v>
      </c>
      <c r="I409" s="72">
        <f>I408</f>
        <v>2</v>
      </c>
      <c r="J409" s="37" t="s">
        <v>37</v>
      </c>
      <c r="K409" s="37">
        <v>12</v>
      </c>
      <c r="L409" s="17">
        <v>1.61</v>
      </c>
      <c r="M409" s="19">
        <v>4.51</v>
      </c>
      <c r="N409" s="18">
        <f t="shared" si="174"/>
        <v>2.8999999999999995</v>
      </c>
      <c r="O409" s="20" t="str">
        <f t="shared" si="184"/>
        <v>OK</v>
      </c>
    </row>
    <row r="410" spans="1:15" ht="12" customHeight="1" x14ac:dyDescent="0.25">
      <c r="A410" s="91" t="s">
        <v>16</v>
      </c>
      <c r="B410" s="32">
        <v>3</v>
      </c>
      <c r="C410" s="36">
        <v>1198360</v>
      </c>
      <c r="D410" s="52">
        <v>46126</v>
      </c>
      <c r="E410" s="32" t="s">
        <v>15</v>
      </c>
      <c r="F410" s="32" t="str">
        <f t="shared" ref="F410:H410" si="205">F409</f>
        <v>M21</v>
      </c>
      <c r="G410" s="61" t="str">
        <f t="shared" si="205"/>
        <v>010</v>
      </c>
      <c r="H410" s="72" t="str">
        <f t="shared" si="205"/>
        <v>C3</v>
      </c>
      <c r="I410" s="72">
        <f>I409</f>
        <v>2</v>
      </c>
      <c r="J410" s="37" t="s">
        <v>38</v>
      </c>
      <c r="K410" s="37">
        <v>12</v>
      </c>
      <c r="L410" s="17">
        <v>0.79</v>
      </c>
      <c r="M410" s="19">
        <v>4.59</v>
      </c>
      <c r="N410" s="18">
        <f t="shared" si="174"/>
        <v>3.8</v>
      </c>
      <c r="O410" s="20" t="str">
        <f t="shared" si="184"/>
        <v>OK</v>
      </c>
    </row>
    <row r="411" spans="1:15" ht="12" customHeight="1" x14ac:dyDescent="0.25">
      <c r="A411" s="91" t="s">
        <v>16</v>
      </c>
      <c r="B411" s="32">
        <v>3</v>
      </c>
      <c r="C411" s="36">
        <v>1198360</v>
      </c>
      <c r="D411" s="52">
        <v>46126</v>
      </c>
      <c r="E411" s="32" t="s">
        <v>15</v>
      </c>
      <c r="F411" s="32" t="str">
        <f t="shared" ref="F411:G411" si="206">F410</f>
        <v>M21</v>
      </c>
      <c r="G411" s="61" t="str">
        <f t="shared" si="206"/>
        <v>010</v>
      </c>
      <c r="H411" s="72" t="s">
        <v>43</v>
      </c>
      <c r="I411" s="72">
        <v>1</v>
      </c>
      <c r="J411" s="37" t="s">
        <v>31</v>
      </c>
      <c r="K411" s="37">
        <v>13</v>
      </c>
      <c r="L411" s="17">
        <v>0.4</v>
      </c>
      <c r="M411" s="19">
        <v>4.5599999999999996</v>
      </c>
      <c r="N411" s="18">
        <f t="shared" si="174"/>
        <v>4.1599999999999993</v>
      </c>
      <c r="O411" s="20" t="str">
        <f t="shared" si="184"/>
        <v>OK</v>
      </c>
    </row>
    <row r="412" spans="1:15" ht="12" customHeight="1" x14ac:dyDescent="0.25">
      <c r="A412" s="91" t="s">
        <v>16</v>
      </c>
      <c r="B412" s="32">
        <v>3</v>
      </c>
      <c r="C412" s="36">
        <v>1198360</v>
      </c>
      <c r="D412" s="52">
        <v>46126</v>
      </c>
      <c r="E412" s="32" t="s">
        <v>15</v>
      </c>
      <c r="F412" s="32" t="str">
        <f t="shared" ref="F412:I412" si="207">F411</f>
        <v>M21</v>
      </c>
      <c r="G412" s="61" t="str">
        <f t="shared" si="207"/>
        <v>010</v>
      </c>
      <c r="H412" s="72" t="str">
        <f t="shared" si="207"/>
        <v>C4</v>
      </c>
      <c r="I412" s="72">
        <f t="shared" si="207"/>
        <v>1</v>
      </c>
      <c r="J412" s="37" t="s">
        <v>32</v>
      </c>
      <c r="K412" s="37">
        <v>13</v>
      </c>
      <c r="L412" s="17">
        <v>0.16</v>
      </c>
      <c r="M412" s="19">
        <v>4.7699999999999996</v>
      </c>
      <c r="N412" s="18">
        <f t="shared" si="174"/>
        <v>4.6099999999999994</v>
      </c>
      <c r="O412" s="20" t="str">
        <f t="shared" si="184"/>
        <v>OK</v>
      </c>
    </row>
    <row r="413" spans="1:15" ht="12" customHeight="1" x14ac:dyDescent="0.25">
      <c r="A413" s="91" t="s">
        <v>16</v>
      </c>
      <c r="B413" s="32">
        <v>3</v>
      </c>
      <c r="C413" s="36">
        <v>1198360</v>
      </c>
      <c r="D413" s="52">
        <v>46126</v>
      </c>
      <c r="E413" s="32" t="s">
        <v>15</v>
      </c>
      <c r="F413" s="32" t="str">
        <f t="shared" ref="F413:I413" si="208">F412</f>
        <v>M21</v>
      </c>
      <c r="G413" s="61" t="str">
        <f t="shared" si="208"/>
        <v>010</v>
      </c>
      <c r="H413" s="72" t="str">
        <f t="shared" si="208"/>
        <v>C4</v>
      </c>
      <c r="I413" s="72">
        <f t="shared" si="208"/>
        <v>1</v>
      </c>
      <c r="J413" s="37" t="s">
        <v>33</v>
      </c>
      <c r="K413" s="37">
        <v>14</v>
      </c>
      <c r="L413" s="17">
        <v>0.2</v>
      </c>
      <c r="M413" s="19">
        <v>4.8</v>
      </c>
      <c r="N413" s="18">
        <f t="shared" si="174"/>
        <v>4.5999999999999996</v>
      </c>
      <c r="O413" s="20" t="str">
        <f t="shared" si="184"/>
        <v>OK</v>
      </c>
    </row>
    <row r="414" spans="1:15" ht="12" customHeight="1" x14ac:dyDescent="0.25">
      <c r="A414" s="91" t="s">
        <v>16</v>
      </c>
      <c r="B414" s="32">
        <v>3</v>
      </c>
      <c r="C414" s="36">
        <v>1198360</v>
      </c>
      <c r="D414" s="52">
        <v>46126</v>
      </c>
      <c r="E414" s="32" t="s">
        <v>15</v>
      </c>
      <c r="F414" s="32" t="str">
        <f t="shared" ref="F414:I414" si="209">F413</f>
        <v>M21</v>
      </c>
      <c r="G414" s="61" t="str">
        <f t="shared" si="209"/>
        <v>010</v>
      </c>
      <c r="H414" s="72" t="str">
        <f t="shared" si="209"/>
        <v>C4</v>
      </c>
      <c r="I414" s="72">
        <f t="shared" si="209"/>
        <v>1</v>
      </c>
      <c r="J414" s="37" t="s">
        <v>34</v>
      </c>
      <c r="K414" s="37">
        <v>14</v>
      </c>
      <c r="L414" s="17">
        <v>0.27</v>
      </c>
      <c r="M414" s="19">
        <v>4.29</v>
      </c>
      <c r="N414" s="18">
        <f t="shared" si="174"/>
        <v>4.0199999999999996</v>
      </c>
      <c r="O414" s="20" t="str">
        <f t="shared" si="184"/>
        <v>OK</v>
      </c>
    </row>
    <row r="415" spans="1:15" ht="12" customHeight="1" x14ac:dyDescent="0.25">
      <c r="A415" s="91" t="s">
        <v>16</v>
      </c>
      <c r="B415" s="32">
        <v>3</v>
      </c>
      <c r="C415" s="36">
        <v>1198360</v>
      </c>
      <c r="D415" s="52">
        <v>46126</v>
      </c>
      <c r="E415" s="32" t="s">
        <v>15</v>
      </c>
      <c r="F415" s="32" t="str">
        <f t="shared" ref="F415:G415" si="210">F414</f>
        <v>M21</v>
      </c>
      <c r="G415" s="61" t="str">
        <f t="shared" si="210"/>
        <v>010</v>
      </c>
      <c r="H415" s="72" t="str">
        <f>H414</f>
        <v>C4</v>
      </c>
      <c r="I415" s="72">
        <v>2</v>
      </c>
      <c r="J415" s="37" t="s">
        <v>35</v>
      </c>
      <c r="K415" s="37">
        <v>15</v>
      </c>
      <c r="L415" s="17">
        <v>0.48</v>
      </c>
      <c r="M415" s="19">
        <v>1.88</v>
      </c>
      <c r="N415" s="18">
        <f t="shared" si="174"/>
        <v>1.4</v>
      </c>
      <c r="O415" s="20" t="str">
        <f t="shared" si="184"/>
        <v>OK</v>
      </c>
    </row>
    <row r="416" spans="1:15" ht="12" customHeight="1" x14ac:dyDescent="0.25">
      <c r="A416" s="91" t="s">
        <v>16</v>
      </c>
      <c r="B416" s="32">
        <v>3</v>
      </c>
      <c r="C416" s="36">
        <v>1198360</v>
      </c>
      <c r="D416" s="52">
        <v>46126</v>
      </c>
      <c r="E416" s="32" t="s">
        <v>15</v>
      </c>
      <c r="F416" s="32" t="str">
        <f t="shared" ref="F416:G416" si="211">F415</f>
        <v>M21</v>
      </c>
      <c r="G416" s="61" t="str">
        <f t="shared" si="211"/>
        <v>010</v>
      </c>
      <c r="H416" s="72" t="str">
        <f>H415</f>
        <v>C4</v>
      </c>
      <c r="I416" s="72">
        <f>I415</f>
        <v>2</v>
      </c>
      <c r="J416" s="37" t="s">
        <v>36</v>
      </c>
      <c r="K416" s="37">
        <v>15</v>
      </c>
      <c r="L416" s="17">
        <v>0.68</v>
      </c>
      <c r="M416" s="19">
        <v>3.31</v>
      </c>
      <c r="N416" s="18">
        <f t="shared" si="174"/>
        <v>2.63</v>
      </c>
      <c r="O416" s="20" t="str">
        <f t="shared" si="184"/>
        <v>OK</v>
      </c>
    </row>
    <row r="417" spans="1:15" ht="12" customHeight="1" x14ac:dyDescent="0.25">
      <c r="A417" s="91" t="s">
        <v>16</v>
      </c>
      <c r="B417" s="32">
        <v>3</v>
      </c>
      <c r="C417" s="36">
        <v>1198360</v>
      </c>
      <c r="D417" s="52">
        <v>46126</v>
      </c>
      <c r="E417" s="32" t="s">
        <v>15</v>
      </c>
      <c r="F417" s="32" t="str">
        <f t="shared" ref="F417:G417" si="212">F416</f>
        <v>M21</v>
      </c>
      <c r="G417" s="61" t="str">
        <f t="shared" si="212"/>
        <v>010</v>
      </c>
      <c r="H417" s="72" t="str">
        <f>H416</f>
        <v>C4</v>
      </c>
      <c r="I417" s="72">
        <f>I416</f>
        <v>2</v>
      </c>
      <c r="J417" s="37" t="s">
        <v>37</v>
      </c>
      <c r="K417" s="37">
        <v>16</v>
      </c>
      <c r="L417" s="17">
        <v>1.2</v>
      </c>
      <c r="M417" s="19">
        <v>3.98</v>
      </c>
      <c r="N417" s="18">
        <f t="shared" si="174"/>
        <v>2.7800000000000002</v>
      </c>
      <c r="O417" s="20" t="str">
        <f t="shared" si="184"/>
        <v>OK</v>
      </c>
    </row>
    <row r="418" spans="1:15" ht="12" customHeight="1" x14ac:dyDescent="0.25">
      <c r="A418" s="91" t="s">
        <v>16</v>
      </c>
      <c r="B418" s="32">
        <v>3</v>
      </c>
      <c r="C418" s="36">
        <v>1198360</v>
      </c>
      <c r="D418" s="52">
        <v>46126</v>
      </c>
      <c r="E418" s="32" t="s">
        <v>15</v>
      </c>
      <c r="F418" s="32" t="str">
        <f t="shared" ref="F418:G418" si="213">F417</f>
        <v>M21</v>
      </c>
      <c r="G418" s="61" t="str">
        <f t="shared" si="213"/>
        <v>010</v>
      </c>
      <c r="H418" s="72" t="str">
        <f>H417</f>
        <v>C4</v>
      </c>
      <c r="I418" s="72">
        <f>I417</f>
        <v>2</v>
      </c>
      <c r="J418" s="37" t="s">
        <v>38</v>
      </c>
      <c r="K418" s="37">
        <v>16</v>
      </c>
      <c r="L418" s="17">
        <v>1.07</v>
      </c>
      <c r="M418" s="19">
        <v>1.1200000000000001</v>
      </c>
      <c r="N418" s="18">
        <f t="shared" si="174"/>
        <v>5.0000000000000044E-2</v>
      </c>
      <c r="O418" s="20" t="str">
        <f t="shared" si="184"/>
        <v>Cambio</v>
      </c>
    </row>
    <row r="419" spans="1:15" ht="12" customHeight="1" x14ac:dyDescent="0.25">
      <c r="A419" s="91" t="s">
        <v>16</v>
      </c>
      <c r="B419" s="32">
        <v>3</v>
      </c>
      <c r="C419" s="36">
        <v>1198360</v>
      </c>
      <c r="D419" s="52">
        <v>46126</v>
      </c>
      <c r="E419" s="32" t="s">
        <v>15</v>
      </c>
      <c r="F419" s="32" t="s">
        <v>44</v>
      </c>
      <c r="G419" s="61" t="s">
        <v>61</v>
      </c>
      <c r="H419" s="72" t="s">
        <v>46</v>
      </c>
      <c r="I419" s="72">
        <v>1</v>
      </c>
      <c r="J419" s="37" t="s">
        <v>31</v>
      </c>
      <c r="K419" s="37">
        <v>17</v>
      </c>
      <c r="L419" s="17">
        <v>0.66</v>
      </c>
      <c r="M419" s="19">
        <v>4.32</v>
      </c>
      <c r="N419" s="18">
        <f t="shared" ref="N419:N482" si="214">+M419-L419</f>
        <v>3.66</v>
      </c>
      <c r="O419" s="20" t="str">
        <f t="shared" si="184"/>
        <v>OK</v>
      </c>
    </row>
    <row r="420" spans="1:15" ht="12" customHeight="1" x14ac:dyDescent="0.25">
      <c r="A420" s="91" t="s">
        <v>16</v>
      </c>
      <c r="B420" s="32">
        <v>3</v>
      </c>
      <c r="C420" s="36">
        <v>1198360</v>
      </c>
      <c r="D420" s="52">
        <v>46126</v>
      </c>
      <c r="E420" s="32" t="s">
        <v>15</v>
      </c>
      <c r="F420" s="32" t="str">
        <f t="shared" ref="F420:I420" si="215">F419</f>
        <v>M22</v>
      </c>
      <c r="G420" s="61" t="str">
        <f t="shared" si="215"/>
        <v>307</v>
      </c>
      <c r="H420" s="72" t="str">
        <f t="shared" si="215"/>
        <v>C5</v>
      </c>
      <c r="I420" s="72">
        <f t="shared" si="215"/>
        <v>1</v>
      </c>
      <c r="J420" s="37" t="s">
        <v>32</v>
      </c>
      <c r="K420" s="37">
        <v>17</v>
      </c>
      <c r="L420" s="17">
        <v>0.52</v>
      </c>
      <c r="M420" s="19">
        <v>4.87</v>
      </c>
      <c r="N420" s="18">
        <f t="shared" si="214"/>
        <v>4.3499999999999996</v>
      </c>
      <c r="O420" s="20" t="str">
        <f t="shared" si="184"/>
        <v>OK</v>
      </c>
    </row>
    <row r="421" spans="1:15" ht="12" customHeight="1" x14ac:dyDescent="0.25">
      <c r="A421" s="91" t="s">
        <v>16</v>
      </c>
      <c r="B421" s="32">
        <v>3</v>
      </c>
      <c r="C421" s="36">
        <v>1198360</v>
      </c>
      <c r="D421" s="52">
        <v>46126</v>
      </c>
      <c r="E421" s="32" t="s">
        <v>15</v>
      </c>
      <c r="F421" s="32" t="str">
        <f t="shared" ref="F421:I421" si="216">F420</f>
        <v>M22</v>
      </c>
      <c r="G421" s="61" t="str">
        <f t="shared" si="216"/>
        <v>307</v>
      </c>
      <c r="H421" s="72" t="str">
        <f t="shared" si="216"/>
        <v>C5</v>
      </c>
      <c r="I421" s="72">
        <f t="shared" si="216"/>
        <v>1</v>
      </c>
      <c r="J421" s="37" t="s">
        <v>33</v>
      </c>
      <c r="K421" s="37">
        <v>18</v>
      </c>
      <c r="L421" s="17">
        <v>0.77</v>
      </c>
      <c r="M421" s="19">
        <v>4.79</v>
      </c>
      <c r="N421" s="18">
        <f t="shared" si="214"/>
        <v>4.0199999999999996</v>
      </c>
      <c r="O421" s="20" t="str">
        <f t="shared" si="184"/>
        <v>OK</v>
      </c>
    </row>
    <row r="422" spans="1:15" ht="12" customHeight="1" x14ac:dyDescent="0.25">
      <c r="A422" s="91" t="s">
        <v>16</v>
      </c>
      <c r="B422" s="32">
        <v>3</v>
      </c>
      <c r="C422" s="36">
        <v>1198360</v>
      </c>
      <c r="D422" s="52">
        <v>46126</v>
      </c>
      <c r="E422" s="32" t="s">
        <v>15</v>
      </c>
      <c r="F422" s="32" t="str">
        <f t="shared" ref="F422:I422" si="217">F421</f>
        <v>M22</v>
      </c>
      <c r="G422" s="61" t="str">
        <f t="shared" si="217"/>
        <v>307</v>
      </c>
      <c r="H422" s="72" t="str">
        <f t="shared" si="217"/>
        <v>C5</v>
      </c>
      <c r="I422" s="72">
        <f t="shared" si="217"/>
        <v>1</v>
      </c>
      <c r="J422" s="37" t="s">
        <v>34</v>
      </c>
      <c r="K422" s="37">
        <v>18</v>
      </c>
      <c r="L422" s="17">
        <v>1</v>
      </c>
      <c r="M422" s="19">
        <v>1.26</v>
      </c>
      <c r="N422" s="18">
        <f t="shared" si="214"/>
        <v>0.26</v>
      </c>
      <c r="O422" s="20" t="str">
        <f t="shared" si="184"/>
        <v>Seguimiento</v>
      </c>
    </row>
    <row r="423" spans="1:15" ht="12" customHeight="1" x14ac:dyDescent="0.25">
      <c r="A423" s="91" t="s">
        <v>16</v>
      </c>
      <c r="B423" s="32">
        <v>3</v>
      </c>
      <c r="C423" s="36">
        <v>1198360</v>
      </c>
      <c r="D423" s="52">
        <v>46126</v>
      </c>
      <c r="E423" s="32" t="s">
        <v>15</v>
      </c>
      <c r="F423" s="32" t="str">
        <f t="shared" ref="F423:H423" si="218">F422</f>
        <v>M22</v>
      </c>
      <c r="G423" s="61" t="str">
        <f t="shared" si="218"/>
        <v>307</v>
      </c>
      <c r="H423" s="72" t="str">
        <f t="shared" si="218"/>
        <v>C5</v>
      </c>
      <c r="I423" s="72">
        <v>2</v>
      </c>
      <c r="J423" s="37" t="s">
        <v>35</v>
      </c>
      <c r="K423" s="37">
        <v>19</v>
      </c>
      <c r="L423" s="17">
        <v>0.45</v>
      </c>
      <c r="M423" s="19">
        <v>4.04</v>
      </c>
      <c r="N423" s="18">
        <f t="shared" si="214"/>
        <v>3.59</v>
      </c>
      <c r="O423" s="20" t="str">
        <f t="shared" si="184"/>
        <v>OK</v>
      </c>
    </row>
    <row r="424" spans="1:15" ht="12" customHeight="1" x14ac:dyDescent="0.25">
      <c r="A424" s="91" t="s">
        <v>16</v>
      </c>
      <c r="B424" s="32">
        <v>3</v>
      </c>
      <c r="C424" s="36">
        <v>1198360</v>
      </c>
      <c r="D424" s="52">
        <v>46126</v>
      </c>
      <c r="E424" s="32" t="s">
        <v>15</v>
      </c>
      <c r="F424" s="32" t="str">
        <f t="shared" ref="F424:H424" si="219">F423</f>
        <v>M22</v>
      </c>
      <c r="G424" s="61" t="str">
        <f t="shared" si="219"/>
        <v>307</v>
      </c>
      <c r="H424" s="72" t="str">
        <f t="shared" si="219"/>
        <v>C5</v>
      </c>
      <c r="I424" s="72">
        <f>I423</f>
        <v>2</v>
      </c>
      <c r="J424" s="37" t="s">
        <v>36</v>
      </c>
      <c r="K424" s="37">
        <v>19</v>
      </c>
      <c r="L424" s="17">
        <v>0.36</v>
      </c>
      <c r="M424" s="19">
        <v>5.01</v>
      </c>
      <c r="N424" s="18">
        <f t="shared" si="214"/>
        <v>4.6499999999999995</v>
      </c>
      <c r="O424" s="20" t="str">
        <f t="shared" si="184"/>
        <v>OK</v>
      </c>
    </row>
    <row r="425" spans="1:15" ht="12" customHeight="1" x14ac:dyDescent="0.25">
      <c r="A425" s="91" t="s">
        <v>16</v>
      </c>
      <c r="B425" s="32">
        <v>3</v>
      </c>
      <c r="C425" s="36">
        <v>1198360</v>
      </c>
      <c r="D425" s="52">
        <v>46126</v>
      </c>
      <c r="E425" s="32" t="s">
        <v>15</v>
      </c>
      <c r="F425" s="32" t="str">
        <f t="shared" ref="F425:H425" si="220">F424</f>
        <v>M22</v>
      </c>
      <c r="G425" s="61" t="str">
        <f t="shared" si="220"/>
        <v>307</v>
      </c>
      <c r="H425" s="72" t="str">
        <f t="shared" si="220"/>
        <v>C5</v>
      </c>
      <c r="I425" s="72">
        <f>I424</f>
        <v>2</v>
      </c>
      <c r="J425" s="37" t="s">
        <v>37</v>
      </c>
      <c r="K425" s="37">
        <v>20</v>
      </c>
      <c r="L425" s="17">
        <v>0.61</v>
      </c>
      <c r="M425" s="19">
        <v>4.87</v>
      </c>
      <c r="N425" s="18">
        <f t="shared" si="214"/>
        <v>4.26</v>
      </c>
      <c r="O425" s="20" t="str">
        <f t="shared" si="184"/>
        <v>OK</v>
      </c>
    </row>
    <row r="426" spans="1:15" ht="12" customHeight="1" x14ac:dyDescent="0.25">
      <c r="A426" s="91" t="s">
        <v>16</v>
      </c>
      <c r="B426" s="32">
        <v>3</v>
      </c>
      <c r="C426" s="36">
        <v>1198360</v>
      </c>
      <c r="D426" s="52">
        <v>46126</v>
      </c>
      <c r="E426" s="32" t="s">
        <v>15</v>
      </c>
      <c r="F426" s="32" t="str">
        <f t="shared" ref="F426:H426" si="221">F425</f>
        <v>M22</v>
      </c>
      <c r="G426" s="61" t="str">
        <f t="shared" si="221"/>
        <v>307</v>
      </c>
      <c r="H426" s="72" t="str">
        <f t="shared" si="221"/>
        <v>C5</v>
      </c>
      <c r="I426" s="72">
        <f>I425</f>
        <v>2</v>
      </c>
      <c r="J426" s="37" t="s">
        <v>38</v>
      </c>
      <c r="K426" s="37">
        <v>20</v>
      </c>
      <c r="L426" s="17">
        <v>0.9</v>
      </c>
      <c r="M426" s="19">
        <v>3.78</v>
      </c>
      <c r="N426" s="18">
        <f t="shared" si="214"/>
        <v>2.88</v>
      </c>
      <c r="O426" s="20" t="str">
        <f t="shared" si="184"/>
        <v>OK</v>
      </c>
    </row>
    <row r="427" spans="1:15" ht="12" customHeight="1" x14ac:dyDescent="0.25">
      <c r="A427" s="91" t="s">
        <v>16</v>
      </c>
      <c r="B427" s="32">
        <v>3</v>
      </c>
      <c r="C427" s="36">
        <v>1198360</v>
      </c>
      <c r="D427" s="52">
        <v>46126</v>
      </c>
      <c r="E427" s="32" t="s">
        <v>15</v>
      </c>
      <c r="F427" s="32" t="str">
        <f t="shared" ref="F427:G427" si="222">F426</f>
        <v>M22</v>
      </c>
      <c r="G427" s="61" t="str">
        <f t="shared" si="222"/>
        <v>307</v>
      </c>
      <c r="H427" s="72" t="s">
        <v>47</v>
      </c>
      <c r="I427" s="72">
        <v>1</v>
      </c>
      <c r="J427" s="37" t="s">
        <v>31</v>
      </c>
      <c r="K427" s="37">
        <v>21</v>
      </c>
      <c r="L427" s="17">
        <v>0.61</v>
      </c>
      <c r="M427" s="19">
        <v>4.6100000000000003</v>
      </c>
      <c r="N427" s="18">
        <f t="shared" si="214"/>
        <v>4</v>
      </c>
      <c r="O427" s="20" t="str">
        <f t="shared" si="184"/>
        <v>OK</v>
      </c>
    </row>
    <row r="428" spans="1:15" ht="12" customHeight="1" x14ac:dyDescent="0.25">
      <c r="A428" s="91" t="s">
        <v>16</v>
      </c>
      <c r="B428" s="32">
        <v>3</v>
      </c>
      <c r="C428" s="36">
        <v>1198360</v>
      </c>
      <c r="D428" s="52">
        <v>46126</v>
      </c>
      <c r="E428" s="32" t="s">
        <v>15</v>
      </c>
      <c r="F428" s="32" t="str">
        <f t="shared" ref="F428:I428" si="223">F427</f>
        <v>M22</v>
      </c>
      <c r="G428" s="61" t="str">
        <f t="shared" si="223"/>
        <v>307</v>
      </c>
      <c r="H428" s="72" t="str">
        <f t="shared" si="223"/>
        <v>C6</v>
      </c>
      <c r="I428" s="72">
        <f t="shared" si="223"/>
        <v>1</v>
      </c>
      <c r="J428" s="37" t="s">
        <v>32</v>
      </c>
      <c r="K428" s="37">
        <v>21</v>
      </c>
      <c r="L428" s="17">
        <v>0.73</v>
      </c>
      <c r="M428" s="19">
        <v>4.76</v>
      </c>
      <c r="N428" s="18">
        <f t="shared" si="214"/>
        <v>4.0299999999999994</v>
      </c>
      <c r="O428" s="20" t="str">
        <f t="shared" si="184"/>
        <v>OK</v>
      </c>
    </row>
    <row r="429" spans="1:15" ht="12" customHeight="1" x14ac:dyDescent="0.25">
      <c r="A429" s="91" t="s">
        <v>16</v>
      </c>
      <c r="B429" s="32">
        <v>3</v>
      </c>
      <c r="C429" s="36">
        <v>1198360</v>
      </c>
      <c r="D429" s="52">
        <v>46126</v>
      </c>
      <c r="E429" s="32" t="s">
        <v>15</v>
      </c>
      <c r="F429" s="32" t="str">
        <f t="shared" ref="F429:I429" si="224">F428</f>
        <v>M22</v>
      </c>
      <c r="G429" s="61" t="str">
        <f t="shared" si="224"/>
        <v>307</v>
      </c>
      <c r="H429" s="72" t="str">
        <f t="shared" si="224"/>
        <v>C6</v>
      </c>
      <c r="I429" s="72">
        <f t="shared" si="224"/>
        <v>1</v>
      </c>
      <c r="J429" s="37" t="s">
        <v>33</v>
      </c>
      <c r="K429" s="37">
        <v>22</v>
      </c>
      <c r="L429" s="17">
        <v>0.65</v>
      </c>
      <c r="M429" s="19">
        <v>4.91</v>
      </c>
      <c r="N429" s="18">
        <f t="shared" si="214"/>
        <v>4.26</v>
      </c>
      <c r="O429" s="20" t="str">
        <f t="shared" si="184"/>
        <v>OK</v>
      </c>
    </row>
    <row r="430" spans="1:15" ht="12" customHeight="1" x14ac:dyDescent="0.25">
      <c r="A430" s="91" t="s">
        <v>16</v>
      </c>
      <c r="B430" s="32">
        <v>3</v>
      </c>
      <c r="C430" s="36">
        <v>1198360</v>
      </c>
      <c r="D430" s="52">
        <v>46126</v>
      </c>
      <c r="E430" s="32" t="s">
        <v>15</v>
      </c>
      <c r="F430" s="32" t="str">
        <f t="shared" ref="F430:I430" si="225">F429</f>
        <v>M22</v>
      </c>
      <c r="G430" s="61" t="str">
        <f t="shared" si="225"/>
        <v>307</v>
      </c>
      <c r="H430" s="72" t="str">
        <f t="shared" si="225"/>
        <v>C6</v>
      </c>
      <c r="I430" s="72">
        <f t="shared" si="225"/>
        <v>1</v>
      </c>
      <c r="J430" s="37" t="s">
        <v>34</v>
      </c>
      <c r="K430" s="37">
        <v>22</v>
      </c>
      <c r="L430" s="17">
        <v>0.35</v>
      </c>
      <c r="M430" s="19">
        <v>1.91</v>
      </c>
      <c r="N430" s="18">
        <f t="shared" si="214"/>
        <v>1.56</v>
      </c>
      <c r="O430" s="20" t="str">
        <f t="shared" si="184"/>
        <v>OK</v>
      </c>
    </row>
    <row r="431" spans="1:15" ht="12" customHeight="1" x14ac:dyDescent="0.25">
      <c r="A431" s="91" t="s">
        <v>16</v>
      </c>
      <c r="B431" s="32">
        <v>3</v>
      </c>
      <c r="C431" s="36">
        <v>1198360</v>
      </c>
      <c r="D431" s="52">
        <v>46126</v>
      </c>
      <c r="E431" s="32" t="s">
        <v>15</v>
      </c>
      <c r="F431" s="32" t="str">
        <f t="shared" ref="F431:G431" si="226">F430</f>
        <v>M22</v>
      </c>
      <c r="G431" s="61" t="str">
        <f t="shared" si="226"/>
        <v>307</v>
      </c>
      <c r="H431" s="72" t="str">
        <f>H430</f>
        <v>C6</v>
      </c>
      <c r="I431" s="72">
        <v>2</v>
      </c>
      <c r="J431" s="37" t="s">
        <v>35</v>
      </c>
      <c r="K431" s="37">
        <v>23</v>
      </c>
      <c r="L431" s="17">
        <v>0.59</v>
      </c>
      <c r="M431" s="19">
        <v>2.2000000000000002</v>
      </c>
      <c r="N431" s="18">
        <f t="shared" si="214"/>
        <v>1.6100000000000003</v>
      </c>
      <c r="O431" s="20" t="str">
        <f t="shared" si="184"/>
        <v>OK</v>
      </c>
    </row>
    <row r="432" spans="1:15" ht="12" customHeight="1" x14ac:dyDescent="0.25">
      <c r="A432" s="91" t="s">
        <v>16</v>
      </c>
      <c r="B432" s="32">
        <v>3</v>
      </c>
      <c r="C432" s="36">
        <v>1198360</v>
      </c>
      <c r="D432" s="52">
        <v>46126</v>
      </c>
      <c r="E432" s="32" t="s">
        <v>15</v>
      </c>
      <c r="F432" s="32" t="str">
        <f t="shared" ref="F432:G432" si="227">F431</f>
        <v>M22</v>
      </c>
      <c r="G432" s="61" t="str">
        <f t="shared" si="227"/>
        <v>307</v>
      </c>
      <c r="H432" s="72" t="str">
        <f>H431</f>
        <v>C6</v>
      </c>
      <c r="I432" s="72">
        <f>I431</f>
        <v>2</v>
      </c>
      <c r="J432" s="37" t="s">
        <v>36</v>
      </c>
      <c r="K432" s="37">
        <v>23</v>
      </c>
      <c r="L432" s="17">
        <v>0.64</v>
      </c>
      <c r="M432" s="19">
        <v>4.93</v>
      </c>
      <c r="N432" s="18">
        <f t="shared" si="214"/>
        <v>4.29</v>
      </c>
      <c r="O432" s="20" t="str">
        <f t="shared" si="184"/>
        <v>OK</v>
      </c>
    </row>
    <row r="433" spans="1:15" ht="12" customHeight="1" x14ac:dyDescent="0.25">
      <c r="A433" s="91" t="s">
        <v>16</v>
      </c>
      <c r="B433" s="32">
        <v>3</v>
      </c>
      <c r="C433" s="36">
        <v>1198360</v>
      </c>
      <c r="D433" s="52">
        <v>46126</v>
      </c>
      <c r="E433" s="32" t="s">
        <v>15</v>
      </c>
      <c r="F433" s="32" t="str">
        <f t="shared" ref="F433:G433" si="228">F432</f>
        <v>M22</v>
      </c>
      <c r="G433" s="61" t="str">
        <f t="shared" si="228"/>
        <v>307</v>
      </c>
      <c r="H433" s="72" t="str">
        <f>H432</f>
        <v>C6</v>
      </c>
      <c r="I433" s="72">
        <f>I432</f>
        <v>2</v>
      </c>
      <c r="J433" s="37" t="s">
        <v>37</v>
      </c>
      <c r="K433" s="37">
        <v>24</v>
      </c>
      <c r="L433" s="17">
        <v>0.63</v>
      </c>
      <c r="M433" s="19">
        <v>1.33</v>
      </c>
      <c r="N433" s="18">
        <f t="shared" si="214"/>
        <v>0.70000000000000007</v>
      </c>
      <c r="O433" s="20" t="str">
        <f t="shared" si="184"/>
        <v>Seguimiento</v>
      </c>
    </row>
    <row r="434" spans="1:15" ht="12" customHeight="1" x14ac:dyDescent="0.25">
      <c r="A434" s="91" t="s">
        <v>16</v>
      </c>
      <c r="B434" s="32">
        <v>3</v>
      </c>
      <c r="C434" s="36">
        <v>1198360</v>
      </c>
      <c r="D434" s="52">
        <v>46126</v>
      </c>
      <c r="E434" s="32" t="s">
        <v>15</v>
      </c>
      <c r="F434" s="32" t="str">
        <f t="shared" ref="F434:G434" si="229">F433</f>
        <v>M22</v>
      </c>
      <c r="G434" s="61" t="str">
        <f t="shared" si="229"/>
        <v>307</v>
      </c>
      <c r="H434" s="72" t="str">
        <f>H433</f>
        <v>C6</v>
      </c>
      <c r="I434" s="72">
        <f>I433</f>
        <v>2</v>
      </c>
      <c r="J434" s="37" t="s">
        <v>38</v>
      </c>
      <c r="K434" s="37">
        <v>24</v>
      </c>
      <c r="L434" s="17">
        <v>1.03</v>
      </c>
      <c r="M434" s="19">
        <v>3.77</v>
      </c>
      <c r="N434" s="18">
        <f t="shared" si="214"/>
        <v>2.74</v>
      </c>
      <c r="O434" s="20" t="str">
        <f t="shared" si="184"/>
        <v>OK</v>
      </c>
    </row>
    <row r="435" spans="1:15" ht="12" customHeight="1" x14ac:dyDescent="0.25">
      <c r="A435" s="91" t="s">
        <v>16</v>
      </c>
      <c r="B435" s="32">
        <v>3</v>
      </c>
      <c r="C435" s="36">
        <v>1198360</v>
      </c>
      <c r="D435" s="52">
        <v>46126</v>
      </c>
      <c r="E435" s="32" t="s">
        <v>15</v>
      </c>
      <c r="F435" s="32" t="s">
        <v>44</v>
      </c>
      <c r="G435" s="61" t="s">
        <v>62</v>
      </c>
      <c r="H435" s="72" t="s">
        <v>47</v>
      </c>
      <c r="I435" s="72">
        <v>2</v>
      </c>
      <c r="J435" s="37" t="s">
        <v>31</v>
      </c>
      <c r="K435" s="37">
        <v>25</v>
      </c>
      <c r="L435" s="17">
        <v>1.73</v>
      </c>
      <c r="M435" s="19">
        <v>4.92</v>
      </c>
      <c r="N435" s="18">
        <f t="shared" si="214"/>
        <v>3.19</v>
      </c>
      <c r="O435" s="20" t="str">
        <f t="shared" si="184"/>
        <v>Reperfilado</v>
      </c>
    </row>
    <row r="436" spans="1:15" ht="12" customHeight="1" x14ac:dyDescent="0.25">
      <c r="A436" s="91" t="s">
        <v>16</v>
      </c>
      <c r="B436" s="32">
        <v>3</v>
      </c>
      <c r="C436" s="36">
        <v>1198360</v>
      </c>
      <c r="D436" s="52">
        <v>46126</v>
      </c>
      <c r="E436" s="32" t="s">
        <v>15</v>
      </c>
      <c r="F436" s="32" t="str">
        <f t="shared" ref="F436:I436" si="230">F435</f>
        <v>M22</v>
      </c>
      <c r="G436" s="61" t="str">
        <f t="shared" si="230"/>
        <v>306</v>
      </c>
      <c r="H436" s="72" t="str">
        <f t="shared" si="230"/>
        <v>C6</v>
      </c>
      <c r="I436" s="72">
        <f t="shared" si="230"/>
        <v>2</v>
      </c>
      <c r="J436" s="37" t="s">
        <v>32</v>
      </c>
      <c r="K436" s="37">
        <v>25</v>
      </c>
      <c r="L436" s="17">
        <v>1.23</v>
      </c>
      <c r="M436" s="19">
        <v>4.9400000000000004</v>
      </c>
      <c r="N436" s="18">
        <f t="shared" si="214"/>
        <v>3.7100000000000004</v>
      </c>
      <c r="O436" s="20" t="str">
        <f t="shared" si="184"/>
        <v>OK</v>
      </c>
    </row>
    <row r="437" spans="1:15" ht="12" customHeight="1" x14ac:dyDescent="0.25">
      <c r="A437" s="91" t="s">
        <v>16</v>
      </c>
      <c r="B437" s="32">
        <v>3</v>
      </c>
      <c r="C437" s="36">
        <v>1198360</v>
      </c>
      <c r="D437" s="52">
        <v>46126</v>
      </c>
      <c r="E437" s="32" t="s">
        <v>15</v>
      </c>
      <c r="F437" s="32" t="str">
        <f t="shared" ref="F437:I437" si="231">F436</f>
        <v>M22</v>
      </c>
      <c r="G437" s="61" t="str">
        <f t="shared" si="231"/>
        <v>306</v>
      </c>
      <c r="H437" s="72" t="str">
        <f t="shared" si="231"/>
        <v>C6</v>
      </c>
      <c r="I437" s="72">
        <f t="shared" si="231"/>
        <v>2</v>
      </c>
      <c r="J437" s="37" t="s">
        <v>33</v>
      </c>
      <c r="K437" s="37">
        <v>26</v>
      </c>
      <c r="L437" s="17">
        <v>1.17</v>
      </c>
      <c r="M437" s="19">
        <v>4.6500000000000004</v>
      </c>
      <c r="N437" s="18">
        <f t="shared" si="214"/>
        <v>3.4800000000000004</v>
      </c>
      <c r="O437" s="20" t="str">
        <f t="shared" si="184"/>
        <v>OK</v>
      </c>
    </row>
    <row r="438" spans="1:15" ht="12" customHeight="1" x14ac:dyDescent="0.25">
      <c r="A438" s="91" t="s">
        <v>16</v>
      </c>
      <c r="B438" s="32">
        <v>3</v>
      </c>
      <c r="C438" s="36">
        <v>1198360</v>
      </c>
      <c r="D438" s="52">
        <v>46126</v>
      </c>
      <c r="E438" s="32" t="s">
        <v>15</v>
      </c>
      <c r="F438" s="32" t="str">
        <f t="shared" ref="F438:I438" si="232">F437</f>
        <v>M22</v>
      </c>
      <c r="G438" s="61" t="str">
        <f t="shared" si="232"/>
        <v>306</v>
      </c>
      <c r="H438" s="72" t="str">
        <f t="shared" si="232"/>
        <v>C6</v>
      </c>
      <c r="I438" s="72">
        <f t="shared" si="232"/>
        <v>2</v>
      </c>
      <c r="J438" s="37" t="s">
        <v>34</v>
      </c>
      <c r="K438" s="37">
        <v>26</v>
      </c>
      <c r="L438" s="17">
        <v>0.46</v>
      </c>
      <c r="M438" s="19">
        <v>4.97</v>
      </c>
      <c r="N438" s="18">
        <f t="shared" si="214"/>
        <v>4.51</v>
      </c>
      <c r="O438" s="20" t="str">
        <f t="shared" si="184"/>
        <v>OK</v>
      </c>
    </row>
    <row r="439" spans="1:15" ht="12" customHeight="1" x14ac:dyDescent="0.25">
      <c r="A439" s="91" t="s">
        <v>16</v>
      </c>
      <c r="B439" s="32">
        <v>3</v>
      </c>
      <c r="C439" s="36">
        <v>1198360</v>
      </c>
      <c r="D439" s="52">
        <v>46126</v>
      </c>
      <c r="E439" s="32" t="s">
        <v>15</v>
      </c>
      <c r="F439" s="32" t="str">
        <f t="shared" ref="F439:H439" si="233">F438</f>
        <v>M22</v>
      </c>
      <c r="G439" s="61" t="str">
        <f t="shared" si="233"/>
        <v>306</v>
      </c>
      <c r="H439" s="72" t="str">
        <f t="shared" si="233"/>
        <v>C6</v>
      </c>
      <c r="I439" s="72">
        <v>1</v>
      </c>
      <c r="J439" s="37" t="s">
        <v>35</v>
      </c>
      <c r="K439" s="37">
        <v>27</v>
      </c>
      <c r="L439" s="17">
        <v>0.71</v>
      </c>
      <c r="M439" s="19">
        <v>4.6900000000000004</v>
      </c>
      <c r="N439" s="18">
        <f t="shared" si="214"/>
        <v>3.9800000000000004</v>
      </c>
      <c r="O439" s="20" t="str">
        <f t="shared" si="184"/>
        <v>OK</v>
      </c>
    </row>
    <row r="440" spans="1:15" ht="12" customHeight="1" x14ac:dyDescent="0.25">
      <c r="A440" s="91" t="s">
        <v>16</v>
      </c>
      <c r="B440" s="32">
        <v>3</v>
      </c>
      <c r="C440" s="36">
        <v>1198360</v>
      </c>
      <c r="D440" s="52">
        <v>46126</v>
      </c>
      <c r="E440" s="32" t="s">
        <v>15</v>
      </c>
      <c r="F440" s="32" t="str">
        <f t="shared" ref="F440:H440" si="234">F439</f>
        <v>M22</v>
      </c>
      <c r="G440" s="61" t="str">
        <f t="shared" si="234"/>
        <v>306</v>
      </c>
      <c r="H440" s="72" t="str">
        <f t="shared" si="234"/>
        <v>C6</v>
      </c>
      <c r="I440" s="72">
        <f>I439</f>
        <v>1</v>
      </c>
      <c r="J440" s="37" t="s">
        <v>36</v>
      </c>
      <c r="K440" s="37">
        <v>27</v>
      </c>
      <c r="L440" s="17">
        <v>1.27</v>
      </c>
      <c r="M440" s="19">
        <v>4.84</v>
      </c>
      <c r="N440" s="18">
        <f t="shared" si="214"/>
        <v>3.57</v>
      </c>
      <c r="O440" s="20" t="str">
        <f t="shared" si="184"/>
        <v>OK</v>
      </c>
    </row>
    <row r="441" spans="1:15" ht="12" customHeight="1" x14ac:dyDescent="0.25">
      <c r="A441" s="91" t="s">
        <v>16</v>
      </c>
      <c r="B441" s="32">
        <v>3</v>
      </c>
      <c r="C441" s="36">
        <v>1198360</v>
      </c>
      <c r="D441" s="52">
        <v>46126</v>
      </c>
      <c r="E441" s="32" t="s">
        <v>15</v>
      </c>
      <c r="F441" s="32" t="str">
        <f t="shared" ref="F441:H441" si="235">F440</f>
        <v>M22</v>
      </c>
      <c r="G441" s="61" t="str">
        <f t="shared" si="235"/>
        <v>306</v>
      </c>
      <c r="H441" s="72" t="str">
        <f t="shared" si="235"/>
        <v>C6</v>
      </c>
      <c r="I441" s="72">
        <f>I440</f>
        <v>1</v>
      </c>
      <c r="J441" s="37" t="s">
        <v>37</v>
      </c>
      <c r="K441" s="37">
        <v>28</v>
      </c>
      <c r="L441" s="17">
        <v>1.69</v>
      </c>
      <c r="M441" s="19">
        <v>4.97</v>
      </c>
      <c r="N441" s="18">
        <f t="shared" si="214"/>
        <v>3.28</v>
      </c>
      <c r="O441" s="20" t="str">
        <f t="shared" si="184"/>
        <v>OK</v>
      </c>
    </row>
    <row r="442" spans="1:15" ht="12" customHeight="1" x14ac:dyDescent="0.25">
      <c r="A442" s="91" t="s">
        <v>16</v>
      </c>
      <c r="B442" s="32">
        <v>3</v>
      </c>
      <c r="C442" s="36">
        <v>1198360</v>
      </c>
      <c r="D442" s="52">
        <v>46126</v>
      </c>
      <c r="E442" s="32" t="s">
        <v>15</v>
      </c>
      <c r="F442" s="32" t="str">
        <f t="shared" ref="F442:H442" si="236">F441</f>
        <v>M22</v>
      </c>
      <c r="G442" s="61" t="str">
        <f t="shared" si="236"/>
        <v>306</v>
      </c>
      <c r="H442" s="72" t="str">
        <f t="shared" si="236"/>
        <v>C6</v>
      </c>
      <c r="I442" s="72">
        <f>I441</f>
        <v>1</v>
      </c>
      <c r="J442" s="37" t="s">
        <v>38</v>
      </c>
      <c r="K442" s="37">
        <v>28</v>
      </c>
      <c r="L442" s="17">
        <v>1.25</v>
      </c>
      <c r="M442" s="19">
        <v>4.8899999999999997</v>
      </c>
      <c r="N442" s="18">
        <f t="shared" si="214"/>
        <v>3.6399999999999997</v>
      </c>
      <c r="O442" s="20" t="str">
        <f t="shared" si="184"/>
        <v>OK</v>
      </c>
    </row>
    <row r="443" spans="1:15" ht="12" customHeight="1" x14ac:dyDescent="0.25">
      <c r="A443" s="91" t="s">
        <v>16</v>
      </c>
      <c r="B443" s="32">
        <v>3</v>
      </c>
      <c r="C443" s="36">
        <v>1198360</v>
      </c>
      <c r="D443" s="52">
        <v>46126</v>
      </c>
      <c r="E443" s="32" t="s">
        <v>15</v>
      </c>
      <c r="F443" s="32" t="str">
        <f t="shared" ref="F443:G443" si="237">F442</f>
        <v>M22</v>
      </c>
      <c r="G443" s="61" t="str">
        <f t="shared" si="237"/>
        <v>306</v>
      </c>
      <c r="H443" s="72" t="s">
        <v>46</v>
      </c>
      <c r="I443" s="72">
        <v>2</v>
      </c>
      <c r="J443" s="37" t="s">
        <v>31</v>
      </c>
      <c r="K443" s="37">
        <v>29</v>
      </c>
      <c r="L443" s="17">
        <v>1.46</v>
      </c>
      <c r="M443" s="19">
        <v>4.63</v>
      </c>
      <c r="N443" s="18">
        <f t="shared" si="214"/>
        <v>3.17</v>
      </c>
      <c r="O443" s="20" t="str">
        <f t="shared" si="184"/>
        <v>OK</v>
      </c>
    </row>
    <row r="444" spans="1:15" ht="12" customHeight="1" x14ac:dyDescent="0.25">
      <c r="A444" s="91" t="s">
        <v>16</v>
      </c>
      <c r="B444" s="32">
        <v>3</v>
      </c>
      <c r="C444" s="36">
        <v>1198360</v>
      </c>
      <c r="D444" s="52">
        <v>46126</v>
      </c>
      <c r="E444" s="32" t="s">
        <v>15</v>
      </c>
      <c r="F444" s="32" t="str">
        <f t="shared" ref="F444:I444" si="238">F443</f>
        <v>M22</v>
      </c>
      <c r="G444" s="61" t="str">
        <f t="shared" si="238"/>
        <v>306</v>
      </c>
      <c r="H444" s="72" t="str">
        <f t="shared" si="238"/>
        <v>C5</v>
      </c>
      <c r="I444" s="72">
        <f t="shared" si="238"/>
        <v>2</v>
      </c>
      <c r="J444" s="37" t="s">
        <v>32</v>
      </c>
      <c r="K444" s="37">
        <v>29</v>
      </c>
      <c r="L444" s="17">
        <v>1.76</v>
      </c>
      <c r="M444" s="19">
        <v>4.34</v>
      </c>
      <c r="N444" s="18">
        <f t="shared" si="214"/>
        <v>2.58</v>
      </c>
      <c r="O444" s="20" t="str">
        <f t="shared" si="184"/>
        <v>Reperfilado</v>
      </c>
    </row>
    <row r="445" spans="1:15" ht="12" customHeight="1" x14ac:dyDescent="0.25">
      <c r="A445" s="91" t="s">
        <v>16</v>
      </c>
      <c r="B445" s="32">
        <v>3</v>
      </c>
      <c r="C445" s="36">
        <v>1198360</v>
      </c>
      <c r="D445" s="52">
        <v>46126</v>
      </c>
      <c r="E445" s="32" t="s">
        <v>15</v>
      </c>
      <c r="F445" s="32" t="str">
        <f t="shared" ref="F445:I445" si="239">F444</f>
        <v>M22</v>
      </c>
      <c r="G445" s="61" t="str">
        <f t="shared" si="239"/>
        <v>306</v>
      </c>
      <c r="H445" s="72" t="str">
        <f t="shared" si="239"/>
        <v>C5</v>
      </c>
      <c r="I445" s="72">
        <f t="shared" si="239"/>
        <v>2</v>
      </c>
      <c r="J445" s="37" t="s">
        <v>33</v>
      </c>
      <c r="K445" s="37">
        <v>30</v>
      </c>
      <c r="L445" s="17">
        <v>1.8</v>
      </c>
      <c r="M445" s="19">
        <v>4.53</v>
      </c>
      <c r="N445" s="18">
        <f t="shared" si="214"/>
        <v>2.7300000000000004</v>
      </c>
      <c r="O445" s="20" t="str">
        <f t="shared" si="184"/>
        <v>Reperfilado</v>
      </c>
    </row>
    <row r="446" spans="1:15" ht="12" customHeight="1" x14ac:dyDescent="0.25">
      <c r="A446" s="91" t="s">
        <v>16</v>
      </c>
      <c r="B446" s="32">
        <v>3</v>
      </c>
      <c r="C446" s="36">
        <v>1198360</v>
      </c>
      <c r="D446" s="52">
        <v>46126</v>
      </c>
      <c r="E446" s="32" t="s">
        <v>15</v>
      </c>
      <c r="F446" s="32" t="str">
        <f t="shared" ref="F446:I446" si="240">F445</f>
        <v>M22</v>
      </c>
      <c r="G446" s="61" t="str">
        <f t="shared" si="240"/>
        <v>306</v>
      </c>
      <c r="H446" s="72" t="str">
        <f t="shared" si="240"/>
        <v>C5</v>
      </c>
      <c r="I446" s="72">
        <f t="shared" si="240"/>
        <v>2</v>
      </c>
      <c r="J446" s="37" t="s">
        <v>34</v>
      </c>
      <c r="K446" s="37">
        <v>30</v>
      </c>
      <c r="L446" s="17">
        <v>0.74</v>
      </c>
      <c r="M446" s="19">
        <v>1.85</v>
      </c>
      <c r="N446" s="18">
        <f t="shared" si="214"/>
        <v>1.1100000000000001</v>
      </c>
      <c r="O446" s="20" t="str">
        <f t="shared" si="184"/>
        <v>OK</v>
      </c>
    </row>
    <row r="447" spans="1:15" ht="12" customHeight="1" x14ac:dyDescent="0.25">
      <c r="A447" s="91" t="s">
        <v>16</v>
      </c>
      <c r="B447" s="32">
        <v>3</v>
      </c>
      <c r="C447" s="36">
        <v>1198360</v>
      </c>
      <c r="D447" s="52">
        <v>46126</v>
      </c>
      <c r="E447" s="32" t="s">
        <v>15</v>
      </c>
      <c r="F447" s="32" t="str">
        <f t="shared" ref="F447:G447" si="241">F446</f>
        <v>M22</v>
      </c>
      <c r="G447" s="61" t="str">
        <f t="shared" si="241"/>
        <v>306</v>
      </c>
      <c r="H447" s="72" t="str">
        <f>H446</f>
        <v>C5</v>
      </c>
      <c r="I447" s="72">
        <v>1</v>
      </c>
      <c r="J447" s="37" t="s">
        <v>35</v>
      </c>
      <c r="K447" s="37">
        <v>31</v>
      </c>
      <c r="L447" s="17">
        <v>0.19</v>
      </c>
      <c r="M447" s="19">
        <v>5.0199999999999996</v>
      </c>
      <c r="N447" s="18">
        <f t="shared" si="214"/>
        <v>4.8299999999999992</v>
      </c>
      <c r="O447" s="20" t="str">
        <f t="shared" si="184"/>
        <v>OK</v>
      </c>
    </row>
    <row r="448" spans="1:15" ht="12" customHeight="1" x14ac:dyDescent="0.25">
      <c r="A448" s="91" t="s">
        <v>16</v>
      </c>
      <c r="B448" s="32">
        <v>3</v>
      </c>
      <c r="C448" s="36">
        <v>1198360</v>
      </c>
      <c r="D448" s="52">
        <v>46126</v>
      </c>
      <c r="E448" s="32" t="s">
        <v>15</v>
      </c>
      <c r="F448" s="32" t="str">
        <f t="shared" ref="F448:G448" si="242">F447</f>
        <v>M22</v>
      </c>
      <c r="G448" s="61" t="str">
        <f t="shared" si="242"/>
        <v>306</v>
      </c>
      <c r="H448" s="72" t="str">
        <f>H447</f>
        <v>C5</v>
      </c>
      <c r="I448" s="72">
        <f>I447</f>
        <v>1</v>
      </c>
      <c r="J448" s="37" t="s">
        <v>36</v>
      </c>
      <c r="K448" s="37">
        <v>31</v>
      </c>
      <c r="L448" s="17">
        <v>1.48</v>
      </c>
      <c r="M448" s="19">
        <v>4.8899999999999997</v>
      </c>
      <c r="N448" s="18">
        <f t="shared" si="214"/>
        <v>3.4099999999999997</v>
      </c>
      <c r="O448" s="20" t="str">
        <f t="shared" si="184"/>
        <v>OK</v>
      </c>
    </row>
    <row r="449" spans="1:15" ht="12" customHeight="1" x14ac:dyDescent="0.25">
      <c r="A449" s="91" t="s">
        <v>16</v>
      </c>
      <c r="B449" s="32">
        <v>3</v>
      </c>
      <c r="C449" s="36">
        <v>1198360</v>
      </c>
      <c r="D449" s="52">
        <v>46126</v>
      </c>
      <c r="E449" s="32" t="s">
        <v>15</v>
      </c>
      <c r="F449" s="32" t="str">
        <f t="shared" ref="F449:G449" si="243">F448</f>
        <v>M22</v>
      </c>
      <c r="G449" s="61" t="str">
        <f t="shared" si="243"/>
        <v>306</v>
      </c>
      <c r="H449" s="72" t="str">
        <f>H448</f>
        <v>C5</v>
      </c>
      <c r="I449" s="72">
        <f>I448</f>
        <v>1</v>
      </c>
      <c r="J449" s="37" t="s">
        <v>37</v>
      </c>
      <c r="K449" s="37">
        <v>32</v>
      </c>
      <c r="L449" s="17">
        <v>0.51</v>
      </c>
      <c r="M449" s="19">
        <v>1.42</v>
      </c>
      <c r="N449" s="18">
        <f t="shared" si="214"/>
        <v>0.90999999999999992</v>
      </c>
      <c r="O449" s="20" t="str">
        <f t="shared" si="184"/>
        <v>Seguimiento</v>
      </c>
    </row>
    <row r="450" spans="1:15" ht="12" customHeight="1" x14ac:dyDescent="0.25">
      <c r="A450" s="91" t="s">
        <v>16</v>
      </c>
      <c r="B450" s="32">
        <v>3</v>
      </c>
      <c r="C450" s="36">
        <v>1198360</v>
      </c>
      <c r="D450" s="52">
        <v>46126</v>
      </c>
      <c r="E450" s="32" t="s">
        <v>15</v>
      </c>
      <c r="F450" s="32" t="str">
        <f t="shared" ref="F450:G450" si="244">F449</f>
        <v>M22</v>
      </c>
      <c r="G450" s="61" t="str">
        <f t="shared" si="244"/>
        <v>306</v>
      </c>
      <c r="H450" s="72" t="str">
        <f>H449</f>
        <v>C5</v>
      </c>
      <c r="I450" s="72">
        <f>I449</f>
        <v>1</v>
      </c>
      <c r="J450" s="37" t="s">
        <v>38</v>
      </c>
      <c r="K450" s="37">
        <v>32</v>
      </c>
      <c r="L450" s="17">
        <v>1.74</v>
      </c>
      <c r="M450" s="19">
        <v>3.68</v>
      </c>
      <c r="N450" s="18">
        <f t="shared" si="214"/>
        <v>1.9400000000000002</v>
      </c>
      <c r="O450" s="20" t="str">
        <f t="shared" si="184"/>
        <v>Reperfilado</v>
      </c>
    </row>
    <row r="451" spans="1:15" ht="12" customHeight="1" x14ac:dyDescent="0.25">
      <c r="A451" s="91" t="s">
        <v>16</v>
      </c>
      <c r="B451" s="32">
        <v>3</v>
      </c>
      <c r="C451" s="36">
        <v>1198360</v>
      </c>
      <c r="D451" s="52">
        <v>46126</v>
      </c>
      <c r="E451" s="32" t="s">
        <v>15</v>
      </c>
      <c r="F451" s="32" t="s">
        <v>40</v>
      </c>
      <c r="G451" s="61" t="s">
        <v>63</v>
      </c>
      <c r="H451" s="72" t="s">
        <v>43</v>
      </c>
      <c r="I451" s="72">
        <v>2</v>
      </c>
      <c r="J451" s="37" t="s">
        <v>31</v>
      </c>
      <c r="K451" s="37">
        <v>33</v>
      </c>
      <c r="L451" s="17">
        <v>1.17</v>
      </c>
      <c r="M451" s="19">
        <v>3.73</v>
      </c>
      <c r="N451" s="18">
        <f t="shared" si="214"/>
        <v>2.56</v>
      </c>
      <c r="O451" s="20" t="str">
        <f t="shared" si="184"/>
        <v>OK</v>
      </c>
    </row>
    <row r="452" spans="1:15" ht="12" customHeight="1" x14ac:dyDescent="0.25">
      <c r="A452" s="91" t="s">
        <v>16</v>
      </c>
      <c r="B452" s="32">
        <v>3</v>
      </c>
      <c r="C452" s="36">
        <v>1198360</v>
      </c>
      <c r="D452" s="52">
        <v>46126</v>
      </c>
      <c r="E452" s="32" t="s">
        <v>15</v>
      </c>
      <c r="F452" s="32" t="str">
        <f t="shared" ref="F452:I452" si="245">F451</f>
        <v>M21</v>
      </c>
      <c r="G452" s="61" t="str">
        <f t="shared" si="245"/>
        <v>012</v>
      </c>
      <c r="H452" s="72" t="str">
        <f t="shared" si="245"/>
        <v>C4</v>
      </c>
      <c r="I452" s="72">
        <f t="shared" si="245"/>
        <v>2</v>
      </c>
      <c r="J452" s="37" t="s">
        <v>32</v>
      </c>
      <c r="K452" s="37">
        <v>33</v>
      </c>
      <c r="L452" s="17">
        <v>0.11</v>
      </c>
      <c r="M452" s="19">
        <v>2.59</v>
      </c>
      <c r="N452" s="18">
        <f t="shared" si="214"/>
        <v>2.48</v>
      </c>
      <c r="O452" s="20" t="str">
        <f t="shared" ref="O452:O515" si="246">IF(N452&lt;=0,"Critico",IF(N452&lt;=0.2,"Cambio",IF(N452&lt;=1,"Seguimiento",IF(L452&gt;=1.7,"Reperfilado","OK"))))</f>
        <v>OK</v>
      </c>
    </row>
    <row r="453" spans="1:15" ht="12" customHeight="1" x14ac:dyDescent="0.25">
      <c r="A453" s="91" t="s">
        <v>16</v>
      </c>
      <c r="B453" s="32">
        <v>3</v>
      </c>
      <c r="C453" s="36">
        <v>1198360</v>
      </c>
      <c r="D453" s="52">
        <v>46126</v>
      </c>
      <c r="E453" s="32" t="s">
        <v>15</v>
      </c>
      <c r="F453" s="32" t="str">
        <f t="shared" ref="F453:I453" si="247">F452</f>
        <v>M21</v>
      </c>
      <c r="G453" s="61" t="str">
        <f t="shared" si="247"/>
        <v>012</v>
      </c>
      <c r="H453" s="72" t="str">
        <f t="shared" si="247"/>
        <v>C4</v>
      </c>
      <c r="I453" s="72">
        <f t="shared" si="247"/>
        <v>2</v>
      </c>
      <c r="J453" s="37" t="s">
        <v>33</v>
      </c>
      <c r="K453" s="37">
        <v>34</v>
      </c>
      <c r="L453" s="17">
        <v>0.24</v>
      </c>
      <c r="M453" s="19">
        <v>1.6</v>
      </c>
      <c r="N453" s="18">
        <f t="shared" si="214"/>
        <v>1.36</v>
      </c>
      <c r="O453" s="20" t="str">
        <f t="shared" si="246"/>
        <v>OK</v>
      </c>
    </row>
    <row r="454" spans="1:15" ht="12" customHeight="1" x14ac:dyDescent="0.25">
      <c r="A454" s="91" t="s">
        <v>16</v>
      </c>
      <c r="B454" s="32">
        <v>3</v>
      </c>
      <c r="C454" s="36">
        <v>1198360</v>
      </c>
      <c r="D454" s="52">
        <v>46126</v>
      </c>
      <c r="E454" s="32" t="s">
        <v>15</v>
      </c>
      <c r="F454" s="32" t="str">
        <f t="shared" ref="F454:I454" si="248">F453</f>
        <v>M21</v>
      </c>
      <c r="G454" s="61" t="str">
        <f t="shared" si="248"/>
        <v>012</v>
      </c>
      <c r="H454" s="72" t="str">
        <f t="shared" si="248"/>
        <v>C4</v>
      </c>
      <c r="I454" s="72">
        <f t="shared" si="248"/>
        <v>2</v>
      </c>
      <c r="J454" s="37" t="s">
        <v>34</v>
      </c>
      <c r="K454" s="37">
        <v>34</v>
      </c>
      <c r="L454" s="17">
        <v>1.1200000000000001</v>
      </c>
      <c r="M454" s="19">
        <v>2.98</v>
      </c>
      <c r="N454" s="18">
        <f t="shared" si="214"/>
        <v>1.8599999999999999</v>
      </c>
      <c r="O454" s="20" t="str">
        <f t="shared" si="246"/>
        <v>OK</v>
      </c>
    </row>
    <row r="455" spans="1:15" ht="12" customHeight="1" x14ac:dyDescent="0.25">
      <c r="A455" s="91" t="s">
        <v>16</v>
      </c>
      <c r="B455" s="32">
        <v>3</v>
      </c>
      <c r="C455" s="36">
        <v>1198360</v>
      </c>
      <c r="D455" s="52">
        <v>46126</v>
      </c>
      <c r="E455" s="32" t="s">
        <v>15</v>
      </c>
      <c r="F455" s="32" t="str">
        <f t="shared" ref="F455:H455" si="249">F454</f>
        <v>M21</v>
      </c>
      <c r="G455" s="61" t="str">
        <f t="shared" si="249"/>
        <v>012</v>
      </c>
      <c r="H455" s="72" t="str">
        <f t="shared" si="249"/>
        <v>C4</v>
      </c>
      <c r="I455" s="72">
        <v>1</v>
      </c>
      <c r="J455" s="37" t="s">
        <v>35</v>
      </c>
      <c r="K455" s="37">
        <v>35</v>
      </c>
      <c r="L455" s="17">
        <v>0.38</v>
      </c>
      <c r="M455" s="19">
        <v>1.97</v>
      </c>
      <c r="N455" s="18">
        <f t="shared" si="214"/>
        <v>1.5899999999999999</v>
      </c>
      <c r="O455" s="20" t="str">
        <f t="shared" si="246"/>
        <v>OK</v>
      </c>
    </row>
    <row r="456" spans="1:15" ht="12" customHeight="1" x14ac:dyDescent="0.25">
      <c r="A456" s="91" t="s">
        <v>16</v>
      </c>
      <c r="B456" s="32">
        <v>3</v>
      </c>
      <c r="C456" s="36">
        <v>1198360</v>
      </c>
      <c r="D456" s="52">
        <v>46126</v>
      </c>
      <c r="E456" s="32" t="s">
        <v>15</v>
      </c>
      <c r="F456" s="32" t="str">
        <f t="shared" ref="F456:H456" si="250">F455</f>
        <v>M21</v>
      </c>
      <c r="G456" s="61" t="str">
        <f t="shared" si="250"/>
        <v>012</v>
      </c>
      <c r="H456" s="72" t="str">
        <f t="shared" si="250"/>
        <v>C4</v>
      </c>
      <c r="I456" s="72">
        <f>I455</f>
        <v>1</v>
      </c>
      <c r="J456" s="37" t="s">
        <v>36</v>
      </c>
      <c r="K456" s="37">
        <v>35</v>
      </c>
      <c r="L456" s="17">
        <v>7.0000000000000007E-2</v>
      </c>
      <c r="M456" s="19">
        <v>4.28</v>
      </c>
      <c r="N456" s="18">
        <f t="shared" si="214"/>
        <v>4.21</v>
      </c>
      <c r="O456" s="20" t="str">
        <f t="shared" si="246"/>
        <v>OK</v>
      </c>
    </row>
    <row r="457" spans="1:15" ht="12" customHeight="1" x14ac:dyDescent="0.25">
      <c r="A457" s="91" t="s">
        <v>16</v>
      </c>
      <c r="B457" s="32">
        <v>3</v>
      </c>
      <c r="C457" s="36">
        <v>1198360</v>
      </c>
      <c r="D457" s="52">
        <v>46126</v>
      </c>
      <c r="E457" s="32" t="s">
        <v>15</v>
      </c>
      <c r="F457" s="32" t="str">
        <f t="shared" ref="F457:H457" si="251">F456</f>
        <v>M21</v>
      </c>
      <c r="G457" s="61" t="str">
        <f t="shared" si="251"/>
        <v>012</v>
      </c>
      <c r="H457" s="72" t="str">
        <f t="shared" si="251"/>
        <v>C4</v>
      </c>
      <c r="I457" s="72">
        <f>I456</f>
        <v>1</v>
      </c>
      <c r="J457" s="37" t="s">
        <v>37</v>
      </c>
      <c r="K457" s="37">
        <v>36</v>
      </c>
      <c r="L457" s="17">
        <v>0.1</v>
      </c>
      <c r="M457" s="19">
        <v>1.87</v>
      </c>
      <c r="N457" s="18">
        <f t="shared" si="214"/>
        <v>1.77</v>
      </c>
      <c r="O457" s="20" t="str">
        <f t="shared" si="246"/>
        <v>OK</v>
      </c>
    </row>
    <row r="458" spans="1:15" ht="12" customHeight="1" x14ac:dyDescent="0.25">
      <c r="A458" s="91" t="s">
        <v>16</v>
      </c>
      <c r="B458" s="32">
        <v>3</v>
      </c>
      <c r="C458" s="36">
        <v>1198360</v>
      </c>
      <c r="D458" s="52">
        <v>46126</v>
      </c>
      <c r="E458" s="32" t="s">
        <v>15</v>
      </c>
      <c r="F458" s="32" t="str">
        <f t="shared" ref="F458:H458" si="252">F457</f>
        <v>M21</v>
      </c>
      <c r="G458" s="61" t="str">
        <f t="shared" si="252"/>
        <v>012</v>
      </c>
      <c r="H458" s="72" t="str">
        <f t="shared" si="252"/>
        <v>C4</v>
      </c>
      <c r="I458" s="72">
        <f>I457</f>
        <v>1</v>
      </c>
      <c r="J458" s="37" t="s">
        <v>38</v>
      </c>
      <c r="K458" s="37">
        <v>36</v>
      </c>
      <c r="L458" s="17">
        <v>0.62</v>
      </c>
      <c r="M458" s="19">
        <v>3.88</v>
      </c>
      <c r="N458" s="18">
        <f t="shared" si="214"/>
        <v>3.26</v>
      </c>
      <c r="O458" s="20" t="str">
        <f t="shared" si="246"/>
        <v>OK</v>
      </c>
    </row>
    <row r="459" spans="1:15" ht="12" customHeight="1" x14ac:dyDescent="0.25">
      <c r="A459" s="91" t="s">
        <v>16</v>
      </c>
      <c r="B459" s="32">
        <v>3</v>
      </c>
      <c r="C459" s="36">
        <v>1198360</v>
      </c>
      <c r="D459" s="52">
        <v>46126</v>
      </c>
      <c r="E459" s="32" t="s">
        <v>15</v>
      </c>
      <c r="F459" s="32" t="str">
        <f t="shared" ref="F459:G459" si="253">F458</f>
        <v>M21</v>
      </c>
      <c r="G459" s="61" t="str">
        <f t="shared" si="253"/>
        <v>012</v>
      </c>
      <c r="H459" s="72" t="s">
        <v>42</v>
      </c>
      <c r="I459" s="72">
        <v>2</v>
      </c>
      <c r="J459" s="37" t="s">
        <v>31</v>
      </c>
      <c r="K459" s="37">
        <v>37</v>
      </c>
      <c r="L459" s="17">
        <v>0.68</v>
      </c>
      <c r="M459" s="19">
        <v>3.53</v>
      </c>
      <c r="N459" s="18">
        <f t="shared" si="214"/>
        <v>2.8499999999999996</v>
      </c>
      <c r="O459" s="20" t="str">
        <f t="shared" si="246"/>
        <v>OK</v>
      </c>
    </row>
    <row r="460" spans="1:15" ht="12" customHeight="1" x14ac:dyDescent="0.25">
      <c r="A460" s="91" t="s">
        <v>16</v>
      </c>
      <c r="B460" s="32">
        <v>3</v>
      </c>
      <c r="C460" s="36">
        <v>1198360</v>
      </c>
      <c r="D460" s="52">
        <v>46126</v>
      </c>
      <c r="E460" s="32" t="s">
        <v>15</v>
      </c>
      <c r="F460" s="32" t="str">
        <f t="shared" ref="F460:I460" si="254">F459</f>
        <v>M21</v>
      </c>
      <c r="G460" s="61" t="str">
        <f t="shared" si="254"/>
        <v>012</v>
      </c>
      <c r="H460" s="72" t="str">
        <f t="shared" si="254"/>
        <v>C3</v>
      </c>
      <c r="I460" s="72">
        <f t="shared" si="254"/>
        <v>2</v>
      </c>
      <c r="J460" s="37" t="s">
        <v>32</v>
      </c>
      <c r="K460" s="37">
        <v>37</v>
      </c>
      <c r="L460" s="17">
        <v>0.48</v>
      </c>
      <c r="M460" s="19">
        <v>3.16</v>
      </c>
      <c r="N460" s="18">
        <f t="shared" si="214"/>
        <v>2.68</v>
      </c>
      <c r="O460" s="20" t="str">
        <f t="shared" si="246"/>
        <v>OK</v>
      </c>
    </row>
    <row r="461" spans="1:15" ht="12" customHeight="1" x14ac:dyDescent="0.25">
      <c r="A461" s="91" t="s">
        <v>16</v>
      </c>
      <c r="B461" s="32">
        <v>3</v>
      </c>
      <c r="C461" s="36">
        <v>1198360</v>
      </c>
      <c r="D461" s="52">
        <v>46126</v>
      </c>
      <c r="E461" s="32" t="s">
        <v>15</v>
      </c>
      <c r="F461" s="32" t="str">
        <f t="shared" ref="F461:I461" si="255">F460</f>
        <v>M21</v>
      </c>
      <c r="G461" s="61" t="str">
        <f t="shared" si="255"/>
        <v>012</v>
      </c>
      <c r="H461" s="72" t="str">
        <f t="shared" si="255"/>
        <v>C3</v>
      </c>
      <c r="I461" s="72">
        <f t="shared" si="255"/>
        <v>2</v>
      </c>
      <c r="J461" s="37" t="s">
        <v>33</v>
      </c>
      <c r="K461" s="37">
        <v>38</v>
      </c>
      <c r="L461" s="17">
        <v>0.38</v>
      </c>
      <c r="M461" s="19">
        <v>1.88</v>
      </c>
      <c r="N461" s="18">
        <f t="shared" si="214"/>
        <v>1.5</v>
      </c>
      <c r="O461" s="20" t="str">
        <f t="shared" si="246"/>
        <v>OK</v>
      </c>
    </row>
    <row r="462" spans="1:15" ht="12" customHeight="1" x14ac:dyDescent="0.25">
      <c r="A462" s="91" t="s">
        <v>16</v>
      </c>
      <c r="B462" s="32">
        <v>3</v>
      </c>
      <c r="C462" s="36">
        <v>1198360</v>
      </c>
      <c r="D462" s="52">
        <v>46126</v>
      </c>
      <c r="E462" s="32" t="s">
        <v>15</v>
      </c>
      <c r="F462" s="32" t="str">
        <f t="shared" ref="F462:I462" si="256">F461</f>
        <v>M21</v>
      </c>
      <c r="G462" s="61" t="str">
        <f t="shared" si="256"/>
        <v>012</v>
      </c>
      <c r="H462" s="72" t="str">
        <f t="shared" si="256"/>
        <v>C3</v>
      </c>
      <c r="I462" s="72">
        <f t="shared" si="256"/>
        <v>2</v>
      </c>
      <c r="J462" s="37" t="s">
        <v>34</v>
      </c>
      <c r="K462" s="37">
        <v>38</v>
      </c>
      <c r="L462" s="17">
        <v>0.17</v>
      </c>
      <c r="M462" s="19">
        <v>3.79</v>
      </c>
      <c r="N462" s="18">
        <f t="shared" si="214"/>
        <v>3.62</v>
      </c>
      <c r="O462" s="20" t="str">
        <f t="shared" si="246"/>
        <v>OK</v>
      </c>
    </row>
    <row r="463" spans="1:15" ht="12" customHeight="1" x14ac:dyDescent="0.25">
      <c r="A463" s="91" t="s">
        <v>16</v>
      </c>
      <c r="B463" s="32">
        <v>3</v>
      </c>
      <c r="C463" s="36">
        <v>1198360</v>
      </c>
      <c r="D463" s="52">
        <v>46126</v>
      </c>
      <c r="E463" s="32" t="s">
        <v>15</v>
      </c>
      <c r="F463" s="32" t="str">
        <f t="shared" ref="F463:G463" si="257">F462</f>
        <v>M21</v>
      </c>
      <c r="G463" s="61" t="str">
        <f t="shared" si="257"/>
        <v>012</v>
      </c>
      <c r="H463" s="72" t="str">
        <f>H462</f>
        <v>C3</v>
      </c>
      <c r="I463" s="72">
        <v>1</v>
      </c>
      <c r="J463" s="37" t="s">
        <v>35</v>
      </c>
      <c r="K463" s="37">
        <v>39</v>
      </c>
      <c r="L463" s="17">
        <v>0.87</v>
      </c>
      <c r="M463" s="19">
        <v>3.68</v>
      </c>
      <c r="N463" s="18">
        <f t="shared" si="214"/>
        <v>2.81</v>
      </c>
      <c r="O463" s="20" t="str">
        <f t="shared" si="246"/>
        <v>OK</v>
      </c>
    </row>
    <row r="464" spans="1:15" ht="12" customHeight="1" x14ac:dyDescent="0.25">
      <c r="A464" s="91" t="s">
        <v>16</v>
      </c>
      <c r="B464" s="32">
        <v>3</v>
      </c>
      <c r="C464" s="36">
        <v>1198360</v>
      </c>
      <c r="D464" s="52">
        <v>46126</v>
      </c>
      <c r="E464" s="32" t="s">
        <v>15</v>
      </c>
      <c r="F464" s="32" t="str">
        <f t="shared" ref="F464:G464" si="258">F463</f>
        <v>M21</v>
      </c>
      <c r="G464" s="61" t="str">
        <f t="shared" si="258"/>
        <v>012</v>
      </c>
      <c r="H464" s="72" t="str">
        <f>H463</f>
        <v>C3</v>
      </c>
      <c r="I464" s="72">
        <f>I463</f>
        <v>1</v>
      </c>
      <c r="J464" s="37" t="s">
        <v>36</v>
      </c>
      <c r="K464" s="37">
        <v>39</v>
      </c>
      <c r="L464" s="17">
        <v>0.46</v>
      </c>
      <c r="M464" s="19">
        <v>3.34</v>
      </c>
      <c r="N464" s="18">
        <f t="shared" si="214"/>
        <v>2.88</v>
      </c>
      <c r="O464" s="20" t="str">
        <f t="shared" si="246"/>
        <v>OK</v>
      </c>
    </row>
    <row r="465" spans="1:15" ht="12" customHeight="1" x14ac:dyDescent="0.25">
      <c r="A465" s="91" t="s">
        <v>16</v>
      </c>
      <c r="B465" s="32">
        <v>3</v>
      </c>
      <c r="C465" s="36">
        <v>1198360</v>
      </c>
      <c r="D465" s="52">
        <v>46126</v>
      </c>
      <c r="E465" s="32" t="s">
        <v>15</v>
      </c>
      <c r="F465" s="32" t="str">
        <f t="shared" ref="F465:G465" si="259">F464</f>
        <v>M21</v>
      </c>
      <c r="G465" s="61" t="str">
        <f t="shared" si="259"/>
        <v>012</v>
      </c>
      <c r="H465" s="72" t="str">
        <f>H464</f>
        <v>C3</v>
      </c>
      <c r="I465" s="72">
        <f>I464</f>
        <v>1</v>
      </c>
      <c r="J465" s="37" t="s">
        <v>37</v>
      </c>
      <c r="K465" s="37">
        <v>40</v>
      </c>
      <c r="L465" s="17">
        <v>0.08</v>
      </c>
      <c r="M465" s="19">
        <v>2.36</v>
      </c>
      <c r="N465" s="18">
        <f t="shared" si="214"/>
        <v>2.2799999999999998</v>
      </c>
      <c r="O465" s="20" t="str">
        <f t="shared" si="246"/>
        <v>OK</v>
      </c>
    </row>
    <row r="466" spans="1:15" ht="12" customHeight="1" x14ac:dyDescent="0.25">
      <c r="A466" s="91" t="s">
        <v>16</v>
      </c>
      <c r="B466" s="32">
        <v>3</v>
      </c>
      <c r="C466" s="36">
        <v>1198360</v>
      </c>
      <c r="D466" s="52">
        <v>46126</v>
      </c>
      <c r="E466" s="32" t="s">
        <v>15</v>
      </c>
      <c r="F466" s="32" t="str">
        <f t="shared" ref="F466:G466" si="260">F465</f>
        <v>M21</v>
      </c>
      <c r="G466" s="61" t="str">
        <f t="shared" si="260"/>
        <v>012</v>
      </c>
      <c r="H466" s="72" t="str">
        <f>H465</f>
        <v>C3</v>
      </c>
      <c r="I466" s="72">
        <f>I465</f>
        <v>1</v>
      </c>
      <c r="J466" s="37" t="s">
        <v>38</v>
      </c>
      <c r="K466" s="37">
        <v>40</v>
      </c>
      <c r="L466" s="17">
        <v>0.15</v>
      </c>
      <c r="M466" s="19">
        <v>3.16</v>
      </c>
      <c r="N466" s="18">
        <f t="shared" si="214"/>
        <v>3.0100000000000002</v>
      </c>
      <c r="O466" s="20" t="str">
        <f t="shared" si="246"/>
        <v>OK</v>
      </c>
    </row>
    <row r="467" spans="1:15" ht="12" customHeight="1" x14ac:dyDescent="0.25">
      <c r="A467" s="91" t="s">
        <v>16</v>
      </c>
      <c r="B467" s="32">
        <v>3</v>
      </c>
      <c r="C467" s="36">
        <v>1198360</v>
      </c>
      <c r="D467" s="52">
        <v>46126</v>
      </c>
      <c r="E467" s="32" t="s">
        <v>15</v>
      </c>
      <c r="F467" s="32" t="s">
        <v>28</v>
      </c>
      <c r="G467" s="61" t="s">
        <v>64</v>
      </c>
      <c r="H467" s="72" t="s">
        <v>39</v>
      </c>
      <c r="I467" s="72">
        <v>2</v>
      </c>
      <c r="J467" s="37" t="s">
        <v>31</v>
      </c>
      <c r="K467" s="37">
        <v>41</v>
      </c>
      <c r="L467" s="17">
        <v>1.22</v>
      </c>
      <c r="M467" s="19">
        <v>2.57</v>
      </c>
      <c r="N467" s="18">
        <f t="shared" si="214"/>
        <v>1.3499999999999999</v>
      </c>
      <c r="O467" s="20" t="str">
        <f t="shared" si="246"/>
        <v>OK</v>
      </c>
    </row>
    <row r="468" spans="1:15" ht="12" customHeight="1" x14ac:dyDescent="0.25">
      <c r="A468" s="91" t="s">
        <v>16</v>
      </c>
      <c r="B468" s="32">
        <v>3</v>
      </c>
      <c r="C468" s="36">
        <v>1198360</v>
      </c>
      <c r="D468" s="52">
        <v>46126</v>
      </c>
      <c r="E468" s="32" t="s">
        <v>15</v>
      </c>
      <c r="F468" s="32" t="str">
        <f t="shared" ref="F468:I468" si="261">F467</f>
        <v>M20</v>
      </c>
      <c r="G468" s="61" t="str">
        <f t="shared" si="261"/>
        <v>011</v>
      </c>
      <c r="H468" s="72" t="str">
        <f t="shared" si="261"/>
        <v>C2</v>
      </c>
      <c r="I468" s="72">
        <f t="shared" si="261"/>
        <v>2</v>
      </c>
      <c r="J468" s="37" t="s">
        <v>32</v>
      </c>
      <c r="K468" s="37">
        <v>41</v>
      </c>
      <c r="L468" s="17">
        <v>0.09</v>
      </c>
      <c r="M468" s="19">
        <v>1.24</v>
      </c>
      <c r="N468" s="18">
        <f t="shared" si="214"/>
        <v>1.1499999999999999</v>
      </c>
      <c r="O468" s="20" t="str">
        <f t="shared" si="246"/>
        <v>OK</v>
      </c>
    </row>
    <row r="469" spans="1:15" ht="12" customHeight="1" x14ac:dyDescent="0.25">
      <c r="A469" s="91" t="s">
        <v>16</v>
      </c>
      <c r="B469" s="32">
        <v>3</v>
      </c>
      <c r="C469" s="36">
        <v>1198360</v>
      </c>
      <c r="D469" s="52">
        <v>46126</v>
      </c>
      <c r="E469" s="32" t="s">
        <v>15</v>
      </c>
      <c r="F469" s="32" t="str">
        <f t="shared" ref="F469:I469" si="262">F468</f>
        <v>M20</v>
      </c>
      <c r="G469" s="61" t="str">
        <f t="shared" si="262"/>
        <v>011</v>
      </c>
      <c r="H469" s="72" t="str">
        <f t="shared" si="262"/>
        <v>C2</v>
      </c>
      <c r="I469" s="72">
        <f t="shared" si="262"/>
        <v>2</v>
      </c>
      <c r="J469" s="37" t="s">
        <v>33</v>
      </c>
      <c r="K469" s="37">
        <v>42</v>
      </c>
      <c r="L469" s="17">
        <v>0.17</v>
      </c>
      <c r="M469" s="19">
        <v>1.77</v>
      </c>
      <c r="N469" s="18">
        <f t="shared" si="214"/>
        <v>1.6</v>
      </c>
      <c r="O469" s="20" t="str">
        <f t="shared" si="246"/>
        <v>OK</v>
      </c>
    </row>
    <row r="470" spans="1:15" ht="12" customHeight="1" x14ac:dyDescent="0.25">
      <c r="A470" s="91" t="s">
        <v>16</v>
      </c>
      <c r="B470" s="32">
        <v>3</v>
      </c>
      <c r="C470" s="36">
        <v>1198360</v>
      </c>
      <c r="D470" s="52">
        <v>46126</v>
      </c>
      <c r="E470" s="32" t="s">
        <v>15</v>
      </c>
      <c r="F470" s="32" t="str">
        <f t="shared" ref="F470:I470" si="263">F469</f>
        <v>M20</v>
      </c>
      <c r="G470" s="61" t="str">
        <f t="shared" si="263"/>
        <v>011</v>
      </c>
      <c r="H470" s="72" t="str">
        <f t="shared" si="263"/>
        <v>C2</v>
      </c>
      <c r="I470" s="72">
        <f t="shared" si="263"/>
        <v>2</v>
      </c>
      <c r="J470" s="37" t="s">
        <v>34</v>
      </c>
      <c r="K470" s="37">
        <v>42</v>
      </c>
      <c r="L470" s="17">
        <v>0.13</v>
      </c>
      <c r="M470" s="19">
        <v>4.6399999999999997</v>
      </c>
      <c r="N470" s="18">
        <f t="shared" si="214"/>
        <v>4.51</v>
      </c>
      <c r="O470" s="20" t="str">
        <f t="shared" si="246"/>
        <v>OK</v>
      </c>
    </row>
    <row r="471" spans="1:15" ht="12" customHeight="1" x14ac:dyDescent="0.25">
      <c r="A471" s="91" t="s">
        <v>16</v>
      </c>
      <c r="B471" s="32">
        <v>3</v>
      </c>
      <c r="C471" s="36">
        <v>1198360</v>
      </c>
      <c r="D471" s="52">
        <v>46126</v>
      </c>
      <c r="E471" s="32" t="s">
        <v>15</v>
      </c>
      <c r="F471" s="32" t="str">
        <f t="shared" ref="F471:H471" si="264">F470</f>
        <v>M20</v>
      </c>
      <c r="G471" s="61" t="str">
        <f t="shared" si="264"/>
        <v>011</v>
      </c>
      <c r="H471" s="72" t="str">
        <f t="shared" si="264"/>
        <v>C2</v>
      </c>
      <c r="I471" s="72">
        <v>1</v>
      </c>
      <c r="J471" s="37" t="s">
        <v>35</v>
      </c>
      <c r="K471" s="37">
        <v>43</v>
      </c>
      <c r="L471" s="17">
        <v>0.52</v>
      </c>
      <c r="M471" s="19">
        <v>4.1100000000000003</v>
      </c>
      <c r="N471" s="18">
        <f t="shared" si="214"/>
        <v>3.5900000000000003</v>
      </c>
      <c r="O471" s="20" t="str">
        <f t="shared" si="246"/>
        <v>OK</v>
      </c>
    </row>
    <row r="472" spans="1:15" ht="12" customHeight="1" x14ac:dyDescent="0.25">
      <c r="A472" s="91" t="s">
        <v>16</v>
      </c>
      <c r="B472" s="32">
        <v>3</v>
      </c>
      <c r="C472" s="36">
        <v>1198360</v>
      </c>
      <c r="D472" s="52">
        <v>46126</v>
      </c>
      <c r="E472" s="32" t="s">
        <v>15</v>
      </c>
      <c r="F472" s="32" t="str">
        <f t="shared" ref="F472:H472" si="265">F471</f>
        <v>M20</v>
      </c>
      <c r="G472" s="61" t="str">
        <f t="shared" si="265"/>
        <v>011</v>
      </c>
      <c r="H472" s="72" t="str">
        <f t="shared" si="265"/>
        <v>C2</v>
      </c>
      <c r="I472" s="72">
        <f>I471</f>
        <v>1</v>
      </c>
      <c r="J472" s="37" t="s">
        <v>36</v>
      </c>
      <c r="K472" s="37">
        <v>43</v>
      </c>
      <c r="L472" s="17">
        <v>0.36</v>
      </c>
      <c r="M472" s="19">
        <v>2.0299999999999998</v>
      </c>
      <c r="N472" s="18">
        <f t="shared" si="214"/>
        <v>1.67</v>
      </c>
      <c r="O472" s="20" t="str">
        <f t="shared" si="246"/>
        <v>OK</v>
      </c>
    </row>
    <row r="473" spans="1:15" ht="12" customHeight="1" x14ac:dyDescent="0.25">
      <c r="A473" s="91" t="s">
        <v>16</v>
      </c>
      <c r="B473" s="32">
        <v>3</v>
      </c>
      <c r="C473" s="36">
        <v>1198360</v>
      </c>
      <c r="D473" s="52">
        <v>46126</v>
      </c>
      <c r="E473" s="32" t="s">
        <v>15</v>
      </c>
      <c r="F473" s="32" t="str">
        <f t="shared" ref="F473:H473" si="266">F472</f>
        <v>M20</v>
      </c>
      <c r="G473" s="61" t="str">
        <f t="shared" si="266"/>
        <v>011</v>
      </c>
      <c r="H473" s="72" t="str">
        <f t="shared" si="266"/>
        <v>C2</v>
      </c>
      <c r="I473" s="72">
        <f>I472</f>
        <v>1</v>
      </c>
      <c r="J473" s="37" t="s">
        <v>37</v>
      </c>
      <c r="K473" s="37">
        <v>44</v>
      </c>
      <c r="L473" s="17">
        <v>0.31</v>
      </c>
      <c r="M473" s="19">
        <v>2.15</v>
      </c>
      <c r="N473" s="18">
        <f t="shared" si="214"/>
        <v>1.8399999999999999</v>
      </c>
      <c r="O473" s="20" t="str">
        <f t="shared" si="246"/>
        <v>OK</v>
      </c>
    </row>
    <row r="474" spans="1:15" ht="12" customHeight="1" x14ac:dyDescent="0.25">
      <c r="A474" s="91" t="s">
        <v>16</v>
      </c>
      <c r="B474" s="32">
        <v>3</v>
      </c>
      <c r="C474" s="36">
        <v>1198360</v>
      </c>
      <c r="D474" s="52">
        <v>46126</v>
      </c>
      <c r="E474" s="32" t="s">
        <v>15</v>
      </c>
      <c r="F474" s="32" t="str">
        <f t="shared" ref="F474:H474" si="267">F473</f>
        <v>M20</v>
      </c>
      <c r="G474" s="61" t="str">
        <f t="shared" si="267"/>
        <v>011</v>
      </c>
      <c r="H474" s="72" t="str">
        <f t="shared" si="267"/>
        <v>C2</v>
      </c>
      <c r="I474" s="72">
        <f>I473</f>
        <v>1</v>
      </c>
      <c r="J474" s="37" t="s">
        <v>38</v>
      </c>
      <c r="K474" s="37">
        <v>44</v>
      </c>
      <c r="L474" s="17">
        <v>0.42</v>
      </c>
      <c r="M474" s="19">
        <v>2.1</v>
      </c>
      <c r="N474" s="18">
        <f t="shared" si="214"/>
        <v>1.6800000000000002</v>
      </c>
      <c r="O474" s="20" t="str">
        <f t="shared" si="246"/>
        <v>OK</v>
      </c>
    </row>
    <row r="475" spans="1:15" ht="12" customHeight="1" x14ac:dyDescent="0.25">
      <c r="A475" s="91" t="s">
        <v>16</v>
      </c>
      <c r="B475" s="32">
        <v>3</v>
      </c>
      <c r="C475" s="36">
        <v>1198360</v>
      </c>
      <c r="D475" s="52">
        <v>46126</v>
      </c>
      <c r="E475" s="32" t="s">
        <v>15</v>
      </c>
      <c r="F475" s="32" t="str">
        <f t="shared" ref="F475:G475" si="268">F474</f>
        <v>M20</v>
      </c>
      <c r="G475" s="61" t="str">
        <f t="shared" si="268"/>
        <v>011</v>
      </c>
      <c r="H475" s="72" t="s">
        <v>30</v>
      </c>
      <c r="I475" s="72">
        <v>2</v>
      </c>
      <c r="J475" s="37" t="s">
        <v>31</v>
      </c>
      <c r="K475" s="37">
        <v>45</v>
      </c>
      <c r="L475" s="17">
        <v>0.41</v>
      </c>
      <c r="M475" s="19">
        <v>4.43</v>
      </c>
      <c r="N475" s="18">
        <f t="shared" si="214"/>
        <v>4.0199999999999996</v>
      </c>
      <c r="O475" s="20" t="str">
        <f t="shared" si="246"/>
        <v>OK</v>
      </c>
    </row>
    <row r="476" spans="1:15" ht="12" customHeight="1" x14ac:dyDescent="0.25">
      <c r="A476" s="91" t="s">
        <v>16</v>
      </c>
      <c r="B476" s="32">
        <v>3</v>
      </c>
      <c r="C476" s="36">
        <v>1198360</v>
      </c>
      <c r="D476" s="52">
        <v>46126</v>
      </c>
      <c r="E476" s="32" t="s">
        <v>15</v>
      </c>
      <c r="F476" s="32" t="str">
        <f t="shared" ref="F476:I476" si="269">F475</f>
        <v>M20</v>
      </c>
      <c r="G476" s="61" t="str">
        <f t="shared" si="269"/>
        <v>011</v>
      </c>
      <c r="H476" s="72" t="str">
        <f t="shared" si="269"/>
        <v>C1</v>
      </c>
      <c r="I476" s="72">
        <f t="shared" si="269"/>
        <v>2</v>
      </c>
      <c r="J476" s="37" t="s">
        <v>32</v>
      </c>
      <c r="K476" s="37">
        <v>45</v>
      </c>
      <c r="L476" s="17">
        <v>0.14000000000000001</v>
      </c>
      <c r="M476" s="19">
        <v>5.14</v>
      </c>
      <c r="N476" s="18">
        <f t="shared" si="214"/>
        <v>5</v>
      </c>
      <c r="O476" s="20" t="str">
        <f t="shared" si="246"/>
        <v>OK</v>
      </c>
    </row>
    <row r="477" spans="1:15" ht="12" customHeight="1" x14ac:dyDescent="0.25">
      <c r="A477" s="91" t="s">
        <v>16</v>
      </c>
      <c r="B477" s="32">
        <v>3</v>
      </c>
      <c r="C477" s="36">
        <v>1198360</v>
      </c>
      <c r="D477" s="52">
        <v>46126</v>
      </c>
      <c r="E477" s="32" t="s">
        <v>15</v>
      </c>
      <c r="F477" s="32" t="str">
        <f t="shared" ref="F477:I477" si="270">F476</f>
        <v>M20</v>
      </c>
      <c r="G477" s="61" t="str">
        <f t="shared" si="270"/>
        <v>011</v>
      </c>
      <c r="H477" s="72" t="str">
        <f t="shared" si="270"/>
        <v>C1</v>
      </c>
      <c r="I477" s="72">
        <f t="shared" si="270"/>
        <v>2</v>
      </c>
      <c r="J477" s="37" t="s">
        <v>33</v>
      </c>
      <c r="K477" s="37">
        <v>46</v>
      </c>
      <c r="L477" s="17">
        <v>0.74</v>
      </c>
      <c r="M477" s="19">
        <v>3.48</v>
      </c>
      <c r="N477" s="18">
        <f t="shared" si="214"/>
        <v>2.74</v>
      </c>
      <c r="O477" s="20" t="str">
        <f t="shared" si="246"/>
        <v>OK</v>
      </c>
    </row>
    <row r="478" spans="1:15" ht="12" customHeight="1" x14ac:dyDescent="0.25">
      <c r="A478" s="91" t="s">
        <v>16</v>
      </c>
      <c r="B478" s="32">
        <v>3</v>
      </c>
      <c r="C478" s="36">
        <v>1198360</v>
      </c>
      <c r="D478" s="52">
        <v>46126</v>
      </c>
      <c r="E478" s="32" t="s">
        <v>15</v>
      </c>
      <c r="F478" s="32" t="str">
        <f t="shared" ref="F478:I478" si="271">F477</f>
        <v>M20</v>
      </c>
      <c r="G478" s="61" t="str">
        <f t="shared" si="271"/>
        <v>011</v>
      </c>
      <c r="H478" s="72" t="str">
        <f t="shared" si="271"/>
        <v>C1</v>
      </c>
      <c r="I478" s="72">
        <f t="shared" si="271"/>
        <v>2</v>
      </c>
      <c r="J478" s="37" t="s">
        <v>34</v>
      </c>
      <c r="K478" s="37">
        <v>46</v>
      </c>
      <c r="L478" s="17">
        <v>1.2</v>
      </c>
      <c r="M478" s="19">
        <v>2.58</v>
      </c>
      <c r="N478" s="18">
        <f t="shared" si="214"/>
        <v>1.3800000000000001</v>
      </c>
      <c r="O478" s="20" t="str">
        <f t="shared" si="246"/>
        <v>OK</v>
      </c>
    </row>
    <row r="479" spans="1:15" ht="12" customHeight="1" x14ac:dyDescent="0.25">
      <c r="A479" s="91" t="s">
        <v>16</v>
      </c>
      <c r="B479" s="32">
        <v>3</v>
      </c>
      <c r="C479" s="36">
        <v>1198360</v>
      </c>
      <c r="D479" s="52">
        <v>46126</v>
      </c>
      <c r="E479" s="32" t="s">
        <v>15</v>
      </c>
      <c r="F479" s="32" t="str">
        <f t="shared" ref="F479:G479" si="272">F478</f>
        <v>M20</v>
      </c>
      <c r="G479" s="61" t="str">
        <f t="shared" si="272"/>
        <v>011</v>
      </c>
      <c r="H479" s="72" t="str">
        <f>H478</f>
        <v>C1</v>
      </c>
      <c r="I479" s="72">
        <v>1</v>
      </c>
      <c r="J479" s="37" t="s">
        <v>35</v>
      </c>
      <c r="K479" s="37">
        <v>47</v>
      </c>
      <c r="L479" s="17">
        <v>0.09</v>
      </c>
      <c r="M479" s="19">
        <v>4.82</v>
      </c>
      <c r="N479" s="18">
        <f t="shared" si="214"/>
        <v>4.7300000000000004</v>
      </c>
      <c r="O479" s="20" t="str">
        <f t="shared" si="246"/>
        <v>OK</v>
      </c>
    </row>
    <row r="480" spans="1:15" ht="12" customHeight="1" x14ac:dyDescent="0.25">
      <c r="A480" s="91" t="s">
        <v>16</v>
      </c>
      <c r="B480" s="32">
        <v>3</v>
      </c>
      <c r="C480" s="36">
        <v>1198360</v>
      </c>
      <c r="D480" s="52">
        <v>46126</v>
      </c>
      <c r="E480" s="32" t="s">
        <v>15</v>
      </c>
      <c r="F480" s="32" t="str">
        <f t="shared" ref="F480:G480" si="273">F479</f>
        <v>M20</v>
      </c>
      <c r="G480" s="61" t="str">
        <f t="shared" si="273"/>
        <v>011</v>
      </c>
      <c r="H480" s="72" t="str">
        <f>H479</f>
        <v>C1</v>
      </c>
      <c r="I480" s="72">
        <f>I479</f>
        <v>1</v>
      </c>
      <c r="J480" s="37" t="s">
        <v>36</v>
      </c>
      <c r="K480" s="37">
        <v>47</v>
      </c>
      <c r="L480" s="17">
        <v>0.04</v>
      </c>
      <c r="M480" s="19">
        <v>2.84</v>
      </c>
      <c r="N480" s="18">
        <f t="shared" si="214"/>
        <v>2.8</v>
      </c>
      <c r="O480" s="20" t="str">
        <f t="shared" si="246"/>
        <v>OK</v>
      </c>
    </row>
    <row r="481" spans="1:15" ht="12" customHeight="1" x14ac:dyDescent="0.25">
      <c r="A481" s="91" t="s">
        <v>16</v>
      </c>
      <c r="B481" s="32">
        <v>3</v>
      </c>
      <c r="C481" s="36">
        <v>1198360</v>
      </c>
      <c r="D481" s="52">
        <v>46126</v>
      </c>
      <c r="E481" s="32" t="s">
        <v>15</v>
      </c>
      <c r="F481" s="32" t="str">
        <f t="shared" ref="F481:G481" si="274">F480</f>
        <v>M20</v>
      </c>
      <c r="G481" s="61" t="str">
        <f t="shared" si="274"/>
        <v>011</v>
      </c>
      <c r="H481" s="72" t="str">
        <f>H480</f>
        <v>C1</v>
      </c>
      <c r="I481" s="72">
        <f>I480</f>
        <v>1</v>
      </c>
      <c r="J481" s="37" t="s">
        <v>37</v>
      </c>
      <c r="K481" s="37">
        <v>48</v>
      </c>
      <c r="L481" s="17">
        <v>0.19</v>
      </c>
      <c r="M481" s="19">
        <v>3.67</v>
      </c>
      <c r="N481" s="18">
        <f t="shared" si="214"/>
        <v>3.48</v>
      </c>
      <c r="O481" s="20" t="str">
        <f t="shared" si="246"/>
        <v>OK</v>
      </c>
    </row>
    <row r="482" spans="1:15" ht="12" customHeight="1" x14ac:dyDescent="0.25">
      <c r="A482" s="111" t="s">
        <v>16</v>
      </c>
      <c r="B482" s="43">
        <v>3</v>
      </c>
      <c r="C482" s="36">
        <v>1198360</v>
      </c>
      <c r="D482" s="52">
        <v>46126</v>
      </c>
      <c r="E482" s="43" t="s">
        <v>15</v>
      </c>
      <c r="F482" s="43" t="str">
        <f t="shared" ref="F482:G482" si="275">F481</f>
        <v>M20</v>
      </c>
      <c r="G482" s="112" t="str">
        <f t="shared" si="275"/>
        <v>011</v>
      </c>
      <c r="H482" s="113" t="str">
        <f>H481</f>
        <v>C1</v>
      </c>
      <c r="I482" s="113">
        <f>I481</f>
        <v>1</v>
      </c>
      <c r="J482" s="46" t="s">
        <v>38</v>
      </c>
      <c r="K482" s="46">
        <v>48</v>
      </c>
      <c r="L482" s="23">
        <v>0.66</v>
      </c>
      <c r="M482" s="24">
        <v>3.18</v>
      </c>
      <c r="N482" s="47">
        <f t="shared" si="214"/>
        <v>2.52</v>
      </c>
      <c r="O482" s="20" t="str">
        <f t="shared" si="246"/>
        <v>OK</v>
      </c>
    </row>
    <row r="483" spans="1:15" ht="12" customHeight="1" x14ac:dyDescent="0.25">
      <c r="A483" s="91" t="s">
        <v>16</v>
      </c>
      <c r="B483" s="32">
        <v>3</v>
      </c>
      <c r="C483" s="36">
        <v>1203939</v>
      </c>
      <c r="D483" s="52">
        <v>46132</v>
      </c>
      <c r="E483" s="32" t="s">
        <v>15</v>
      </c>
      <c r="F483" s="32" t="s">
        <v>28</v>
      </c>
      <c r="G483" s="61" t="s">
        <v>64</v>
      </c>
      <c r="H483" s="72" t="s">
        <v>30</v>
      </c>
      <c r="I483" s="72">
        <v>1</v>
      </c>
      <c r="J483" s="37" t="s">
        <v>31</v>
      </c>
      <c r="K483" s="37">
        <v>1</v>
      </c>
      <c r="L483" s="17">
        <v>0.38</v>
      </c>
      <c r="M483" s="19">
        <v>1.61</v>
      </c>
      <c r="N483" s="18">
        <f t="shared" ref="N483:N546" si="276">+M483-L483</f>
        <v>1.23</v>
      </c>
      <c r="O483" s="20" t="str">
        <f t="shared" si="246"/>
        <v>OK</v>
      </c>
    </row>
    <row r="484" spans="1:15" ht="12" customHeight="1" x14ac:dyDescent="0.25">
      <c r="A484" s="91" t="s">
        <v>16</v>
      </c>
      <c r="B484" s="32">
        <v>3</v>
      </c>
      <c r="C484" s="36">
        <v>1203939</v>
      </c>
      <c r="D484" s="52">
        <v>46132</v>
      </c>
      <c r="E484" s="32" t="s">
        <v>15</v>
      </c>
      <c r="F484" s="32" t="str">
        <f t="shared" ref="F484:I484" si="277">F483</f>
        <v>M20</v>
      </c>
      <c r="G484" s="61" t="str">
        <f t="shared" si="277"/>
        <v>011</v>
      </c>
      <c r="H484" s="72" t="str">
        <f t="shared" si="277"/>
        <v>C1</v>
      </c>
      <c r="I484" s="72">
        <f t="shared" si="277"/>
        <v>1</v>
      </c>
      <c r="J484" s="37" t="s">
        <v>32</v>
      </c>
      <c r="K484" s="37">
        <v>1</v>
      </c>
      <c r="L484" s="17">
        <v>0.89</v>
      </c>
      <c r="M484" s="19">
        <v>3.92</v>
      </c>
      <c r="N484" s="18">
        <f t="shared" si="276"/>
        <v>3.03</v>
      </c>
      <c r="O484" s="20" t="str">
        <f t="shared" si="246"/>
        <v>OK</v>
      </c>
    </row>
    <row r="485" spans="1:15" ht="12" customHeight="1" x14ac:dyDescent="0.25">
      <c r="A485" s="91" t="s">
        <v>16</v>
      </c>
      <c r="B485" s="32">
        <v>3</v>
      </c>
      <c r="C485" s="36">
        <v>1203939</v>
      </c>
      <c r="D485" s="52">
        <v>46132</v>
      </c>
      <c r="E485" s="32" t="s">
        <v>15</v>
      </c>
      <c r="F485" s="32" t="str">
        <f t="shared" ref="F485:I485" si="278">F484</f>
        <v>M20</v>
      </c>
      <c r="G485" s="61" t="str">
        <f t="shared" si="278"/>
        <v>011</v>
      </c>
      <c r="H485" s="72" t="str">
        <f t="shared" si="278"/>
        <v>C1</v>
      </c>
      <c r="I485" s="72">
        <f t="shared" si="278"/>
        <v>1</v>
      </c>
      <c r="J485" s="37" t="s">
        <v>33</v>
      </c>
      <c r="K485" s="37">
        <v>2</v>
      </c>
      <c r="L485" s="17">
        <v>1.24</v>
      </c>
      <c r="M485" s="19">
        <v>1.82</v>
      </c>
      <c r="N485" s="18">
        <f t="shared" si="276"/>
        <v>0.58000000000000007</v>
      </c>
      <c r="O485" s="20" t="str">
        <f t="shared" si="246"/>
        <v>Seguimiento</v>
      </c>
    </row>
    <row r="486" spans="1:15" ht="12" customHeight="1" x14ac:dyDescent="0.25">
      <c r="A486" s="91" t="s">
        <v>16</v>
      </c>
      <c r="B486" s="32">
        <v>3</v>
      </c>
      <c r="C486" s="36">
        <v>1203939</v>
      </c>
      <c r="D486" s="52">
        <v>46132</v>
      </c>
      <c r="E486" s="32" t="s">
        <v>15</v>
      </c>
      <c r="F486" s="32" t="str">
        <f t="shared" ref="F486:I486" si="279">F485</f>
        <v>M20</v>
      </c>
      <c r="G486" s="61" t="str">
        <f t="shared" si="279"/>
        <v>011</v>
      </c>
      <c r="H486" s="72" t="str">
        <f t="shared" si="279"/>
        <v>C1</v>
      </c>
      <c r="I486" s="72">
        <f t="shared" si="279"/>
        <v>1</v>
      </c>
      <c r="J486" s="37" t="s">
        <v>34</v>
      </c>
      <c r="K486" s="37">
        <v>2</v>
      </c>
      <c r="L486" s="17">
        <v>0.74</v>
      </c>
      <c r="M486" s="19">
        <v>2.92</v>
      </c>
      <c r="N486" s="18">
        <f t="shared" si="276"/>
        <v>2.1799999999999997</v>
      </c>
      <c r="O486" s="20" t="str">
        <f t="shared" si="246"/>
        <v>OK</v>
      </c>
    </row>
    <row r="487" spans="1:15" ht="12" customHeight="1" x14ac:dyDescent="0.25">
      <c r="A487" s="91" t="s">
        <v>16</v>
      </c>
      <c r="B487" s="32">
        <v>3</v>
      </c>
      <c r="C487" s="36">
        <v>1203939</v>
      </c>
      <c r="D487" s="52">
        <v>46132</v>
      </c>
      <c r="E487" s="32" t="s">
        <v>15</v>
      </c>
      <c r="F487" s="32" t="str">
        <f t="shared" ref="F487:H487" si="280">F486</f>
        <v>M20</v>
      </c>
      <c r="G487" s="61" t="str">
        <f t="shared" si="280"/>
        <v>011</v>
      </c>
      <c r="H487" s="72" t="str">
        <f t="shared" si="280"/>
        <v>C1</v>
      </c>
      <c r="I487" s="72">
        <v>2</v>
      </c>
      <c r="J487" s="37" t="s">
        <v>35</v>
      </c>
      <c r="K487" s="37">
        <v>3</v>
      </c>
      <c r="L487" s="17">
        <v>0.56000000000000005</v>
      </c>
      <c r="M487" s="19">
        <v>1.48</v>
      </c>
      <c r="N487" s="18">
        <f t="shared" si="276"/>
        <v>0.91999999999999993</v>
      </c>
      <c r="O487" s="20" t="str">
        <f t="shared" si="246"/>
        <v>Seguimiento</v>
      </c>
    </row>
    <row r="488" spans="1:15" ht="12" customHeight="1" x14ac:dyDescent="0.25">
      <c r="A488" s="91" t="s">
        <v>16</v>
      </c>
      <c r="B488" s="32">
        <v>3</v>
      </c>
      <c r="C488" s="36">
        <v>1203939</v>
      </c>
      <c r="D488" s="52">
        <v>46132</v>
      </c>
      <c r="E488" s="32" t="s">
        <v>15</v>
      </c>
      <c r="F488" s="32" t="str">
        <f t="shared" ref="F488:H488" si="281">F487</f>
        <v>M20</v>
      </c>
      <c r="G488" s="61" t="str">
        <f t="shared" si="281"/>
        <v>011</v>
      </c>
      <c r="H488" s="72" t="str">
        <f t="shared" si="281"/>
        <v>C1</v>
      </c>
      <c r="I488" s="72">
        <f>I487</f>
        <v>2</v>
      </c>
      <c r="J488" s="37" t="s">
        <v>36</v>
      </c>
      <c r="K488" s="37">
        <v>3</v>
      </c>
      <c r="L488" s="17">
        <v>0.51</v>
      </c>
      <c r="M488" s="19">
        <v>2.2000000000000002</v>
      </c>
      <c r="N488" s="18">
        <f t="shared" si="276"/>
        <v>1.6900000000000002</v>
      </c>
      <c r="O488" s="20" t="str">
        <f t="shared" si="246"/>
        <v>OK</v>
      </c>
    </row>
    <row r="489" spans="1:15" ht="12" customHeight="1" x14ac:dyDescent="0.25">
      <c r="A489" s="91" t="s">
        <v>16</v>
      </c>
      <c r="B489" s="32">
        <v>3</v>
      </c>
      <c r="C489" s="36">
        <v>1203939</v>
      </c>
      <c r="D489" s="52">
        <v>46132</v>
      </c>
      <c r="E489" s="32" t="s">
        <v>15</v>
      </c>
      <c r="F489" s="32" t="str">
        <f t="shared" ref="F489:H489" si="282">F488</f>
        <v>M20</v>
      </c>
      <c r="G489" s="61" t="str">
        <f t="shared" si="282"/>
        <v>011</v>
      </c>
      <c r="H489" s="72" t="str">
        <f t="shared" si="282"/>
        <v>C1</v>
      </c>
      <c r="I489" s="72">
        <f>I488</f>
        <v>2</v>
      </c>
      <c r="J489" s="37" t="s">
        <v>37</v>
      </c>
      <c r="K489" s="37">
        <v>4</v>
      </c>
      <c r="L489" s="17">
        <v>1.68</v>
      </c>
      <c r="M489" s="19">
        <v>2.78</v>
      </c>
      <c r="N489" s="18">
        <f t="shared" si="276"/>
        <v>1.0999999999999999</v>
      </c>
      <c r="O489" s="20" t="str">
        <f t="shared" si="246"/>
        <v>OK</v>
      </c>
    </row>
    <row r="490" spans="1:15" ht="12" customHeight="1" x14ac:dyDescent="0.25">
      <c r="A490" s="91" t="s">
        <v>16</v>
      </c>
      <c r="B490" s="32">
        <v>3</v>
      </c>
      <c r="C490" s="36">
        <v>1203939</v>
      </c>
      <c r="D490" s="52">
        <v>46132</v>
      </c>
      <c r="E490" s="32" t="s">
        <v>15</v>
      </c>
      <c r="F490" s="32" t="str">
        <f t="shared" ref="F490:H490" si="283">F489</f>
        <v>M20</v>
      </c>
      <c r="G490" s="61" t="str">
        <f t="shared" si="283"/>
        <v>011</v>
      </c>
      <c r="H490" s="72" t="str">
        <f t="shared" si="283"/>
        <v>C1</v>
      </c>
      <c r="I490" s="72">
        <f>I489</f>
        <v>2</v>
      </c>
      <c r="J490" s="37" t="s">
        <v>38</v>
      </c>
      <c r="K490" s="37">
        <v>4</v>
      </c>
      <c r="L490" s="17">
        <v>0.16</v>
      </c>
      <c r="M490" s="19">
        <v>5.01</v>
      </c>
      <c r="N490" s="18">
        <f t="shared" si="276"/>
        <v>4.8499999999999996</v>
      </c>
      <c r="O490" s="20" t="str">
        <f t="shared" si="246"/>
        <v>OK</v>
      </c>
    </row>
    <row r="491" spans="1:15" ht="12" customHeight="1" x14ac:dyDescent="0.25">
      <c r="A491" s="91" t="s">
        <v>16</v>
      </c>
      <c r="B491" s="32">
        <v>3</v>
      </c>
      <c r="C491" s="36">
        <v>1203939</v>
      </c>
      <c r="D491" s="52">
        <v>46132</v>
      </c>
      <c r="E491" s="32" t="s">
        <v>15</v>
      </c>
      <c r="F491" s="32" t="str">
        <f t="shared" ref="F491:G491" si="284">F490</f>
        <v>M20</v>
      </c>
      <c r="G491" s="61" t="str">
        <f t="shared" si="284"/>
        <v>011</v>
      </c>
      <c r="H491" s="72" t="s">
        <v>39</v>
      </c>
      <c r="I491" s="72">
        <v>1</v>
      </c>
      <c r="J491" s="37" t="s">
        <v>31</v>
      </c>
      <c r="K491" s="37">
        <v>5</v>
      </c>
      <c r="L491" s="17">
        <v>0.6</v>
      </c>
      <c r="M491" s="19">
        <v>2.89</v>
      </c>
      <c r="N491" s="18">
        <f t="shared" si="276"/>
        <v>2.29</v>
      </c>
      <c r="O491" s="20" t="str">
        <f t="shared" si="246"/>
        <v>OK</v>
      </c>
    </row>
    <row r="492" spans="1:15" ht="12" customHeight="1" x14ac:dyDescent="0.25">
      <c r="A492" s="91" t="s">
        <v>16</v>
      </c>
      <c r="B492" s="32">
        <v>3</v>
      </c>
      <c r="C492" s="36">
        <v>1203939</v>
      </c>
      <c r="D492" s="52">
        <v>46132</v>
      </c>
      <c r="E492" s="32" t="s">
        <v>15</v>
      </c>
      <c r="F492" s="32" t="str">
        <f t="shared" ref="F492:I492" si="285">F491</f>
        <v>M20</v>
      </c>
      <c r="G492" s="61" t="str">
        <f t="shared" si="285"/>
        <v>011</v>
      </c>
      <c r="H492" s="72" t="str">
        <f t="shared" si="285"/>
        <v>C2</v>
      </c>
      <c r="I492" s="72">
        <f t="shared" si="285"/>
        <v>1</v>
      </c>
      <c r="J492" s="37" t="s">
        <v>32</v>
      </c>
      <c r="K492" s="37">
        <v>5</v>
      </c>
      <c r="L492" s="17">
        <v>0.82</v>
      </c>
      <c r="M492" s="19">
        <v>3.17</v>
      </c>
      <c r="N492" s="18">
        <f t="shared" si="276"/>
        <v>2.35</v>
      </c>
      <c r="O492" s="20" t="str">
        <f t="shared" si="246"/>
        <v>OK</v>
      </c>
    </row>
    <row r="493" spans="1:15" ht="12" customHeight="1" x14ac:dyDescent="0.25">
      <c r="A493" s="91" t="s">
        <v>16</v>
      </c>
      <c r="B493" s="32">
        <v>3</v>
      </c>
      <c r="C493" s="36">
        <v>1203939</v>
      </c>
      <c r="D493" s="52">
        <v>46132</v>
      </c>
      <c r="E493" s="32" t="s">
        <v>15</v>
      </c>
      <c r="F493" s="32" t="str">
        <f t="shared" ref="F493:I493" si="286">F492</f>
        <v>M20</v>
      </c>
      <c r="G493" s="61" t="str">
        <f t="shared" si="286"/>
        <v>011</v>
      </c>
      <c r="H493" s="72" t="str">
        <f t="shared" si="286"/>
        <v>C2</v>
      </c>
      <c r="I493" s="72">
        <f t="shared" si="286"/>
        <v>1</v>
      </c>
      <c r="J493" s="37" t="s">
        <v>33</v>
      </c>
      <c r="K493" s="37">
        <v>6</v>
      </c>
      <c r="L493" s="17">
        <v>1.1399999999999999</v>
      </c>
      <c r="M493" s="19">
        <v>3.93</v>
      </c>
      <c r="N493" s="18">
        <f t="shared" si="276"/>
        <v>2.79</v>
      </c>
      <c r="O493" s="20" t="str">
        <f t="shared" si="246"/>
        <v>OK</v>
      </c>
    </row>
    <row r="494" spans="1:15" ht="12" customHeight="1" x14ac:dyDescent="0.25">
      <c r="A494" s="91" t="s">
        <v>16</v>
      </c>
      <c r="B494" s="32">
        <v>3</v>
      </c>
      <c r="C494" s="36">
        <v>1203939</v>
      </c>
      <c r="D494" s="52">
        <v>46132</v>
      </c>
      <c r="E494" s="32" t="s">
        <v>15</v>
      </c>
      <c r="F494" s="32" t="str">
        <f t="shared" ref="F494:I494" si="287">F493</f>
        <v>M20</v>
      </c>
      <c r="G494" s="61" t="str">
        <f t="shared" si="287"/>
        <v>011</v>
      </c>
      <c r="H494" s="72" t="str">
        <f t="shared" si="287"/>
        <v>C2</v>
      </c>
      <c r="I494" s="72">
        <f t="shared" si="287"/>
        <v>1</v>
      </c>
      <c r="J494" s="37" t="s">
        <v>34</v>
      </c>
      <c r="K494" s="37">
        <v>6</v>
      </c>
      <c r="L494" s="17">
        <v>0.41</v>
      </c>
      <c r="M494" s="19">
        <v>4.9800000000000004</v>
      </c>
      <c r="N494" s="18">
        <f t="shared" si="276"/>
        <v>4.57</v>
      </c>
      <c r="O494" s="20" t="str">
        <f t="shared" si="246"/>
        <v>OK</v>
      </c>
    </row>
    <row r="495" spans="1:15" ht="12" customHeight="1" x14ac:dyDescent="0.25">
      <c r="A495" s="91" t="s">
        <v>16</v>
      </c>
      <c r="B495" s="32">
        <v>3</v>
      </c>
      <c r="C495" s="36">
        <v>1203939</v>
      </c>
      <c r="D495" s="52">
        <v>46132</v>
      </c>
      <c r="E495" s="32" t="s">
        <v>15</v>
      </c>
      <c r="F495" s="32" t="str">
        <f t="shared" ref="F495:G495" si="288">F494</f>
        <v>M20</v>
      </c>
      <c r="G495" s="61" t="str">
        <f t="shared" si="288"/>
        <v>011</v>
      </c>
      <c r="H495" s="72" t="str">
        <f>H494</f>
        <v>C2</v>
      </c>
      <c r="I495" s="72">
        <v>2</v>
      </c>
      <c r="J495" s="37" t="s">
        <v>35</v>
      </c>
      <c r="K495" s="37">
        <v>7</v>
      </c>
      <c r="L495" s="17">
        <v>0.64</v>
      </c>
      <c r="M495" s="19">
        <v>3.23</v>
      </c>
      <c r="N495" s="18">
        <f t="shared" si="276"/>
        <v>2.59</v>
      </c>
      <c r="O495" s="20" t="str">
        <f t="shared" si="246"/>
        <v>OK</v>
      </c>
    </row>
    <row r="496" spans="1:15" ht="12" customHeight="1" x14ac:dyDescent="0.25">
      <c r="A496" s="91" t="s">
        <v>16</v>
      </c>
      <c r="B496" s="32">
        <v>3</v>
      </c>
      <c r="C496" s="36">
        <v>1203939</v>
      </c>
      <c r="D496" s="52">
        <v>46132</v>
      </c>
      <c r="E496" s="32" t="s">
        <v>15</v>
      </c>
      <c r="F496" s="32" t="str">
        <f t="shared" ref="F496:G496" si="289">F495</f>
        <v>M20</v>
      </c>
      <c r="G496" s="61" t="str">
        <f t="shared" si="289"/>
        <v>011</v>
      </c>
      <c r="H496" s="72" t="str">
        <f>H495</f>
        <v>C2</v>
      </c>
      <c r="I496" s="72">
        <f>I495</f>
        <v>2</v>
      </c>
      <c r="J496" s="37" t="s">
        <v>36</v>
      </c>
      <c r="K496" s="37">
        <v>7</v>
      </c>
      <c r="L496" s="17">
        <v>0.9</v>
      </c>
      <c r="M496" s="19">
        <v>1.97</v>
      </c>
      <c r="N496" s="18">
        <f t="shared" si="276"/>
        <v>1.0699999999999998</v>
      </c>
      <c r="O496" s="20" t="str">
        <f t="shared" si="246"/>
        <v>OK</v>
      </c>
    </row>
    <row r="497" spans="1:15" ht="12" customHeight="1" x14ac:dyDescent="0.25">
      <c r="A497" s="91" t="s">
        <v>16</v>
      </c>
      <c r="B497" s="32">
        <v>3</v>
      </c>
      <c r="C497" s="36">
        <v>1203939</v>
      </c>
      <c r="D497" s="52">
        <v>46132</v>
      </c>
      <c r="E497" s="32" t="s">
        <v>15</v>
      </c>
      <c r="F497" s="32" t="str">
        <f t="shared" ref="F497:G497" si="290">F496</f>
        <v>M20</v>
      </c>
      <c r="G497" s="61" t="str">
        <f t="shared" si="290"/>
        <v>011</v>
      </c>
      <c r="H497" s="72" t="str">
        <f>H496</f>
        <v>C2</v>
      </c>
      <c r="I497" s="72">
        <f>I496</f>
        <v>2</v>
      </c>
      <c r="J497" s="37" t="s">
        <v>37</v>
      </c>
      <c r="K497" s="37">
        <v>8</v>
      </c>
      <c r="L497" s="17">
        <v>0.43</v>
      </c>
      <c r="M497" s="19">
        <v>2.29</v>
      </c>
      <c r="N497" s="18">
        <f t="shared" si="276"/>
        <v>1.86</v>
      </c>
      <c r="O497" s="20" t="str">
        <f t="shared" si="246"/>
        <v>OK</v>
      </c>
    </row>
    <row r="498" spans="1:15" ht="12" customHeight="1" x14ac:dyDescent="0.25">
      <c r="A498" s="91" t="s">
        <v>16</v>
      </c>
      <c r="B498" s="32">
        <v>3</v>
      </c>
      <c r="C498" s="36">
        <v>1203939</v>
      </c>
      <c r="D498" s="52">
        <v>46132</v>
      </c>
      <c r="E498" s="32" t="s">
        <v>15</v>
      </c>
      <c r="F498" s="32" t="str">
        <f t="shared" ref="F498:G498" si="291">F497</f>
        <v>M20</v>
      </c>
      <c r="G498" s="112" t="str">
        <f t="shared" si="291"/>
        <v>011</v>
      </c>
      <c r="H498" s="72" t="str">
        <f>H497</f>
        <v>C2</v>
      </c>
      <c r="I498" s="72">
        <f>I497</f>
        <v>2</v>
      </c>
      <c r="J498" s="37" t="s">
        <v>38</v>
      </c>
      <c r="K498" s="37">
        <v>8</v>
      </c>
      <c r="L498" s="17">
        <v>0.76</v>
      </c>
      <c r="M498" s="19">
        <v>2.73</v>
      </c>
      <c r="N498" s="18">
        <f t="shared" si="276"/>
        <v>1.97</v>
      </c>
      <c r="O498" s="20" t="str">
        <f t="shared" si="246"/>
        <v>OK</v>
      </c>
    </row>
    <row r="499" spans="1:15" ht="12" customHeight="1" x14ac:dyDescent="0.25">
      <c r="A499" s="91" t="s">
        <v>16</v>
      </c>
      <c r="B499" s="32">
        <v>3</v>
      </c>
      <c r="C499" s="36">
        <v>1203939</v>
      </c>
      <c r="D499" s="52">
        <v>46132</v>
      </c>
      <c r="E499" s="32" t="s">
        <v>15</v>
      </c>
      <c r="F499" s="32" t="s">
        <v>40</v>
      </c>
      <c r="G499" s="61" t="s">
        <v>63</v>
      </c>
      <c r="H499" s="72" t="s">
        <v>42</v>
      </c>
      <c r="I499" s="72">
        <v>1</v>
      </c>
      <c r="J499" s="37" t="s">
        <v>31</v>
      </c>
      <c r="K499" s="37">
        <v>9</v>
      </c>
      <c r="L499" s="17">
        <v>1.68</v>
      </c>
      <c r="M499" s="19">
        <v>4.3099999999999996</v>
      </c>
      <c r="N499" s="18">
        <f t="shared" si="276"/>
        <v>2.63</v>
      </c>
      <c r="O499" s="20" t="str">
        <f t="shared" si="246"/>
        <v>OK</v>
      </c>
    </row>
    <row r="500" spans="1:15" ht="12" customHeight="1" x14ac:dyDescent="0.25">
      <c r="A500" s="91" t="s">
        <v>16</v>
      </c>
      <c r="B500" s="32">
        <v>3</v>
      </c>
      <c r="C500" s="36">
        <v>1203939</v>
      </c>
      <c r="D500" s="52">
        <v>46132</v>
      </c>
      <c r="E500" s="32" t="s">
        <v>15</v>
      </c>
      <c r="F500" s="32" t="str">
        <f t="shared" ref="F500:I500" si="292">F499</f>
        <v>M21</v>
      </c>
      <c r="G500" s="61" t="str">
        <f t="shared" si="292"/>
        <v>012</v>
      </c>
      <c r="H500" s="72" t="str">
        <f t="shared" si="292"/>
        <v>C3</v>
      </c>
      <c r="I500" s="72">
        <f t="shared" si="292"/>
        <v>1</v>
      </c>
      <c r="J500" s="37" t="s">
        <v>32</v>
      </c>
      <c r="K500" s="37">
        <v>9</v>
      </c>
      <c r="L500" s="17">
        <v>0.14000000000000001</v>
      </c>
      <c r="M500" s="19">
        <v>4.84</v>
      </c>
      <c r="N500" s="18">
        <f t="shared" si="276"/>
        <v>4.7</v>
      </c>
      <c r="O500" s="20" t="str">
        <f t="shared" si="246"/>
        <v>OK</v>
      </c>
    </row>
    <row r="501" spans="1:15" ht="12" customHeight="1" x14ac:dyDescent="0.25">
      <c r="A501" s="91" t="s">
        <v>16</v>
      </c>
      <c r="B501" s="32">
        <v>3</v>
      </c>
      <c r="C501" s="36">
        <v>1203939</v>
      </c>
      <c r="D501" s="52">
        <v>46132</v>
      </c>
      <c r="E501" s="32" t="s">
        <v>15</v>
      </c>
      <c r="F501" s="32" t="str">
        <f t="shared" ref="F501:I501" si="293">F500</f>
        <v>M21</v>
      </c>
      <c r="G501" s="61" t="str">
        <f t="shared" si="293"/>
        <v>012</v>
      </c>
      <c r="H501" s="72" t="str">
        <f t="shared" si="293"/>
        <v>C3</v>
      </c>
      <c r="I501" s="72">
        <f t="shared" si="293"/>
        <v>1</v>
      </c>
      <c r="J501" s="37" t="s">
        <v>33</v>
      </c>
      <c r="K501" s="37">
        <v>10</v>
      </c>
      <c r="L501" s="17">
        <v>1.03</v>
      </c>
      <c r="M501" s="19">
        <v>4.0999999999999996</v>
      </c>
      <c r="N501" s="18">
        <f t="shared" si="276"/>
        <v>3.0699999999999994</v>
      </c>
      <c r="O501" s="20" t="str">
        <f t="shared" si="246"/>
        <v>OK</v>
      </c>
    </row>
    <row r="502" spans="1:15" ht="12" customHeight="1" x14ac:dyDescent="0.25">
      <c r="A502" s="91" t="s">
        <v>16</v>
      </c>
      <c r="B502" s="32">
        <v>3</v>
      </c>
      <c r="C502" s="36">
        <v>1203939</v>
      </c>
      <c r="D502" s="52">
        <v>46132</v>
      </c>
      <c r="E502" s="32" t="s">
        <v>15</v>
      </c>
      <c r="F502" s="32" t="str">
        <f t="shared" ref="F502:I502" si="294">F501</f>
        <v>M21</v>
      </c>
      <c r="G502" s="61" t="str">
        <f t="shared" si="294"/>
        <v>012</v>
      </c>
      <c r="H502" s="72" t="str">
        <f t="shared" si="294"/>
        <v>C3</v>
      </c>
      <c r="I502" s="72">
        <f t="shared" si="294"/>
        <v>1</v>
      </c>
      <c r="J502" s="37" t="s">
        <v>34</v>
      </c>
      <c r="K502" s="37">
        <v>10</v>
      </c>
      <c r="L502" s="17">
        <v>1.08</v>
      </c>
      <c r="M502" s="19">
        <v>3.19</v>
      </c>
      <c r="N502" s="18">
        <f t="shared" si="276"/>
        <v>2.11</v>
      </c>
      <c r="O502" s="20" t="str">
        <f t="shared" si="246"/>
        <v>OK</v>
      </c>
    </row>
    <row r="503" spans="1:15" ht="12" customHeight="1" x14ac:dyDescent="0.25">
      <c r="A503" s="91" t="s">
        <v>16</v>
      </c>
      <c r="B503" s="32">
        <v>3</v>
      </c>
      <c r="C503" s="36">
        <v>1203939</v>
      </c>
      <c r="D503" s="52">
        <v>46132</v>
      </c>
      <c r="E503" s="32" t="s">
        <v>15</v>
      </c>
      <c r="F503" s="32" t="str">
        <f t="shared" ref="F503:H503" si="295">F502</f>
        <v>M21</v>
      </c>
      <c r="G503" s="61" t="str">
        <f t="shared" si="295"/>
        <v>012</v>
      </c>
      <c r="H503" s="72" t="str">
        <f t="shared" si="295"/>
        <v>C3</v>
      </c>
      <c r="I503" s="72">
        <v>2</v>
      </c>
      <c r="J503" s="37" t="s">
        <v>35</v>
      </c>
      <c r="K503" s="37">
        <v>11</v>
      </c>
      <c r="L503" s="17">
        <v>0.98</v>
      </c>
      <c r="M503" s="19">
        <v>4.66</v>
      </c>
      <c r="N503" s="18">
        <f t="shared" si="276"/>
        <v>3.68</v>
      </c>
      <c r="O503" s="20" t="str">
        <f t="shared" si="246"/>
        <v>OK</v>
      </c>
    </row>
    <row r="504" spans="1:15" ht="12" customHeight="1" x14ac:dyDescent="0.25">
      <c r="A504" s="91" t="s">
        <v>16</v>
      </c>
      <c r="B504" s="32">
        <v>3</v>
      </c>
      <c r="C504" s="36">
        <v>1203939</v>
      </c>
      <c r="D504" s="52">
        <v>46132</v>
      </c>
      <c r="E504" s="32" t="s">
        <v>15</v>
      </c>
      <c r="F504" s="32" t="str">
        <f t="shared" ref="F504:H504" si="296">F503</f>
        <v>M21</v>
      </c>
      <c r="G504" s="61" t="str">
        <f t="shared" si="296"/>
        <v>012</v>
      </c>
      <c r="H504" s="72" t="str">
        <f t="shared" si="296"/>
        <v>C3</v>
      </c>
      <c r="I504" s="72">
        <f>I503</f>
        <v>2</v>
      </c>
      <c r="J504" s="37" t="s">
        <v>36</v>
      </c>
      <c r="K504" s="37">
        <v>11</v>
      </c>
      <c r="L504" s="17">
        <v>0.09</v>
      </c>
      <c r="M504" s="19">
        <v>5.01</v>
      </c>
      <c r="N504" s="18">
        <f t="shared" si="276"/>
        <v>4.92</v>
      </c>
      <c r="O504" s="20" t="str">
        <f t="shared" si="246"/>
        <v>OK</v>
      </c>
    </row>
    <row r="505" spans="1:15" ht="12" customHeight="1" x14ac:dyDescent="0.25">
      <c r="A505" s="91" t="s">
        <v>16</v>
      </c>
      <c r="B505" s="32">
        <v>3</v>
      </c>
      <c r="C505" s="36">
        <v>1203939</v>
      </c>
      <c r="D505" s="52">
        <v>46132</v>
      </c>
      <c r="E505" s="32" t="s">
        <v>15</v>
      </c>
      <c r="F505" s="32" t="str">
        <f t="shared" ref="F505:H505" si="297">F504</f>
        <v>M21</v>
      </c>
      <c r="G505" s="61" t="str">
        <f t="shared" si="297"/>
        <v>012</v>
      </c>
      <c r="H505" s="72" t="str">
        <f t="shared" si="297"/>
        <v>C3</v>
      </c>
      <c r="I505" s="72">
        <f>I504</f>
        <v>2</v>
      </c>
      <c r="J505" s="37" t="s">
        <v>37</v>
      </c>
      <c r="K505" s="37">
        <v>12</v>
      </c>
      <c r="L505" s="17">
        <v>1.68</v>
      </c>
      <c r="M505" s="19">
        <v>3.76</v>
      </c>
      <c r="N505" s="18">
        <f t="shared" si="276"/>
        <v>2.08</v>
      </c>
      <c r="O505" s="20" t="str">
        <f t="shared" si="246"/>
        <v>OK</v>
      </c>
    </row>
    <row r="506" spans="1:15" ht="12" customHeight="1" x14ac:dyDescent="0.25">
      <c r="A506" s="91" t="s">
        <v>16</v>
      </c>
      <c r="B506" s="32">
        <v>3</v>
      </c>
      <c r="C506" s="36">
        <v>1203939</v>
      </c>
      <c r="D506" s="52">
        <v>46132</v>
      </c>
      <c r="E506" s="32" t="s">
        <v>15</v>
      </c>
      <c r="F506" s="32" t="str">
        <f t="shared" ref="F506:H506" si="298">F505</f>
        <v>M21</v>
      </c>
      <c r="G506" s="61" t="str">
        <f t="shared" si="298"/>
        <v>012</v>
      </c>
      <c r="H506" s="72" t="str">
        <f t="shared" si="298"/>
        <v>C3</v>
      </c>
      <c r="I506" s="72">
        <f>I505</f>
        <v>2</v>
      </c>
      <c r="J506" s="37" t="s">
        <v>38</v>
      </c>
      <c r="K506" s="37">
        <v>12</v>
      </c>
      <c r="L506" s="17">
        <v>0.72</v>
      </c>
      <c r="M506" s="19">
        <v>4.41</v>
      </c>
      <c r="N506" s="18">
        <f t="shared" si="276"/>
        <v>3.6900000000000004</v>
      </c>
      <c r="O506" s="20" t="str">
        <f t="shared" si="246"/>
        <v>OK</v>
      </c>
    </row>
    <row r="507" spans="1:15" ht="12" customHeight="1" x14ac:dyDescent="0.25">
      <c r="A507" s="91" t="s">
        <v>16</v>
      </c>
      <c r="B507" s="32">
        <v>3</v>
      </c>
      <c r="C507" s="36">
        <v>1203939</v>
      </c>
      <c r="D507" s="52">
        <v>46132</v>
      </c>
      <c r="E507" s="32" t="s">
        <v>15</v>
      </c>
      <c r="F507" s="32" t="str">
        <f t="shared" ref="F507:G507" si="299">F506</f>
        <v>M21</v>
      </c>
      <c r="G507" s="61" t="str">
        <f t="shared" si="299"/>
        <v>012</v>
      </c>
      <c r="H507" s="72" t="s">
        <v>43</v>
      </c>
      <c r="I507" s="72">
        <v>1</v>
      </c>
      <c r="J507" s="37" t="s">
        <v>31</v>
      </c>
      <c r="K507" s="37">
        <v>13</v>
      </c>
      <c r="L507" s="17">
        <v>0.37</v>
      </c>
      <c r="M507" s="19">
        <v>4.51</v>
      </c>
      <c r="N507" s="18">
        <f t="shared" si="276"/>
        <v>4.1399999999999997</v>
      </c>
      <c r="O507" s="20" t="str">
        <f t="shared" si="246"/>
        <v>OK</v>
      </c>
    </row>
    <row r="508" spans="1:15" ht="12" customHeight="1" x14ac:dyDescent="0.25">
      <c r="A508" s="91" t="s">
        <v>16</v>
      </c>
      <c r="B508" s="32">
        <v>3</v>
      </c>
      <c r="C508" s="36">
        <v>1203939</v>
      </c>
      <c r="D508" s="52">
        <v>46132</v>
      </c>
      <c r="E508" s="32" t="s">
        <v>15</v>
      </c>
      <c r="F508" s="32" t="str">
        <f t="shared" ref="F508:I508" si="300">F507</f>
        <v>M21</v>
      </c>
      <c r="G508" s="61" t="str">
        <f t="shared" si="300"/>
        <v>012</v>
      </c>
      <c r="H508" s="72" t="str">
        <f t="shared" si="300"/>
        <v>C4</v>
      </c>
      <c r="I508" s="72">
        <f t="shared" si="300"/>
        <v>1</v>
      </c>
      <c r="J508" s="37" t="s">
        <v>32</v>
      </c>
      <c r="K508" s="37">
        <v>13</v>
      </c>
      <c r="L508" s="17">
        <v>0.15</v>
      </c>
      <c r="M508" s="19">
        <v>4.74</v>
      </c>
      <c r="N508" s="18">
        <f t="shared" si="276"/>
        <v>4.59</v>
      </c>
      <c r="O508" s="20" t="str">
        <f t="shared" si="246"/>
        <v>OK</v>
      </c>
    </row>
    <row r="509" spans="1:15" ht="12" customHeight="1" x14ac:dyDescent="0.25">
      <c r="A509" s="91" t="s">
        <v>16</v>
      </c>
      <c r="B509" s="32">
        <v>3</v>
      </c>
      <c r="C509" s="36">
        <v>1203939</v>
      </c>
      <c r="D509" s="52">
        <v>46132</v>
      </c>
      <c r="E509" s="32" t="s">
        <v>15</v>
      </c>
      <c r="F509" s="32" t="str">
        <f t="shared" ref="F509:I509" si="301">F508</f>
        <v>M21</v>
      </c>
      <c r="G509" s="61" t="str">
        <f t="shared" si="301"/>
        <v>012</v>
      </c>
      <c r="H509" s="72" t="str">
        <f t="shared" si="301"/>
        <v>C4</v>
      </c>
      <c r="I509" s="72">
        <f t="shared" si="301"/>
        <v>1</v>
      </c>
      <c r="J509" s="37" t="s">
        <v>33</v>
      </c>
      <c r="K509" s="37">
        <v>14</v>
      </c>
      <c r="L509" s="17">
        <v>0.16</v>
      </c>
      <c r="M509" s="19">
        <v>4.66</v>
      </c>
      <c r="N509" s="18">
        <f t="shared" si="276"/>
        <v>4.5</v>
      </c>
      <c r="O509" s="20" t="str">
        <f t="shared" si="246"/>
        <v>OK</v>
      </c>
    </row>
    <row r="510" spans="1:15" ht="12" customHeight="1" x14ac:dyDescent="0.25">
      <c r="A510" s="91" t="s">
        <v>16</v>
      </c>
      <c r="B510" s="32">
        <v>3</v>
      </c>
      <c r="C510" s="36">
        <v>1203939</v>
      </c>
      <c r="D510" s="52">
        <v>46132</v>
      </c>
      <c r="E510" s="32" t="s">
        <v>15</v>
      </c>
      <c r="F510" s="32" t="str">
        <f t="shared" ref="F510:I510" si="302">F509</f>
        <v>M21</v>
      </c>
      <c r="G510" s="61" t="str">
        <f t="shared" si="302"/>
        <v>012</v>
      </c>
      <c r="H510" s="72" t="str">
        <f t="shared" si="302"/>
        <v>C4</v>
      </c>
      <c r="I510" s="72">
        <f t="shared" si="302"/>
        <v>1</v>
      </c>
      <c r="J510" s="37" t="s">
        <v>34</v>
      </c>
      <c r="K510" s="37">
        <v>14</v>
      </c>
      <c r="L510" s="17">
        <v>0.25</v>
      </c>
      <c r="M510" s="19">
        <v>4.3</v>
      </c>
      <c r="N510" s="18">
        <f t="shared" si="276"/>
        <v>4.05</v>
      </c>
      <c r="O510" s="20" t="str">
        <f t="shared" si="246"/>
        <v>OK</v>
      </c>
    </row>
    <row r="511" spans="1:15" ht="12" customHeight="1" x14ac:dyDescent="0.25">
      <c r="A511" s="91" t="s">
        <v>16</v>
      </c>
      <c r="B511" s="32">
        <v>3</v>
      </c>
      <c r="C511" s="36">
        <v>1203939</v>
      </c>
      <c r="D511" s="52">
        <v>46132</v>
      </c>
      <c r="E511" s="32" t="s">
        <v>15</v>
      </c>
      <c r="F511" s="32" t="str">
        <f t="shared" ref="F511:G511" si="303">F510</f>
        <v>M21</v>
      </c>
      <c r="G511" s="61" t="str">
        <f t="shared" si="303"/>
        <v>012</v>
      </c>
      <c r="H511" s="72" t="str">
        <f>H510</f>
        <v>C4</v>
      </c>
      <c r="I511" s="72">
        <v>2</v>
      </c>
      <c r="J511" s="37" t="s">
        <v>35</v>
      </c>
      <c r="K511" s="37">
        <v>15</v>
      </c>
      <c r="L511" s="17">
        <v>0.56999999999999995</v>
      </c>
      <c r="M511" s="19">
        <v>2.23</v>
      </c>
      <c r="N511" s="18">
        <f t="shared" si="276"/>
        <v>1.6600000000000001</v>
      </c>
      <c r="O511" s="20" t="str">
        <f t="shared" si="246"/>
        <v>OK</v>
      </c>
    </row>
    <row r="512" spans="1:15" ht="12" customHeight="1" x14ac:dyDescent="0.25">
      <c r="A512" s="91" t="s">
        <v>16</v>
      </c>
      <c r="B512" s="32">
        <v>3</v>
      </c>
      <c r="C512" s="36">
        <v>1203939</v>
      </c>
      <c r="D512" s="52">
        <v>46132</v>
      </c>
      <c r="E512" s="32" t="s">
        <v>15</v>
      </c>
      <c r="F512" s="32" t="str">
        <f t="shared" ref="F512:G512" si="304">F511</f>
        <v>M21</v>
      </c>
      <c r="G512" s="61" t="str">
        <f t="shared" si="304"/>
        <v>012</v>
      </c>
      <c r="H512" s="72" t="str">
        <f>H511</f>
        <v>C4</v>
      </c>
      <c r="I512" s="72">
        <f>I511</f>
        <v>2</v>
      </c>
      <c r="J512" s="37" t="s">
        <v>36</v>
      </c>
      <c r="K512" s="37">
        <v>15</v>
      </c>
      <c r="L512" s="17">
        <v>0.69</v>
      </c>
      <c r="M512" s="19">
        <v>3.54</v>
      </c>
      <c r="N512" s="18">
        <f t="shared" si="276"/>
        <v>2.85</v>
      </c>
      <c r="O512" s="20" t="str">
        <f t="shared" si="246"/>
        <v>OK</v>
      </c>
    </row>
    <row r="513" spans="1:15" ht="12" customHeight="1" x14ac:dyDescent="0.25">
      <c r="A513" s="91" t="s">
        <v>16</v>
      </c>
      <c r="B513" s="32">
        <v>3</v>
      </c>
      <c r="C513" s="36">
        <v>1203939</v>
      </c>
      <c r="D513" s="52">
        <v>46132</v>
      </c>
      <c r="E513" s="32" t="s">
        <v>15</v>
      </c>
      <c r="F513" s="32" t="str">
        <f t="shared" ref="F513:G513" si="305">F512</f>
        <v>M21</v>
      </c>
      <c r="G513" s="61" t="str">
        <f t="shared" si="305"/>
        <v>012</v>
      </c>
      <c r="H513" s="72" t="str">
        <f>H512</f>
        <v>C4</v>
      </c>
      <c r="I513" s="72">
        <f>I512</f>
        <v>2</v>
      </c>
      <c r="J513" s="37" t="s">
        <v>37</v>
      </c>
      <c r="K513" s="37">
        <v>16</v>
      </c>
      <c r="L513" s="17">
        <v>1.2</v>
      </c>
      <c r="M513" s="19">
        <v>4.72</v>
      </c>
      <c r="N513" s="18">
        <f t="shared" si="276"/>
        <v>3.5199999999999996</v>
      </c>
      <c r="O513" s="20" t="str">
        <f t="shared" si="246"/>
        <v>OK</v>
      </c>
    </row>
    <row r="514" spans="1:15" ht="12" customHeight="1" x14ac:dyDescent="0.25">
      <c r="A514" s="91" t="s">
        <v>16</v>
      </c>
      <c r="B514" s="32">
        <v>3</v>
      </c>
      <c r="C514" s="36">
        <v>1203939</v>
      </c>
      <c r="D514" s="52">
        <v>46132</v>
      </c>
      <c r="E514" s="32" t="s">
        <v>15</v>
      </c>
      <c r="F514" s="32" t="str">
        <f t="shared" ref="F514:G514" si="306">F513</f>
        <v>M21</v>
      </c>
      <c r="G514" s="61" t="str">
        <f t="shared" si="306"/>
        <v>012</v>
      </c>
      <c r="H514" s="72" t="str">
        <f>H513</f>
        <v>C4</v>
      </c>
      <c r="I514" s="72">
        <f>I513</f>
        <v>2</v>
      </c>
      <c r="J514" s="37" t="s">
        <v>38</v>
      </c>
      <c r="K514" s="37">
        <v>16</v>
      </c>
      <c r="L514" s="17">
        <v>1.0900000000000001</v>
      </c>
      <c r="M514" s="19">
        <v>1.34</v>
      </c>
      <c r="N514" s="18">
        <f t="shared" si="276"/>
        <v>0.25</v>
      </c>
      <c r="O514" s="20" t="str">
        <f t="shared" si="246"/>
        <v>Seguimiento</v>
      </c>
    </row>
    <row r="515" spans="1:15" ht="12" customHeight="1" x14ac:dyDescent="0.25">
      <c r="A515" s="91" t="s">
        <v>16</v>
      </c>
      <c r="B515" s="32">
        <v>3</v>
      </c>
      <c r="C515" s="36">
        <v>1203939</v>
      </c>
      <c r="D515" s="52">
        <v>46132</v>
      </c>
      <c r="E515" s="32" t="s">
        <v>15</v>
      </c>
      <c r="F515" s="32" t="s">
        <v>44</v>
      </c>
      <c r="G515" s="61" t="s">
        <v>62</v>
      </c>
      <c r="H515" s="72" t="s">
        <v>46</v>
      </c>
      <c r="I515" s="72">
        <v>1</v>
      </c>
      <c r="J515" s="37" t="s">
        <v>31</v>
      </c>
      <c r="K515" s="37">
        <v>17</v>
      </c>
      <c r="L515" s="17">
        <v>0.65</v>
      </c>
      <c r="M515" s="19">
        <v>4.24</v>
      </c>
      <c r="N515" s="18">
        <f t="shared" si="276"/>
        <v>3.5900000000000003</v>
      </c>
      <c r="O515" s="20" t="str">
        <f t="shared" si="246"/>
        <v>OK</v>
      </c>
    </row>
    <row r="516" spans="1:15" ht="12" customHeight="1" x14ac:dyDescent="0.25">
      <c r="A516" s="91" t="s">
        <v>16</v>
      </c>
      <c r="B516" s="32">
        <v>3</v>
      </c>
      <c r="C516" s="36">
        <v>1203939</v>
      </c>
      <c r="D516" s="52">
        <v>46132</v>
      </c>
      <c r="E516" s="32" t="s">
        <v>15</v>
      </c>
      <c r="F516" s="32" t="str">
        <f t="shared" ref="F516:I516" si="307">F515</f>
        <v>M22</v>
      </c>
      <c r="G516" s="61" t="str">
        <f t="shared" si="307"/>
        <v>306</v>
      </c>
      <c r="H516" s="72" t="str">
        <f t="shared" si="307"/>
        <v>C5</v>
      </c>
      <c r="I516" s="72">
        <f t="shared" si="307"/>
        <v>1</v>
      </c>
      <c r="J516" s="37" t="s">
        <v>32</v>
      </c>
      <c r="K516" s="37">
        <v>17</v>
      </c>
      <c r="L516" s="17">
        <v>0.56000000000000005</v>
      </c>
      <c r="M516" s="19">
        <v>4.87</v>
      </c>
      <c r="N516" s="18">
        <f t="shared" si="276"/>
        <v>4.3100000000000005</v>
      </c>
      <c r="O516" s="20" t="str">
        <f t="shared" ref="O516:O579" si="308">IF(N516&lt;=0,"Critico",IF(N516&lt;=0.2,"Cambio",IF(N516&lt;=1,"Seguimiento",IF(L516&gt;=1.7,"Reperfilado","OK"))))</f>
        <v>OK</v>
      </c>
    </row>
    <row r="517" spans="1:15" ht="12" customHeight="1" x14ac:dyDescent="0.25">
      <c r="A517" s="91" t="s">
        <v>16</v>
      </c>
      <c r="B517" s="32">
        <v>3</v>
      </c>
      <c r="C517" s="36">
        <v>1203939</v>
      </c>
      <c r="D517" s="52">
        <v>46132</v>
      </c>
      <c r="E517" s="32" t="s">
        <v>15</v>
      </c>
      <c r="F517" s="32" t="str">
        <f t="shared" ref="F517:I517" si="309">F516</f>
        <v>M22</v>
      </c>
      <c r="G517" s="61" t="str">
        <f t="shared" si="309"/>
        <v>306</v>
      </c>
      <c r="H517" s="72" t="str">
        <f t="shared" si="309"/>
        <v>C5</v>
      </c>
      <c r="I517" s="72">
        <f t="shared" si="309"/>
        <v>1</v>
      </c>
      <c r="J517" s="37" t="s">
        <v>33</v>
      </c>
      <c r="K517" s="37">
        <v>18</v>
      </c>
      <c r="L517" s="17">
        <v>0.82</v>
      </c>
      <c r="M517" s="19">
        <v>4.8</v>
      </c>
      <c r="N517" s="18">
        <f t="shared" si="276"/>
        <v>3.98</v>
      </c>
      <c r="O517" s="20" t="str">
        <f t="shared" si="308"/>
        <v>OK</v>
      </c>
    </row>
    <row r="518" spans="1:15" ht="12" customHeight="1" x14ac:dyDescent="0.25">
      <c r="A518" s="91" t="s">
        <v>16</v>
      </c>
      <c r="B518" s="32">
        <v>3</v>
      </c>
      <c r="C518" s="36">
        <v>1203939</v>
      </c>
      <c r="D518" s="52">
        <v>46132</v>
      </c>
      <c r="E518" s="32" t="s">
        <v>15</v>
      </c>
      <c r="F518" s="32" t="str">
        <f t="shared" ref="F518:I518" si="310">F517</f>
        <v>M22</v>
      </c>
      <c r="G518" s="61" t="str">
        <f t="shared" si="310"/>
        <v>306</v>
      </c>
      <c r="H518" s="72" t="str">
        <f t="shared" si="310"/>
        <v>C5</v>
      </c>
      <c r="I518" s="72">
        <f t="shared" si="310"/>
        <v>1</v>
      </c>
      <c r="J518" s="37" t="s">
        <v>34</v>
      </c>
      <c r="K518" s="37">
        <v>18</v>
      </c>
      <c r="L518" s="17">
        <v>0.89</v>
      </c>
      <c r="M518" s="19">
        <v>1.31</v>
      </c>
      <c r="N518" s="18">
        <f t="shared" si="276"/>
        <v>0.42000000000000004</v>
      </c>
      <c r="O518" s="20" t="str">
        <f t="shared" si="308"/>
        <v>Seguimiento</v>
      </c>
    </row>
    <row r="519" spans="1:15" ht="12" customHeight="1" x14ac:dyDescent="0.25">
      <c r="A519" s="91" t="s">
        <v>16</v>
      </c>
      <c r="B519" s="32">
        <v>3</v>
      </c>
      <c r="C519" s="36">
        <v>1203939</v>
      </c>
      <c r="D519" s="52">
        <v>46132</v>
      </c>
      <c r="E519" s="32" t="s">
        <v>15</v>
      </c>
      <c r="F519" s="32" t="str">
        <f t="shared" ref="F519:H519" si="311">F518</f>
        <v>M22</v>
      </c>
      <c r="G519" s="61" t="str">
        <f t="shared" si="311"/>
        <v>306</v>
      </c>
      <c r="H519" s="72" t="str">
        <f t="shared" si="311"/>
        <v>C5</v>
      </c>
      <c r="I519" s="72">
        <v>2</v>
      </c>
      <c r="J519" s="37" t="s">
        <v>35</v>
      </c>
      <c r="K519" s="37">
        <v>19</v>
      </c>
      <c r="L519" s="17">
        <v>0.47</v>
      </c>
      <c r="M519" s="19">
        <v>3.85</v>
      </c>
      <c r="N519" s="18">
        <f t="shared" si="276"/>
        <v>3.38</v>
      </c>
      <c r="O519" s="20" t="str">
        <f t="shared" si="308"/>
        <v>OK</v>
      </c>
    </row>
    <row r="520" spans="1:15" ht="12" customHeight="1" x14ac:dyDescent="0.25">
      <c r="A520" s="91" t="s">
        <v>16</v>
      </c>
      <c r="B520" s="32">
        <v>3</v>
      </c>
      <c r="C520" s="36">
        <v>1203939</v>
      </c>
      <c r="D520" s="52">
        <v>46132</v>
      </c>
      <c r="E520" s="32" t="s">
        <v>15</v>
      </c>
      <c r="F520" s="32" t="str">
        <f t="shared" ref="F520:H520" si="312">F519</f>
        <v>M22</v>
      </c>
      <c r="G520" s="61" t="str">
        <f t="shared" si="312"/>
        <v>306</v>
      </c>
      <c r="H520" s="72" t="str">
        <f t="shared" si="312"/>
        <v>C5</v>
      </c>
      <c r="I520" s="72">
        <f>I519</f>
        <v>2</v>
      </c>
      <c r="J520" s="37" t="s">
        <v>36</v>
      </c>
      <c r="K520" s="37">
        <v>19</v>
      </c>
      <c r="L520" s="17">
        <v>0.38</v>
      </c>
      <c r="M520" s="19">
        <v>4.95</v>
      </c>
      <c r="N520" s="18">
        <f t="shared" si="276"/>
        <v>4.57</v>
      </c>
      <c r="O520" s="20" t="str">
        <f t="shared" si="308"/>
        <v>OK</v>
      </c>
    </row>
    <row r="521" spans="1:15" ht="12" customHeight="1" x14ac:dyDescent="0.25">
      <c r="A521" s="91" t="s">
        <v>16</v>
      </c>
      <c r="B521" s="32">
        <v>3</v>
      </c>
      <c r="C521" s="36">
        <v>1203939</v>
      </c>
      <c r="D521" s="52">
        <v>46132</v>
      </c>
      <c r="E521" s="32" t="s">
        <v>15</v>
      </c>
      <c r="F521" s="32" t="str">
        <f t="shared" ref="F521:H521" si="313">F520</f>
        <v>M22</v>
      </c>
      <c r="G521" s="61" t="str">
        <f t="shared" si="313"/>
        <v>306</v>
      </c>
      <c r="H521" s="72" t="str">
        <f t="shared" si="313"/>
        <v>C5</v>
      </c>
      <c r="I521" s="72">
        <f>I520</f>
        <v>2</v>
      </c>
      <c r="J521" s="37" t="s">
        <v>37</v>
      </c>
      <c r="K521" s="37">
        <v>20</v>
      </c>
      <c r="L521" s="17">
        <v>0.66</v>
      </c>
      <c r="M521" s="19">
        <v>4.87</v>
      </c>
      <c r="N521" s="18">
        <f t="shared" si="276"/>
        <v>4.21</v>
      </c>
      <c r="O521" s="20" t="str">
        <f t="shared" si="308"/>
        <v>OK</v>
      </c>
    </row>
    <row r="522" spans="1:15" ht="12" customHeight="1" x14ac:dyDescent="0.25">
      <c r="A522" s="91" t="s">
        <v>16</v>
      </c>
      <c r="B522" s="32">
        <v>3</v>
      </c>
      <c r="C522" s="36">
        <v>1203939</v>
      </c>
      <c r="D522" s="52">
        <v>46132</v>
      </c>
      <c r="E522" s="32" t="s">
        <v>15</v>
      </c>
      <c r="F522" s="32" t="str">
        <f t="shared" ref="F522:H522" si="314">F521</f>
        <v>M22</v>
      </c>
      <c r="G522" s="61" t="str">
        <f t="shared" si="314"/>
        <v>306</v>
      </c>
      <c r="H522" s="72" t="str">
        <f t="shared" si="314"/>
        <v>C5</v>
      </c>
      <c r="I522" s="72">
        <f>I521</f>
        <v>2</v>
      </c>
      <c r="J522" s="37" t="s">
        <v>38</v>
      </c>
      <c r="K522" s="37">
        <v>20</v>
      </c>
      <c r="L522" s="17">
        <v>0.94</v>
      </c>
      <c r="M522" s="19">
        <v>3.91</v>
      </c>
      <c r="N522" s="18">
        <f t="shared" si="276"/>
        <v>2.97</v>
      </c>
      <c r="O522" s="20" t="str">
        <f t="shared" si="308"/>
        <v>OK</v>
      </c>
    </row>
    <row r="523" spans="1:15" ht="12" customHeight="1" x14ac:dyDescent="0.25">
      <c r="A523" s="91" t="s">
        <v>16</v>
      </c>
      <c r="B523" s="32">
        <v>3</v>
      </c>
      <c r="C523" s="36">
        <v>1203939</v>
      </c>
      <c r="D523" s="52">
        <v>46132</v>
      </c>
      <c r="E523" s="32" t="s">
        <v>15</v>
      </c>
      <c r="F523" s="32" t="str">
        <f t="shared" ref="F523:G523" si="315">F522</f>
        <v>M22</v>
      </c>
      <c r="G523" s="61" t="str">
        <f t="shared" si="315"/>
        <v>306</v>
      </c>
      <c r="H523" s="72" t="s">
        <v>47</v>
      </c>
      <c r="I523" s="72">
        <v>1</v>
      </c>
      <c r="J523" s="37" t="s">
        <v>31</v>
      </c>
      <c r="K523" s="37">
        <v>21</v>
      </c>
      <c r="L523" s="17">
        <v>0.62</v>
      </c>
      <c r="M523" s="19">
        <v>4.6900000000000004</v>
      </c>
      <c r="N523" s="18">
        <f t="shared" si="276"/>
        <v>4.07</v>
      </c>
      <c r="O523" s="20" t="str">
        <f t="shared" si="308"/>
        <v>OK</v>
      </c>
    </row>
    <row r="524" spans="1:15" ht="12" customHeight="1" x14ac:dyDescent="0.25">
      <c r="A524" s="91" t="s">
        <v>16</v>
      </c>
      <c r="B524" s="32">
        <v>3</v>
      </c>
      <c r="C524" s="36">
        <v>1203939</v>
      </c>
      <c r="D524" s="52">
        <v>46132</v>
      </c>
      <c r="E524" s="32" t="s">
        <v>15</v>
      </c>
      <c r="F524" s="32" t="str">
        <f t="shared" ref="F524:I524" si="316">F523</f>
        <v>M22</v>
      </c>
      <c r="G524" s="61" t="str">
        <f t="shared" si="316"/>
        <v>306</v>
      </c>
      <c r="H524" s="72" t="str">
        <f t="shared" si="316"/>
        <v>C6</v>
      </c>
      <c r="I524" s="72">
        <f t="shared" si="316"/>
        <v>1</v>
      </c>
      <c r="J524" s="37" t="s">
        <v>32</v>
      </c>
      <c r="K524" s="37">
        <v>21</v>
      </c>
      <c r="L524" s="17">
        <v>0.77</v>
      </c>
      <c r="M524" s="19">
        <v>4.84</v>
      </c>
      <c r="N524" s="18">
        <f t="shared" si="276"/>
        <v>4.07</v>
      </c>
      <c r="O524" s="20" t="str">
        <f t="shared" si="308"/>
        <v>OK</v>
      </c>
    </row>
    <row r="525" spans="1:15" ht="12" customHeight="1" x14ac:dyDescent="0.25">
      <c r="A525" s="91" t="s">
        <v>16</v>
      </c>
      <c r="B525" s="32">
        <v>3</v>
      </c>
      <c r="C525" s="36">
        <v>1203939</v>
      </c>
      <c r="D525" s="52">
        <v>46132</v>
      </c>
      <c r="E525" s="32" t="s">
        <v>15</v>
      </c>
      <c r="F525" s="32" t="str">
        <f t="shared" ref="F525:I525" si="317">F524</f>
        <v>M22</v>
      </c>
      <c r="G525" s="61" t="str">
        <f t="shared" si="317"/>
        <v>306</v>
      </c>
      <c r="H525" s="72" t="str">
        <f t="shared" si="317"/>
        <v>C6</v>
      </c>
      <c r="I525" s="72">
        <f t="shared" si="317"/>
        <v>1</v>
      </c>
      <c r="J525" s="37" t="s">
        <v>33</v>
      </c>
      <c r="K525" s="37">
        <v>22</v>
      </c>
      <c r="L525" s="17">
        <v>0.71</v>
      </c>
      <c r="M525" s="19">
        <v>4.8899999999999997</v>
      </c>
      <c r="N525" s="18">
        <f t="shared" si="276"/>
        <v>4.18</v>
      </c>
      <c r="O525" s="20" t="str">
        <f t="shared" si="308"/>
        <v>OK</v>
      </c>
    </row>
    <row r="526" spans="1:15" ht="12" customHeight="1" x14ac:dyDescent="0.25">
      <c r="A526" s="91" t="s">
        <v>16</v>
      </c>
      <c r="B526" s="32">
        <v>3</v>
      </c>
      <c r="C526" s="36">
        <v>1203939</v>
      </c>
      <c r="D526" s="52">
        <v>46132</v>
      </c>
      <c r="E526" s="32" t="s">
        <v>15</v>
      </c>
      <c r="F526" s="32" t="str">
        <f t="shared" ref="F526:I526" si="318">F525</f>
        <v>M22</v>
      </c>
      <c r="G526" s="61" t="str">
        <f t="shared" si="318"/>
        <v>306</v>
      </c>
      <c r="H526" s="72" t="str">
        <f t="shared" si="318"/>
        <v>C6</v>
      </c>
      <c r="I526" s="72">
        <f t="shared" si="318"/>
        <v>1</v>
      </c>
      <c r="J526" s="37" t="s">
        <v>34</v>
      </c>
      <c r="K526" s="37">
        <v>22</v>
      </c>
      <c r="L526" s="17">
        <v>0.33</v>
      </c>
      <c r="M526" s="19">
        <v>1.58</v>
      </c>
      <c r="N526" s="18">
        <f t="shared" si="276"/>
        <v>1.25</v>
      </c>
      <c r="O526" s="20" t="str">
        <f t="shared" si="308"/>
        <v>OK</v>
      </c>
    </row>
    <row r="527" spans="1:15" ht="12" customHeight="1" x14ac:dyDescent="0.25">
      <c r="A527" s="91" t="s">
        <v>16</v>
      </c>
      <c r="B527" s="32">
        <v>3</v>
      </c>
      <c r="C527" s="36">
        <v>1203939</v>
      </c>
      <c r="D527" s="52">
        <v>46132</v>
      </c>
      <c r="E527" s="32" t="s">
        <v>15</v>
      </c>
      <c r="F527" s="32" t="str">
        <f t="shared" ref="F527:G527" si="319">F526</f>
        <v>M22</v>
      </c>
      <c r="G527" s="61" t="str">
        <f t="shared" si="319"/>
        <v>306</v>
      </c>
      <c r="H527" s="72" t="str">
        <f>H526</f>
        <v>C6</v>
      </c>
      <c r="I527" s="72">
        <v>2</v>
      </c>
      <c r="J527" s="37" t="s">
        <v>35</v>
      </c>
      <c r="K527" s="37">
        <v>23</v>
      </c>
      <c r="L527" s="17">
        <v>0.56000000000000005</v>
      </c>
      <c r="M527" s="19">
        <v>2.2400000000000002</v>
      </c>
      <c r="N527" s="18">
        <f t="shared" si="276"/>
        <v>1.6800000000000002</v>
      </c>
      <c r="O527" s="20" t="str">
        <f t="shared" si="308"/>
        <v>OK</v>
      </c>
    </row>
    <row r="528" spans="1:15" ht="12" customHeight="1" x14ac:dyDescent="0.25">
      <c r="A528" s="91" t="s">
        <v>16</v>
      </c>
      <c r="B528" s="32">
        <v>3</v>
      </c>
      <c r="C528" s="36">
        <v>1203939</v>
      </c>
      <c r="D528" s="52">
        <v>46132</v>
      </c>
      <c r="E528" s="32" t="s">
        <v>15</v>
      </c>
      <c r="F528" s="32" t="str">
        <f t="shared" ref="F528:G528" si="320">F527</f>
        <v>M22</v>
      </c>
      <c r="G528" s="61" t="str">
        <f t="shared" si="320"/>
        <v>306</v>
      </c>
      <c r="H528" s="72" t="str">
        <f>H527</f>
        <v>C6</v>
      </c>
      <c r="I528" s="72">
        <f>I527</f>
        <v>2</v>
      </c>
      <c r="J528" s="37" t="s">
        <v>36</v>
      </c>
      <c r="K528" s="37">
        <v>23</v>
      </c>
      <c r="L528" s="17">
        <v>0.67</v>
      </c>
      <c r="M528" s="19">
        <v>4.9000000000000004</v>
      </c>
      <c r="N528" s="18">
        <f t="shared" si="276"/>
        <v>4.2300000000000004</v>
      </c>
      <c r="O528" s="20" t="str">
        <f t="shared" si="308"/>
        <v>OK</v>
      </c>
    </row>
    <row r="529" spans="1:15" ht="12" customHeight="1" x14ac:dyDescent="0.25">
      <c r="A529" s="91" t="s">
        <v>16</v>
      </c>
      <c r="B529" s="32">
        <v>3</v>
      </c>
      <c r="C529" s="36">
        <v>1203939</v>
      </c>
      <c r="D529" s="52">
        <v>46132</v>
      </c>
      <c r="E529" s="32" t="s">
        <v>15</v>
      </c>
      <c r="F529" s="32" t="str">
        <f t="shared" ref="F529:G529" si="321">F528</f>
        <v>M22</v>
      </c>
      <c r="G529" s="61" t="str">
        <f t="shared" si="321"/>
        <v>306</v>
      </c>
      <c r="H529" s="72" t="str">
        <f>H528</f>
        <v>C6</v>
      </c>
      <c r="I529" s="72">
        <f>I528</f>
        <v>2</v>
      </c>
      <c r="J529" s="37" t="s">
        <v>37</v>
      </c>
      <c r="K529" s="37">
        <v>24</v>
      </c>
      <c r="L529" s="17">
        <v>0.62</v>
      </c>
      <c r="M529" s="19">
        <v>1.07</v>
      </c>
      <c r="N529" s="18">
        <f t="shared" si="276"/>
        <v>0.45000000000000007</v>
      </c>
      <c r="O529" s="20" t="str">
        <f t="shared" si="308"/>
        <v>Seguimiento</v>
      </c>
    </row>
    <row r="530" spans="1:15" ht="12" customHeight="1" x14ac:dyDescent="0.25">
      <c r="A530" s="91" t="s">
        <v>16</v>
      </c>
      <c r="B530" s="32">
        <v>3</v>
      </c>
      <c r="C530" s="36">
        <v>1203939</v>
      </c>
      <c r="D530" s="52">
        <v>46132</v>
      </c>
      <c r="E530" s="32" t="s">
        <v>15</v>
      </c>
      <c r="F530" s="32" t="str">
        <f t="shared" ref="F530:G530" si="322">F529</f>
        <v>M22</v>
      </c>
      <c r="G530" s="61" t="str">
        <f t="shared" si="322"/>
        <v>306</v>
      </c>
      <c r="H530" s="72" t="str">
        <f>H529</f>
        <v>C6</v>
      </c>
      <c r="I530" s="72">
        <f>I529</f>
        <v>2</v>
      </c>
      <c r="J530" s="37" t="s">
        <v>38</v>
      </c>
      <c r="K530" s="37">
        <v>24</v>
      </c>
      <c r="L530" s="17">
        <v>1.04</v>
      </c>
      <c r="M530" s="19">
        <v>3.04</v>
      </c>
      <c r="N530" s="18">
        <f t="shared" si="276"/>
        <v>2</v>
      </c>
      <c r="O530" s="20" t="str">
        <f t="shared" si="308"/>
        <v>OK</v>
      </c>
    </row>
    <row r="531" spans="1:15" ht="12" customHeight="1" x14ac:dyDescent="0.25">
      <c r="A531" s="91" t="s">
        <v>16</v>
      </c>
      <c r="B531" s="32">
        <v>3</v>
      </c>
      <c r="C531" s="36">
        <v>1203939</v>
      </c>
      <c r="D531" s="52">
        <v>46132</v>
      </c>
      <c r="E531" s="32" t="s">
        <v>15</v>
      </c>
      <c r="F531" s="32" t="s">
        <v>44</v>
      </c>
      <c r="G531" s="61" t="s">
        <v>61</v>
      </c>
      <c r="H531" s="72" t="s">
        <v>47</v>
      </c>
      <c r="I531" s="72">
        <v>2</v>
      </c>
      <c r="J531" s="37" t="s">
        <v>31</v>
      </c>
      <c r="K531" s="37">
        <v>25</v>
      </c>
      <c r="L531" s="17">
        <v>1.7</v>
      </c>
      <c r="M531" s="19">
        <v>4.66</v>
      </c>
      <c r="N531" s="18">
        <f t="shared" si="276"/>
        <v>2.96</v>
      </c>
      <c r="O531" s="20" t="str">
        <f t="shared" si="308"/>
        <v>Reperfilado</v>
      </c>
    </row>
    <row r="532" spans="1:15" ht="12" customHeight="1" x14ac:dyDescent="0.25">
      <c r="A532" s="91" t="s">
        <v>16</v>
      </c>
      <c r="B532" s="32">
        <v>3</v>
      </c>
      <c r="C532" s="36">
        <v>1203939</v>
      </c>
      <c r="D532" s="52">
        <v>46132</v>
      </c>
      <c r="E532" s="32" t="s">
        <v>15</v>
      </c>
      <c r="F532" s="32" t="str">
        <f t="shared" ref="F532:I532" si="323">F531</f>
        <v>M22</v>
      </c>
      <c r="G532" s="61" t="str">
        <f t="shared" si="323"/>
        <v>307</v>
      </c>
      <c r="H532" s="72" t="str">
        <f t="shared" si="323"/>
        <v>C6</v>
      </c>
      <c r="I532" s="72">
        <f t="shared" si="323"/>
        <v>2</v>
      </c>
      <c r="J532" s="37" t="s">
        <v>32</v>
      </c>
      <c r="K532" s="37">
        <v>25</v>
      </c>
      <c r="L532" s="17">
        <v>1.27</v>
      </c>
      <c r="M532" s="19">
        <v>4.59</v>
      </c>
      <c r="N532" s="18">
        <f t="shared" si="276"/>
        <v>3.32</v>
      </c>
      <c r="O532" s="20" t="str">
        <f t="shared" si="308"/>
        <v>OK</v>
      </c>
    </row>
    <row r="533" spans="1:15" ht="12" customHeight="1" x14ac:dyDescent="0.25">
      <c r="A533" s="91" t="s">
        <v>16</v>
      </c>
      <c r="B533" s="32">
        <v>3</v>
      </c>
      <c r="C533" s="36">
        <v>1203939</v>
      </c>
      <c r="D533" s="52">
        <v>46132</v>
      </c>
      <c r="E533" s="32" t="s">
        <v>15</v>
      </c>
      <c r="F533" s="32" t="str">
        <f t="shared" ref="F533:I533" si="324">F532</f>
        <v>M22</v>
      </c>
      <c r="G533" s="61" t="str">
        <f t="shared" si="324"/>
        <v>307</v>
      </c>
      <c r="H533" s="72" t="str">
        <f t="shared" si="324"/>
        <v>C6</v>
      </c>
      <c r="I533" s="72">
        <f t="shared" si="324"/>
        <v>2</v>
      </c>
      <c r="J533" s="37" t="s">
        <v>33</v>
      </c>
      <c r="K533" s="37">
        <v>26</v>
      </c>
      <c r="L533" s="17">
        <v>1.0900000000000001</v>
      </c>
      <c r="M533" s="19">
        <v>4.1100000000000003</v>
      </c>
      <c r="N533" s="18">
        <f t="shared" si="276"/>
        <v>3.0200000000000005</v>
      </c>
      <c r="O533" s="20" t="str">
        <f t="shared" si="308"/>
        <v>OK</v>
      </c>
    </row>
    <row r="534" spans="1:15" ht="12" customHeight="1" x14ac:dyDescent="0.25">
      <c r="A534" s="91" t="s">
        <v>16</v>
      </c>
      <c r="B534" s="32">
        <v>3</v>
      </c>
      <c r="C534" s="36">
        <v>1203939</v>
      </c>
      <c r="D534" s="52">
        <v>46132</v>
      </c>
      <c r="E534" s="32" t="s">
        <v>15</v>
      </c>
      <c r="F534" s="32" t="str">
        <f t="shared" ref="F534:I534" si="325">F533</f>
        <v>M22</v>
      </c>
      <c r="G534" s="61" t="str">
        <f t="shared" si="325"/>
        <v>307</v>
      </c>
      <c r="H534" s="72" t="str">
        <f t="shared" si="325"/>
        <v>C6</v>
      </c>
      <c r="I534" s="72">
        <f t="shared" si="325"/>
        <v>2</v>
      </c>
      <c r="J534" s="37" t="s">
        <v>34</v>
      </c>
      <c r="K534" s="37">
        <v>26</v>
      </c>
      <c r="L534" s="17">
        <v>0.48</v>
      </c>
      <c r="M534" s="19">
        <v>4.97</v>
      </c>
      <c r="N534" s="18">
        <f t="shared" si="276"/>
        <v>4.49</v>
      </c>
      <c r="O534" s="20" t="str">
        <f t="shared" si="308"/>
        <v>OK</v>
      </c>
    </row>
    <row r="535" spans="1:15" ht="12" customHeight="1" x14ac:dyDescent="0.25">
      <c r="A535" s="91" t="s">
        <v>16</v>
      </c>
      <c r="B535" s="32">
        <v>3</v>
      </c>
      <c r="C535" s="36">
        <v>1203939</v>
      </c>
      <c r="D535" s="52">
        <v>46132</v>
      </c>
      <c r="E535" s="32" t="s">
        <v>15</v>
      </c>
      <c r="F535" s="32" t="str">
        <f t="shared" ref="F535:H535" si="326">F534</f>
        <v>M22</v>
      </c>
      <c r="G535" s="61" t="str">
        <f t="shared" si="326"/>
        <v>307</v>
      </c>
      <c r="H535" s="72" t="str">
        <f t="shared" si="326"/>
        <v>C6</v>
      </c>
      <c r="I535" s="72">
        <v>1</v>
      </c>
      <c r="J535" s="37" t="s">
        <v>35</v>
      </c>
      <c r="K535" s="37">
        <v>27</v>
      </c>
      <c r="L535" s="17">
        <v>0.7</v>
      </c>
      <c r="M535" s="19">
        <v>4.6399999999999997</v>
      </c>
      <c r="N535" s="18">
        <f t="shared" si="276"/>
        <v>3.9399999999999995</v>
      </c>
      <c r="O535" s="20" t="str">
        <f t="shared" si="308"/>
        <v>OK</v>
      </c>
    </row>
    <row r="536" spans="1:15" ht="12" customHeight="1" x14ac:dyDescent="0.25">
      <c r="A536" s="91" t="s">
        <v>16</v>
      </c>
      <c r="B536" s="32">
        <v>3</v>
      </c>
      <c r="C536" s="36">
        <v>1203939</v>
      </c>
      <c r="D536" s="52">
        <v>46132</v>
      </c>
      <c r="E536" s="32" t="s">
        <v>15</v>
      </c>
      <c r="F536" s="32" t="str">
        <f t="shared" ref="F536:H536" si="327">F535</f>
        <v>M22</v>
      </c>
      <c r="G536" s="61" t="str">
        <f t="shared" si="327"/>
        <v>307</v>
      </c>
      <c r="H536" s="72" t="str">
        <f t="shared" si="327"/>
        <v>C6</v>
      </c>
      <c r="I536" s="72">
        <f>I535</f>
        <v>1</v>
      </c>
      <c r="J536" s="37" t="s">
        <v>36</v>
      </c>
      <c r="K536" s="37">
        <v>27</v>
      </c>
      <c r="L536" s="17">
        <v>1.47</v>
      </c>
      <c r="M536" s="19">
        <v>4.87</v>
      </c>
      <c r="N536" s="18">
        <f t="shared" si="276"/>
        <v>3.4000000000000004</v>
      </c>
      <c r="O536" s="20" t="str">
        <f t="shared" si="308"/>
        <v>OK</v>
      </c>
    </row>
    <row r="537" spans="1:15" ht="12" customHeight="1" x14ac:dyDescent="0.25">
      <c r="A537" s="91" t="s">
        <v>16</v>
      </c>
      <c r="B537" s="32">
        <v>3</v>
      </c>
      <c r="C537" s="36">
        <v>1203939</v>
      </c>
      <c r="D537" s="52">
        <v>46132</v>
      </c>
      <c r="E537" s="32" t="s">
        <v>15</v>
      </c>
      <c r="F537" s="32" t="str">
        <f t="shared" ref="F537:H537" si="328">F536</f>
        <v>M22</v>
      </c>
      <c r="G537" s="61" t="str">
        <f t="shared" si="328"/>
        <v>307</v>
      </c>
      <c r="H537" s="72" t="str">
        <f t="shared" si="328"/>
        <v>C6</v>
      </c>
      <c r="I537" s="72">
        <f>I536</f>
        <v>1</v>
      </c>
      <c r="J537" s="37" t="s">
        <v>37</v>
      </c>
      <c r="K537" s="37">
        <v>28</v>
      </c>
      <c r="L537" s="17">
        <v>1.79</v>
      </c>
      <c r="M537" s="19">
        <v>4.8</v>
      </c>
      <c r="N537" s="18">
        <f t="shared" si="276"/>
        <v>3.01</v>
      </c>
      <c r="O537" s="20" t="str">
        <f t="shared" si="308"/>
        <v>Reperfilado</v>
      </c>
    </row>
    <row r="538" spans="1:15" ht="12" customHeight="1" x14ac:dyDescent="0.25">
      <c r="A538" s="91" t="s">
        <v>16</v>
      </c>
      <c r="B538" s="32">
        <v>3</v>
      </c>
      <c r="C538" s="36">
        <v>1203939</v>
      </c>
      <c r="D538" s="52">
        <v>46132</v>
      </c>
      <c r="E538" s="32" t="s">
        <v>15</v>
      </c>
      <c r="F538" s="32" t="str">
        <f t="shared" ref="F538:H538" si="329">F537</f>
        <v>M22</v>
      </c>
      <c r="G538" s="61" t="str">
        <f t="shared" si="329"/>
        <v>307</v>
      </c>
      <c r="H538" s="72" t="str">
        <f t="shared" si="329"/>
        <v>C6</v>
      </c>
      <c r="I538" s="72">
        <f>I537</f>
        <v>1</v>
      </c>
      <c r="J538" s="37" t="s">
        <v>38</v>
      </c>
      <c r="K538" s="37">
        <v>28</v>
      </c>
      <c r="L538" s="17">
        <v>1.24</v>
      </c>
      <c r="M538" s="19">
        <v>4.95</v>
      </c>
      <c r="N538" s="18">
        <f t="shared" si="276"/>
        <v>3.71</v>
      </c>
      <c r="O538" s="20" t="str">
        <f t="shared" si="308"/>
        <v>OK</v>
      </c>
    </row>
    <row r="539" spans="1:15" ht="12" customHeight="1" x14ac:dyDescent="0.25">
      <c r="A539" s="91" t="s">
        <v>16</v>
      </c>
      <c r="B539" s="32">
        <v>3</v>
      </c>
      <c r="C539" s="36">
        <v>1203939</v>
      </c>
      <c r="D539" s="52">
        <v>46132</v>
      </c>
      <c r="E539" s="32" t="s">
        <v>15</v>
      </c>
      <c r="F539" s="32" t="str">
        <f t="shared" ref="F539:G539" si="330">F538</f>
        <v>M22</v>
      </c>
      <c r="G539" s="61" t="str">
        <f t="shared" si="330"/>
        <v>307</v>
      </c>
      <c r="H539" s="72" t="s">
        <v>46</v>
      </c>
      <c r="I539" s="72">
        <v>2</v>
      </c>
      <c r="J539" s="37" t="s">
        <v>31</v>
      </c>
      <c r="K539" s="37">
        <v>29</v>
      </c>
      <c r="L539" s="17">
        <v>1.41</v>
      </c>
      <c r="M539" s="19">
        <v>4.41</v>
      </c>
      <c r="N539" s="18">
        <f t="shared" si="276"/>
        <v>3</v>
      </c>
      <c r="O539" s="20" t="str">
        <f t="shared" si="308"/>
        <v>OK</v>
      </c>
    </row>
    <row r="540" spans="1:15" ht="12" customHeight="1" x14ac:dyDescent="0.25">
      <c r="A540" s="91" t="s">
        <v>16</v>
      </c>
      <c r="B540" s="32">
        <v>3</v>
      </c>
      <c r="C540" s="36">
        <v>1203939</v>
      </c>
      <c r="D540" s="52">
        <v>46132</v>
      </c>
      <c r="E540" s="32" t="s">
        <v>15</v>
      </c>
      <c r="F540" s="32" t="str">
        <f t="shared" ref="F540:I540" si="331">F539</f>
        <v>M22</v>
      </c>
      <c r="G540" s="61" t="str">
        <f t="shared" si="331"/>
        <v>307</v>
      </c>
      <c r="H540" s="72" t="str">
        <f t="shared" si="331"/>
        <v>C5</v>
      </c>
      <c r="I540" s="72">
        <f t="shared" si="331"/>
        <v>2</v>
      </c>
      <c r="J540" s="37" t="s">
        <v>32</v>
      </c>
      <c r="K540" s="37">
        <v>29</v>
      </c>
      <c r="L540" s="17">
        <v>1.71</v>
      </c>
      <c r="M540" s="19">
        <v>4.54</v>
      </c>
      <c r="N540" s="18">
        <f t="shared" si="276"/>
        <v>2.83</v>
      </c>
      <c r="O540" s="20" t="str">
        <f t="shared" si="308"/>
        <v>Reperfilado</v>
      </c>
    </row>
    <row r="541" spans="1:15" ht="12" customHeight="1" x14ac:dyDescent="0.25">
      <c r="A541" s="91" t="s">
        <v>16</v>
      </c>
      <c r="B541" s="32">
        <v>3</v>
      </c>
      <c r="C541" s="36">
        <v>1203939</v>
      </c>
      <c r="D541" s="52">
        <v>46132</v>
      </c>
      <c r="E541" s="32" t="s">
        <v>15</v>
      </c>
      <c r="F541" s="32" t="str">
        <f t="shared" ref="F541:I541" si="332">F540</f>
        <v>M22</v>
      </c>
      <c r="G541" s="61" t="str">
        <f t="shared" si="332"/>
        <v>307</v>
      </c>
      <c r="H541" s="72" t="str">
        <f t="shared" si="332"/>
        <v>C5</v>
      </c>
      <c r="I541" s="72">
        <f t="shared" si="332"/>
        <v>2</v>
      </c>
      <c r="J541" s="37" t="s">
        <v>33</v>
      </c>
      <c r="K541" s="37">
        <v>30</v>
      </c>
      <c r="L541" s="17">
        <v>1.82</v>
      </c>
      <c r="M541" s="19">
        <v>4.71</v>
      </c>
      <c r="N541" s="18">
        <f t="shared" si="276"/>
        <v>2.8899999999999997</v>
      </c>
      <c r="O541" s="20" t="str">
        <f t="shared" si="308"/>
        <v>Reperfilado</v>
      </c>
    </row>
    <row r="542" spans="1:15" ht="12" customHeight="1" x14ac:dyDescent="0.25">
      <c r="A542" s="91" t="s">
        <v>16</v>
      </c>
      <c r="B542" s="32">
        <v>3</v>
      </c>
      <c r="C542" s="36">
        <v>1203939</v>
      </c>
      <c r="D542" s="52">
        <v>46132</v>
      </c>
      <c r="E542" s="32" t="s">
        <v>15</v>
      </c>
      <c r="F542" s="32" t="str">
        <f t="shared" ref="F542:I542" si="333">F541</f>
        <v>M22</v>
      </c>
      <c r="G542" s="61" t="str">
        <f t="shared" si="333"/>
        <v>307</v>
      </c>
      <c r="H542" s="72" t="str">
        <f t="shared" si="333"/>
        <v>C5</v>
      </c>
      <c r="I542" s="72">
        <f t="shared" si="333"/>
        <v>2</v>
      </c>
      <c r="J542" s="37" t="s">
        <v>34</v>
      </c>
      <c r="K542" s="37">
        <v>30</v>
      </c>
      <c r="L542" s="17">
        <v>0.72</v>
      </c>
      <c r="M542" s="19">
        <v>1.42</v>
      </c>
      <c r="N542" s="18">
        <f t="shared" si="276"/>
        <v>0.7</v>
      </c>
      <c r="O542" s="20" t="str">
        <f t="shared" si="308"/>
        <v>Seguimiento</v>
      </c>
    </row>
    <row r="543" spans="1:15" ht="12" customHeight="1" x14ac:dyDescent="0.25">
      <c r="A543" s="91" t="s">
        <v>16</v>
      </c>
      <c r="B543" s="32">
        <v>3</v>
      </c>
      <c r="C543" s="36">
        <v>1203939</v>
      </c>
      <c r="D543" s="52">
        <v>46132</v>
      </c>
      <c r="E543" s="32" t="s">
        <v>15</v>
      </c>
      <c r="F543" s="32" t="str">
        <f t="shared" ref="F543:G543" si="334">F542</f>
        <v>M22</v>
      </c>
      <c r="G543" s="61" t="str">
        <f t="shared" si="334"/>
        <v>307</v>
      </c>
      <c r="H543" s="72" t="str">
        <f>H542</f>
        <v>C5</v>
      </c>
      <c r="I543" s="72">
        <v>1</v>
      </c>
      <c r="J543" s="37" t="s">
        <v>35</v>
      </c>
      <c r="K543" s="37">
        <v>31</v>
      </c>
      <c r="L543" s="17">
        <v>0.23</v>
      </c>
      <c r="M543" s="19">
        <v>4.9400000000000004</v>
      </c>
      <c r="N543" s="18">
        <f t="shared" si="276"/>
        <v>4.71</v>
      </c>
      <c r="O543" s="20" t="str">
        <f t="shared" si="308"/>
        <v>OK</v>
      </c>
    </row>
    <row r="544" spans="1:15" ht="12" customHeight="1" x14ac:dyDescent="0.25">
      <c r="A544" s="91" t="s">
        <v>16</v>
      </c>
      <c r="B544" s="32">
        <v>3</v>
      </c>
      <c r="C544" s="36">
        <v>1203939</v>
      </c>
      <c r="D544" s="52">
        <v>46132</v>
      </c>
      <c r="E544" s="32" t="s">
        <v>15</v>
      </c>
      <c r="F544" s="32" t="str">
        <f t="shared" ref="F544:G544" si="335">F543</f>
        <v>M22</v>
      </c>
      <c r="G544" s="61" t="str">
        <f t="shared" si="335"/>
        <v>307</v>
      </c>
      <c r="H544" s="72" t="str">
        <f>H543</f>
        <v>C5</v>
      </c>
      <c r="I544" s="72">
        <f>I543</f>
        <v>1</v>
      </c>
      <c r="J544" s="37" t="s">
        <v>36</v>
      </c>
      <c r="K544" s="37">
        <v>31</v>
      </c>
      <c r="L544" s="17">
        <v>1.5</v>
      </c>
      <c r="M544" s="19">
        <v>4.71</v>
      </c>
      <c r="N544" s="18">
        <f t="shared" si="276"/>
        <v>3.21</v>
      </c>
      <c r="O544" s="20" t="str">
        <f t="shared" si="308"/>
        <v>OK</v>
      </c>
    </row>
    <row r="545" spans="1:15" ht="12" customHeight="1" x14ac:dyDescent="0.25">
      <c r="A545" s="91" t="s">
        <v>16</v>
      </c>
      <c r="B545" s="32">
        <v>3</v>
      </c>
      <c r="C545" s="36">
        <v>1203939</v>
      </c>
      <c r="D545" s="52">
        <v>46132</v>
      </c>
      <c r="E545" s="32" t="s">
        <v>15</v>
      </c>
      <c r="F545" s="32" t="str">
        <f t="shared" ref="F545:G545" si="336">F544</f>
        <v>M22</v>
      </c>
      <c r="G545" s="61" t="str">
        <f t="shared" si="336"/>
        <v>307</v>
      </c>
      <c r="H545" s="72" t="str">
        <f>H544</f>
        <v>C5</v>
      </c>
      <c r="I545" s="72">
        <f>I544</f>
        <v>1</v>
      </c>
      <c r="J545" s="37" t="s">
        <v>37</v>
      </c>
      <c r="K545" s="37">
        <v>32</v>
      </c>
      <c r="L545" s="17">
        <v>0.5</v>
      </c>
      <c r="M545" s="19">
        <v>1.1399999999999999</v>
      </c>
      <c r="N545" s="18">
        <f t="shared" si="276"/>
        <v>0.6399999999999999</v>
      </c>
      <c r="O545" s="20" t="str">
        <f t="shared" si="308"/>
        <v>Seguimiento</v>
      </c>
    </row>
    <row r="546" spans="1:15" ht="12" customHeight="1" x14ac:dyDescent="0.25">
      <c r="A546" s="91" t="s">
        <v>16</v>
      </c>
      <c r="B546" s="32">
        <v>3</v>
      </c>
      <c r="C546" s="36">
        <v>1203939</v>
      </c>
      <c r="D546" s="52">
        <v>46132</v>
      </c>
      <c r="E546" s="32" t="s">
        <v>15</v>
      </c>
      <c r="F546" s="32" t="str">
        <f t="shared" ref="F546:G546" si="337">F545</f>
        <v>M22</v>
      </c>
      <c r="G546" s="61" t="str">
        <f t="shared" si="337"/>
        <v>307</v>
      </c>
      <c r="H546" s="72" t="str">
        <f>H545</f>
        <v>C5</v>
      </c>
      <c r="I546" s="72">
        <f>I545</f>
        <v>1</v>
      </c>
      <c r="J546" s="37" t="s">
        <v>38</v>
      </c>
      <c r="K546" s="37">
        <v>32</v>
      </c>
      <c r="L546" s="17">
        <v>1.74</v>
      </c>
      <c r="M546" s="19">
        <v>3.68</v>
      </c>
      <c r="N546" s="18">
        <f t="shared" si="276"/>
        <v>1.9400000000000002</v>
      </c>
      <c r="O546" s="20" t="str">
        <f t="shared" si="308"/>
        <v>Reperfilado</v>
      </c>
    </row>
    <row r="547" spans="1:15" ht="12" customHeight="1" x14ac:dyDescent="0.25">
      <c r="A547" s="91" t="s">
        <v>16</v>
      </c>
      <c r="B547" s="32">
        <v>3</v>
      </c>
      <c r="C547" s="36">
        <v>1203939</v>
      </c>
      <c r="D547" s="52">
        <v>46132</v>
      </c>
      <c r="E547" s="32" t="s">
        <v>15</v>
      </c>
      <c r="F547" s="32" t="s">
        <v>40</v>
      </c>
      <c r="G547" s="61" t="s">
        <v>60</v>
      </c>
      <c r="H547" s="72" t="s">
        <v>43</v>
      </c>
      <c r="I547" s="72">
        <v>2</v>
      </c>
      <c r="J547" s="37" t="s">
        <v>31</v>
      </c>
      <c r="K547" s="37">
        <v>33</v>
      </c>
      <c r="L547" s="17">
        <v>1.18</v>
      </c>
      <c r="M547" s="19">
        <v>3.7</v>
      </c>
      <c r="N547" s="18">
        <f t="shared" ref="N547:N610" si="338">+M547-L547</f>
        <v>2.5200000000000005</v>
      </c>
      <c r="O547" s="20" t="str">
        <f t="shared" si="308"/>
        <v>OK</v>
      </c>
    </row>
    <row r="548" spans="1:15" ht="12" customHeight="1" x14ac:dyDescent="0.25">
      <c r="A548" s="91" t="s">
        <v>16</v>
      </c>
      <c r="B548" s="32">
        <v>3</v>
      </c>
      <c r="C548" s="36">
        <v>1203939</v>
      </c>
      <c r="D548" s="52">
        <v>46132</v>
      </c>
      <c r="E548" s="32" t="s">
        <v>15</v>
      </c>
      <c r="F548" s="32" t="str">
        <f t="shared" ref="F548:I548" si="339">F547</f>
        <v>M21</v>
      </c>
      <c r="G548" s="61" t="str">
        <f t="shared" si="339"/>
        <v>010</v>
      </c>
      <c r="H548" s="72" t="str">
        <f t="shared" si="339"/>
        <v>C4</v>
      </c>
      <c r="I548" s="72">
        <f t="shared" si="339"/>
        <v>2</v>
      </c>
      <c r="J548" s="37" t="s">
        <v>32</v>
      </c>
      <c r="K548" s="37">
        <v>33</v>
      </c>
      <c r="L548" s="17">
        <v>0.09</v>
      </c>
      <c r="M548" s="19">
        <v>2.41</v>
      </c>
      <c r="N548" s="18">
        <f t="shared" si="338"/>
        <v>2.3200000000000003</v>
      </c>
      <c r="O548" s="20" t="str">
        <f t="shared" si="308"/>
        <v>OK</v>
      </c>
    </row>
    <row r="549" spans="1:15" ht="12" customHeight="1" x14ac:dyDescent="0.25">
      <c r="A549" s="91" t="s">
        <v>16</v>
      </c>
      <c r="B549" s="32">
        <v>3</v>
      </c>
      <c r="C549" s="36">
        <v>1203939</v>
      </c>
      <c r="D549" s="52">
        <v>46132</v>
      </c>
      <c r="E549" s="32" t="s">
        <v>15</v>
      </c>
      <c r="F549" s="32" t="str">
        <f t="shared" ref="F549:I549" si="340">F548</f>
        <v>M21</v>
      </c>
      <c r="G549" s="61" t="str">
        <f t="shared" si="340"/>
        <v>010</v>
      </c>
      <c r="H549" s="72" t="str">
        <f t="shared" si="340"/>
        <v>C4</v>
      </c>
      <c r="I549" s="72">
        <f t="shared" si="340"/>
        <v>2</v>
      </c>
      <c r="J549" s="37" t="s">
        <v>33</v>
      </c>
      <c r="K549" s="37">
        <v>34</v>
      </c>
      <c r="L549" s="17">
        <v>0.22</v>
      </c>
      <c r="M549" s="19">
        <v>1.19</v>
      </c>
      <c r="N549" s="18">
        <f t="shared" si="338"/>
        <v>0.97</v>
      </c>
      <c r="O549" s="20" t="str">
        <f t="shared" si="308"/>
        <v>Seguimiento</v>
      </c>
    </row>
    <row r="550" spans="1:15" ht="12" customHeight="1" x14ac:dyDescent="0.25">
      <c r="A550" s="91" t="s">
        <v>16</v>
      </c>
      <c r="B550" s="32">
        <v>3</v>
      </c>
      <c r="C550" s="36">
        <v>1203939</v>
      </c>
      <c r="D550" s="52">
        <v>46132</v>
      </c>
      <c r="E550" s="32" t="s">
        <v>15</v>
      </c>
      <c r="F550" s="32" t="str">
        <f t="shared" ref="F550:I550" si="341">F549</f>
        <v>M21</v>
      </c>
      <c r="G550" s="61" t="str">
        <f t="shared" si="341"/>
        <v>010</v>
      </c>
      <c r="H550" s="72" t="str">
        <f t="shared" si="341"/>
        <v>C4</v>
      </c>
      <c r="I550" s="72">
        <f t="shared" si="341"/>
        <v>2</v>
      </c>
      <c r="J550" s="37" t="s">
        <v>34</v>
      </c>
      <c r="K550" s="37">
        <v>34</v>
      </c>
      <c r="L550" s="17">
        <v>1.1100000000000001</v>
      </c>
      <c r="M550" s="19">
        <v>3.32</v>
      </c>
      <c r="N550" s="18">
        <f t="shared" si="338"/>
        <v>2.21</v>
      </c>
      <c r="O550" s="20" t="str">
        <f t="shared" si="308"/>
        <v>OK</v>
      </c>
    </row>
    <row r="551" spans="1:15" ht="12" customHeight="1" x14ac:dyDescent="0.25">
      <c r="A551" s="91" t="s">
        <v>16</v>
      </c>
      <c r="B551" s="32">
        <v>3</v>
      </c>
      <c r="C551" s="36">
        <v>1203939</v>
      </c>
      <c r="D551" s="52">
        <v>46132</v>
      </c>
      <c r="E551" s="32" t="s">
        <v>15</v>
      </c>
      <c r="F551" s="32" t="str">
        <f t="shared" ref="F551:H551" si="342">F550</f>
        <v>M21</v>
      </c>
      <c r="G551" s="61" t="str">
        <f t="shared" si="342"/>
        <v>010</v>
      </c>
      <c r="H551" s="72" t="str">
        <f t="shared" si="342"/>
        <v>C4</v>
      </c>
      <c r="I551" s="72">
        <v>1</v>
      </c>
      <c r="J551" s="37" t="s">
        <v>35</v>
      </c>
      <c r="K551" s="37">
        <v>35</v>
      </c>
      <c r="L551" s="17">
        <v>0.38</v>
      </c>
      <c r="M551" s="19">
        <v>2.23</v>
      </c>
      <c r="N551" s="18">
        <f t="shared" si="338"/>
        <v>1.85</v>
      </c>
      <c r="O551" s="20" t="str">
        <f t="shared" si="308"/>
        <v>OK</v>
      </c>
    </row>
    <row r="552" spans="1:15" ht="12" customHeight="1" x14ac:dyDescent="0.25">
      <c r="A552" s="91" t="s">
        <v>16</v>
      </c>
      <c r="B552" s="32">
        <v>3</v>
      </c>
      <c r="C552" s="36">
        <v>1203939</v>
      </c>
      <c r="D552" s="52">
        <v>46132</v>
      </c>
      <c r="E552" s="32" t="s">
        <v>15</v>
      </c>
      <c r="F552" s="32" t="str">
        <f t="shared" ref="F552:H552" si="343">F551</f>
        <v>M21</v>
      </c>
      <c r="G552" s="61" t="str">
        <f t="shared" si="343"/>
        <v>010</v>
      </c>
      <c r="H552" s="72" t="str">
        <f t="shared" si="343"/>
        <v>C4</v>
      </c>
      <c r="I552" s="72">
        <f>I551</f>
        <v>1</v>
      </c>
      <c r="J552" s="37" t="s">
        <v>36</v>
      </c>
      <c r="K552" s="37">
        <v>35</v>
      </c>
      <c r="L552" s="17">
        <v>7.0000000000000007E-2</v>
      </c>
      <c r="M552" s="19">
        <v>4.42</v>
      </c>
      <c r="N552" s="18">
        <f t="shared" si="338"/>
        <v>4.3499999999999996</v>
      </c>
      <c r="O552" s="20" t="str">
        <f t="shared" si="308"/>
        <v>OK</v>
      </c>
    </row>
    <row r="553" spans="1:15" ht="12" customHeight="1" x14ac:dyDescent="0.25">
      <c r="A553" s="91" t="s">
        <v>16</v>
      </c>
      <c r="B553" s="32">
        <v>3</v>
      </c>
      <c r="C553" s="36">
        <v>1203939</v>
      </c>
      <c r="D553" s="52">
        <v>46132</v>
      </c>
      <c r="E553" s="32" t="s">
        <v>15</v>
      </c>
      <c r="F553" s="32" t="str">
        <f t="shared" ref="F553:H553" si="344">F552</f>
        <v>M21</v>
      </c>
      <c r="G553" s="61" t="str">
        <f t="shared" si="344"/>
        <v>010</v>
      </c>
      <c r="H553" s="72" t="str">
        <f t="shared" si="344"/>
        <v>C4</v>
      </c>
      <c r="I553" s="72">
        <f>I552</f>
        <v>1</v>
      </c>
      <c r="J553" s="37" t="s">
        <v>37</v>
      </c>
      <c r="K553" s="37">
        <v>36</v>
      </c>
      <c r="L553" s="17">
        <v>0.11</v>
      </c>
      <c r="M553" s="19">
        <v>2.2200000000000002</v>
      </c>
      <c r="N553" s="18">
        <f t="shared" si="338"/>
        <v>2.1100000000000003</v>
      </c>
      <c r="O553" s="20" t="str">
        <f t="shared" si="308"/>
        <v>OK</v>
      </c>
    </row>
    <row r="554" spans="1:15" ht="12" customHeight="1" x14ac:dyDescent="0.25">
      <c r="A554" s="91" t="s">
        <v>16</v>
      </c>
      <c r="B554" s="32">
        <v>3</v>
      </c>
      <c r="C554" s="36">
        <v>1203939</v>
      </c>
      <c r="D554" s="52">
        <v>46132</v>
      </c>
      <c r="E554" s="32" t="s">
        <v>15</v>
      </c>
      <c r="F554" s="32" t="str">
        <f t="shared" ref="F554:H554" si="345">F553</f>
        <v>M21</v>
      </c>
      <c r="G554" s="61" t="str">
        <f t="shared" si="345"/>
        <v>010</v>
      </c>
      <c r="H554" s="72" t="str">
        <f t="shared" si="345"/>
        <v>C4</v>
      </c>
      <c r="I554" s="72">
        <f>I553</f>
        <v>1</v>
      </c>
      <c r="J554" s="37" t="s">
        <v>38</v>
      </c>
      <c r="K554" s="37">
        <v>36</v>
      </c>
      <c r="L554" s="17">
        <v>0.61</v>
      </c>
      <c r="M554" s="19">
        <v>3.95</v>
      </c>
      <c r="N554" s="18">
        <f t="shared" si="338"/>
        <v>3.3400000000000003</v>
      </c>
      <c r="O554" s="20" t="str">
        <f t="shared" si="308"/>
        <v>OK</v>
      </c>
    </row>
    <row r="555" spans="1:15" ht="12" customHeight="1" x14ac:dyDescent="0.25">
      <c r="A555" s="91" t="s">
        <v>16</v>
      </c>
      <c r="B555" s="32">
        <v>3</v>
      </c>
      <c r="C555" s="36">
        <v>1203939</v>
      </c>
      <c r="D555" s="52">
        <v>46132</v>
      </c>
      <c r="E555" s="32" t="s">
        <v>15</v>
      </c>
      <c r="F555" s="32" t="str">
        <f t="shared" ref="F555:G555" si="346">F554</f>
        <v>M21</v>
      </c>
      <c r="G555" s="61" t="str">
        <f t="shared" si="346"/>
        <v>010</v>
      </c>
      <c r="H555" s="72" t="s">
        <v>42</v>
      </c>
      <c r="I555" s="72">
        <v>2</v>
      </c>
      <c r="J555" s="37" t="s">
        <v>31</v>
      </c>
      <c r="K555" s="37">
        <v>37</v>
      </c>
      <c r="L555" s="17">
        <v>0.82</v>
      </c>
      <c r="M555" s="19">
        <v>3.56</v>
      </c>
      <c r="N555" s="18">
        <f t="shared" si="338"/>
        <v>2.74</v>
      </c>
      <c r="O555" s="20" t="str">
        <f t="shared" si="308"/>
        <v>OK</v>
      </c>
    </row>
    <row r="556" spans="1:15" ht="12" customHeight="1" x14ac:dyDescent="0.25">
      <c r="A556" s="91" t="s">
        <v>16</v>
      </c>
      <c r="B556" s="32">
        <v>3</v>
      </c>
      <c r="C556" s="36">
        <v>1203939</v>
      </c>
      <c r="D556" s="52">
        <v>46132</v>
      </c>
      <c r="E556" s="32" t="s">
        <v>15</v>
      </c>
      <c r="F556" s="32" t="str">
        <f t="shared" ref="F556:I556" si="347">F555</f>
        <v>M21</v>
      </c>
      <c r="G556" s="61" t="str">
        <f t="shared" si="347"/>
        <v>010</v>
      </c>
      <c r="H556" s="72" t="str">
        <f t="shared" si="347"/>
        <v>C3</v>
      </c>
      <c r="I556" s="72">
        <f t="shared" si="347"/>
        <v>2</v>
      </c>
      <c r="J556" s="37" t="s">
        <v>32</v>
      </c>
      <c r="K556" s="37">
        <v>37</v>
      </c>
      <c r="L556" s="17">
        <v>0.51</v>
      </c>
      <c r="M556" s="19">
        <v>2.98</v>
      </c>
      <c r="N556" s="18">
        <f t="shared" si="338"/>
        <v>2.4699999999999998</v>
      </c>
      <c r="O556" s="20" t="str">
        <f t="shared" si="308"/>
        <v>OK</v>
      </c>
    </row>
    <row r="557" spans="1:15" ht="12" customHeight="1" x14ac:dyDescent="0.25">
      <c r="A557" s="91" t="s">
        <v>16</v>
      </c>
      <c r="B557" s="32">
        <v>3</v>
      </c>
      <c r="C557" s="36">
        <v>1203939</v>
      </c>
      <c r="D557" s="52">
        <v>46132</v>
      </c>
      <c r="E557" s="32" t="s">
        <v>15</v>
      </c>
      <c r="F557" s="32" t="str">
        <f t="shared" ref="F557:I557" si="348">F556</f>
        <v>M21</v>
      </c>
      <c r="G557" s="61" t="str">
        <f t="shared" si="348"/>
        <v>010</v>
      </c>
      <c r="H557" s="72" t="str">
        <f t="shared" si="348"/>
        <v>C3</v>
      </c>
      <c r="I557" s="72">
        <f t="shared" si="348"/>
        <v>2</v>
      </c>
      <c r="J557" s="37" t="s">
        <v>33</v>
      </c>
      <c r="K557" s="37">
        <v>38</v>
      </c>
      <c r="L557" s="17">
        <v>0.37</v>
      </c>
      <c r="M557" s="19">
        <v>2.1800000000000002</v>
      </c>
      <c r="N557" s="18">
        <f t="shared" si="338"/>
        <v>1.81</v>
      </c>
      <c r="O557" s="20" t="str">
        <f t="shared" si="308"/>
        <v>OK</v>
      </c>
    </row>
    <row r="558" spans="1:15" ht="12" customHeight="1" x14ac:dyDescent="0.25">
      <c r="A558" s="91" t="s">
        <v>16</v>
      </c>
      <c r="B558" s="32">
        <v>3</v>
      </c>
      <c r="C558" s="36">
        <v>1203939</v>
      </c>
      <c r="D558" s="52">
        <v>46132</v>
      </c>
      <c r="E558" s="32" t="s">
        <v>15</v>
      </c>
      <c r="F558" s="32" t="str">
        <f t="shared" ref="F558:I558" si="349">F557</f>
        <v>M21</v>
      </c>
      <c r="G558" s="61" t="str">
        <f t="shared" si="349"/>
        <v>010</v>
      </c>
      <c r="H558" s="72" t="str">
        <f t="shared" si="349"/>
        <v>C3</v>
      </c>
      <c r="I558" s="72">
        <f t="shared" si="349"/>
        <v>2</v>
      </c>
      <c r="J558" s="37" t="s">
        <v>34</v>
      </c>
      <c r="K558" s="37">
        <v>38</v>
      </c>
      <c r="L558" s="17">
        <v>0.17</v>
      </c>
      <c r="M558" s="19">
        <v>1.28</v>
      </c>
      <c r="N558" s="18">
        <f t="shared" si="338"/>
        <v>1.1100000000000001</v>
      </c>
      <c r="O558" s="20" t="str">
        <f t="shared" si="308"/>
        <v>OK</v>
      </c>
    </row>
    <row r="559" spans="1:15" ht="12" customHeight="1" x14ac:dyDescent="0.25">
      <c r="A559" s="91" t="s">
        <v>16</v>
      </c>
      <c r="B559" s="32">
        <v>3</v>
      </c>
      <c r="C559" s="36">
        <v>1203939</v>
      </c>
      <c r="D559" s="52">
        <v>46132</v>
      </c>
      <c r="E559" s="32" t="s">
        <v>15</v>
      </c>
      <c r="F559" s="32" t="str">
        <f t="shared" ref="F559:G559" si="350">F558</f>
        <v>M21</v>
      </c>
      <c r="G559" s="61" t="str">
        <f t="shared" si="350"/>
        <v>010</v>
      </c>
      <c r="H559" s="72" t="str">
        <f>H558</f>
        <v>C3</v>
      </c>
      <c r="I559" s="72">
        <v>1</v>
      </c>
      <c r="J559" s="37" t="s">
        <v>35</v>
      </c>
      <c r="K559" s="37">
        <v>39</v>
      </c>
      <c r="L559" s="17">
        <v>0.81</v>
      </c>
      <c r="M559" s="19">
        <v>2.42</v>
      </c>
      <c r="N559" s="18">
        <f t="shared" si="338"/>
        <v>1.6099999999999999</v>
      </c>
      <c r="O559" s="20" t="str">
        <f t="shared" si="308"/>
        <v>OK</v>
      </c>
    </row>
    <row r="560" spans="1:15" ht="12" customHeight="1" x14ac:dyDescent="0.25">
      <c r="A560" s="91" t="s">
        <v>16</v>
      </c>
      <c r="B560" s="32">
        <v>3</v>
      </c>
      <c r="C560" s="36">
        <v>1203939</v>
      </c>
      <c r="D560" s="52">
        <v>46132</v>
      </c>
      <c r="E560" s="32" t="s">
        <v>15</v>
      </c>
      <c r="F560" s="32" t="str">
        <f t="shared" ref="F560:G560" si="351">F559</f>
        <v>M21</v>
      </c>
      <c r="G560" s="61" t="str">
        <f t="shared" si="351"/>
        <v>010</v>
      </c>
      <c r="H560" s="72" t="str">
        <f>H559</f>
        <v>C3</v>
      </c>
      <c r="I560" s="72">
        <f>I559</f>
        <v>1</v>
      </c>
      <c r="J560" s="37" t="s">
        <v>36</v>
      </c>
      <c r="K560" s="37">
        <v>39</v>
      </c>
      <c r="L560" s="17">
        <v>0.49</v>
      </c>
      <c r="M560" s="19">
        <v>3.44</v>
      </c>
      <c r="N560" s="18">
        <f t="shared" si="338"/>
        <v>2.95</v>
      </c>
      <c r="O560" s="20" t="str">
        <f t="shared" si="308"/>
        <v>OK</v>
      </c>
    </row>
    <row r="561" spans="1:15" ht="12" customHeight="1" x14ac:dyDescent="0.25">
      <c r="A561" s="91" t="s">
        <v>16</v>
      </c>
      <c r="B561" s="32">
        <v>3</v>
      </c>
      <c r="C561" s="36">
        <v>1203939</v>
      </c>
      <c r="D561" s="52">
        <v>46132</v>
      </c>
      <c r="E561" s="32" t="s">
        <v>15</v>
      </c>
      <c r="F561" s="32" t="str">
        <f t="shared" ref="F561:G561" si="352">F560</f>
        <v>M21</v>
      </c>
      <c r="G561" s="61" t="str">
        <f t="shared" si="352"/>
        <v>010</v>
      </c>
      <c r="H561" s="72" t="str">
        <f>H560</f>
        <v>C3</v>
      </c>
      <c r="I561" s="72">
        <f>I560</f>
        <v>1</v>
      </c>
      <c r="J561" s="37" t="s">
        <v>37</v>
      </c>
      <c r="K561" s="37">
        <v>40</v>
      </c>
      <c r="L561" s="17">
        <v>0.12</v>
      </c>
      <c r="M561" s="19">
        <v>2.25</v>
      </c>
      <c r="N561" s="18">
        <f t="shared" si="338"/>
        <v>2.13</v>
      </c>
      <c r="O561" s="20" t="str">
        <f t="shared" si="308"/>
        <v>OK</v>
      </c>
    </row>
    <row r="562" spans="1:15" ht="12" customHeight="1" x14ac:dyDescent="0.25">
      <c r="A562" s="91" t="s">
        <v>16</v>
      </c>
      <c r="B562" s="32">
        <v>3</v>
      </c>
      <c r="C562" s="36">
        <v>1203939</v>
      </c>
      <c r="D562" s="52">
        <v>46132</v>
      </c>
      <c r="E562" s="32" t="s">
        <v>15</v>
      </c>
      <c r="F562" s="32" t="str">
        <f t="shared" ref="F562:G562" si="353">F561</f>
        <v>M21</v>
      </c>
      <c r="G562" s="61" t="str">
        <f t="shared" si="353"/>
        <v>010</v>
      </c>
      <c r="H562" s="72" t="str">
        <f>H561</f>
        <v>C3</v>
      </c>
      <c r="I562" s="72">
        <f>I561</f>
        <v>1</v>
      </c>
      <c r="J562" s="37" t="s">
        <v>38</v>
      </c>
      <c r="K562" s="37">
        <v>40</v>
      </c>
      <c r="L562" s="17">
        <v>0.13</v>
      </c>
      <c r="M562" s="19">
        <v>1.1299999999999999</v>
      </c>
      <c r="N562" s="18">
        <f t="shared" si="338"/>
        <v>0.99999999999999989</v>
      </c>
      <c r="O562" s="20" t="str">
        <f t="shared" si="308"/>
        <v>Seguimiento</v>
      </c>
    </row>
    <row r="563" spans="1:15" ht="12" customHeight="1" x14ac:dyDescent="0.25">
      <c r="A563" s="91" t="s">
        <v>16</v>
      </c>
      <c r="B563" s="32">
        <v>3</v>
      </c>
      <c r="C563" s="36">
        <v>1203939</v>
      </c>
      <c r="D563" s="52">
        <v>46132</v>
      </c>
      <c r="E563" s="32" t="s">
        <v>15</v>
      </c>
      <c r="F563" s="32" t="s">
        <v>28</v>
      </c>
      <c r="G563" s="61" t="s">
        <v>59</v>
      </c>
      <c r="H563" s="72" t="s">
        <v>39</v>
      </c>
      <c r="I563" s="72">
        <v>2</v>
      </c>
      <c r="J563" s="37" t="s">
        <v>31</v>
      </c>
      <c r="K563" s="37">
        <v>41</v>
      </c>
      <c r="L563" s="17">
        <v>1.1299999999999999</v>
      </c>
      <c r="M563" s="19">
        <v>2.62</v>
      </c>
      <c r="N563" s="18">
        <f t="shared" si="338"/>
        <v>1.4900000000000002</v>
      </c>
      <c r="O563" s="20" t="str">
        <f t="shared" si="308"/>
        <v>OK</v>
      </c>
    </row>
    <row r="564" spans="1:15" ht="12" customHeight="1" x14ac:dyDescent="0.25">
      <c r="A564" s="91" t="s">
        <v>16</v>
      </c>
      <c r="B564" s="32">
        <v>3</v>
      </c>
      <c r="C564" s="36">
        <v>1203939</v>
      </c>
      <c r="D564" s="52">
        <v>46132</v>
      </c>
      <c r="E564" s="32" t="s">
        <v>15</v>
      </c>
      <c r="F564" s="32" t="str">
        <f t="shared" ref="F564:I564" si="354">F563</f>
        <v>M20</v>
      </c>
      <c r="G564" s="61" t="str">
        <f t="shared" si="354"/>
        <v>009</v>
      </c>
      <c r="H564" s="72" t="str">
        <f t="shared" si="354"/>
        <v>C2</v>
      </c>
      <c r="I564" s="72">
        <f t="shared" si="354"/>
        <v>2</v>
      </c>
      <c r="J564" s="37" t="s">
        <v>32</v>
      </c>
      <c r="K564" s="37">
        <v>41</v>
      </c>
      <c r="L564" s="17">
        <v>0.1</v>
      </c>
      <c r="M564" s="19">
        <v>1.23</v>
      </c>
      <c r="N564" s="18">
        <f t="shared" si="338"/>
        <v>1.1299999999999999</v>
      </c>
      <c r="O564" s="20" t="str">
        <f t="shared" si="308"/>
        <v>OK</v>
      </c>
    </row>
    <row r="565" spans="1:15" ht="12" customHeight="1" x14ac:dyDescent="0.25">
      <c r="A565" s="91" t="s">
        <v>16</v>
      </c>
      <c r="B565" s="32">
        <v>3</v>
      </c>
      <c r="C565" s="36">
        <v>1203939</v>
      </c>
      <c r="D565" s="52">
        <v>46132</v>
      </c>
      <c r="E565" s="32" t="s">
        <v>15</v>
      </c>
      <c r="F565" s="32" t="str">
        <f t="shared" ref="F565:I565" si="355">F564</f>
        <v>M20</v>
      </c>
      <c r="G565" s="61" t="str">
        <f t="shared" si="355"/>
        <v>009</v>
      </c>
      <c r="H565" s="72" t="str">
        <f t="shared" si="355"/>
        <v>C2</v>
      </c>
      <c r="I565" s="72">
        <f t="shared" si="355"/>
        <v>2</v>
      </c>
      <c r="J565" s="37" t="s">
        <v>33</v>
      </c>
      <c r="K565" s="37">
        <v>42</v>
      </c>
      <c r="L565" s="17">
        <v>0.16</v>
      </c>
      <c r="M565" s="19">
        <v>1.69</v>
      </c>
      <c r="N565" s="18">
        <f t="shared" si="338"/>
        <v>1.53</v>
      </c>
      <c r="O565" s="20" t="str">
        <f t="shared" si="308"/>
        <v>OK</v>
      </c>
    </row>
    <row r="566" spans="1:15" ht="12" customHeight="1" x14ac:dyDescent="0.25">
      <c r="A566" s="91" t="s">
        <v>16</v>
      </c>
      <c r="B566" s="32">
        <v>3</v>
      </c>
      <c r="C566" s="36">
        <v>1203939</v>
      </c>
      <c r="D566" s="52">
        <v>46132</v>
      </c>
      <c r="E566" s="32" t="s">
        <v>15</v>
      </c>
      <c r="F566" s="32" t="str">
        <f t="shared" ref="F566:I566" si="356">F565</f>
        <v>M20</v>
      </c>
      <c r="G566" s="61" t="str">
        <f t="shared" si="356"/>
        <v>009</v>
      </c>
      <c r="H566" s="72" t="str">
        <f t="shared" si="356"/>
        <v>C2</v>
      </c>
      <c r="I566" s="72">
        <f t="shared" si="356"/>
        <v>2</v>
      </c>
      <c r="J566" s="37" t="s">
        <v>34</v>
      </c>
      <c r="K566" s="37">
        <v>42</v>
      </c>
      <c r="L566" s="17">
        <v>0.11</v>
      </c>
      <c r="M566" s="19">
        <v>4.46</v>
      </c>
      <c r="N566" s="18">
        <f t="shared" si="338"/>
        <v>4.3499999999999996</v>
      </c>
      <c r="O566" s="20" t="str">
        <f t="shared" si="308"/>
        <v>OK</v>
      </c>
    </row>
    <row r="567" spans="1:15" ht="12" customHeight="1" x14ac:dyDescent="0.25">
      <c r="A567" s="91" t="s">
        <v>16</v>
      </c>
      <c r="B567" s="32">
        <v>3</v>
      </c>
      <c r="C567" s="36">
        <v>1203939</v>
      </c>
      <c r="D567" s="52">
        <v>46132</v>
      </c>
      <c r="E567" s="32" t="s">
        <v>15</v>
      </c>
      <c r="F567" s="32" t="str">
        <f t="shared" ref="F567:H567" si="357">F566</f>
        <v>M20</v>
      </c>
      <c r="G567" s="61" t="str">
        <f t="shared" si="357"/>
        <v>009</v>
      </c>
      <c r="H567" s="72" t="str">
        <f t="shared" si="357"/>
        <v>C2</v>
      </c>
      <c r="I567" s="72">
        <v>1</v>
      </c>
      <c r="J567" s="37" t="s">
        <v>35</v>
      </c>
      <c r="K567" s="37">
        <v>43</v>
      </c>
      <c r="L567" s="17">
        <v>0.48</v>
      </c>
      <c r="M567" s="19">
        <v>4.07</v>
      </c>
      <c r="N567" s="18">
        <f t="shared" si="338"/>
        <v>3.5900000000000003</v>
      </c>
      <c r="O567" s="20" t="str">
        <f t="shared" si="308"/>
        <v>OK</v>
      </c>
    </row>
    <row r="568" spans="1:15" ht="12" customHeight="1" x14ac:dyDescent="0.25">
      <c r="A568" s="91" t="s">
        <v>16</v>
      </c>
      <c r="B568" s="32">
        <v>3</v>
      </c>
      <c r="C568" s="36">
        <v>1203939</v>
      </c>
      <c r="D568" s="52">
        <v>46132</v>
      </c>
      <c r="E568" s="32" t="s">
        <v>15</v>
      </c>
      <c r="F568" s="32" t="str">
        <f t="shared" ref="F568:H568" si="358">F567</f>
        <v>M20</v>
      </c>
      <c r="G568" s="61" t="str">
        <f t="shared" si="358"/>
        <v>009</v>
      </c>
      <c r="H568" s="72" t="str">
        <f t="shared" si="358"/>
        <v>C2</v>
      </c>
      <c r="I568" s="72">
        <f>I567</f>
        <v>1</v>
      </c>
      <c r="J568" s="37" t="s">
        <v>36</v>
      </c>
      <c r="K568" s="37">
        <v>43</v>
      </c>
      <c r="L568" s="17">
        <v>0.37</v>
      </c>
      <c r="M568" s="19">
        <v>2.0299999999999998</v>
      </c>
      <c r="N568" s="18">
        <f t="shared" si="338"/>
        <v>1.6599999999999997</v>
      </c>
      <c r="O568" s="20" t="str">
        <f t="shared" si="308"/>
        <v>OK</v>
      </c>
    </row>
    <row r="569" spans="1:15" ht="12" customHeight="1" x14ac:dyDescent="0.25">
      <c r="A569" s="91" t="s">
        <v>16</v>
      </c>
      <c r="B569" s="32">
        <v>3</v>
      </c>
      <c r="C569" s="36">
        <v>1203939</v>
      </c>
      <c r="D569" s="52">
        <v>46132</v>
      </c>
      <c r="E569" s="32" t="s">
        <v>15</v>
      </c>
      <c r="F569" s="32" t="str">
        <f t="shared" ref="F569:H569" si="359">F568</f>
        <v>M20</v>
      </c>
      <c r="G569" s="61" t="str">
        <f t="shared" si="359"/>
        <v>009</v>
      </c>
      <c r="H569" s="72" t="str">
        <f t="shared" si="359"/>
        <v>C2</v>
      </c>
      <c r="I569" s="72">
        <f>I568</f>
        <v>1</v>
      </c>
      <c r="J569" s="37" t="s">
        <v>37</v>
      </c>
      <c r="K569" s="37">
        <v>44</v>
      </c>
      <c r="L569" s="17">
        <v>0.32</v>
      </c>
      <c r="M569" s="19">
        <v>2.2000000000000002</v>
      </c>
      <c r="N569" s="18">
        <f t="shared" si="338"/>
        <v>1.8800000000000001</v>
      </c>
      <c r="O569" s="20" t="str">
        <f t="shared" si="308"/>
        <v>OK</v>
      </c>
    </row>
    <row r="570" spans="1:15" ht="12" customHeight="1" x14ac:dyDescent="0.25">
      <c r="A570" s="91" t="s">
        <v>16</v>
      </c>
      <c r="B570" s="32">
        <v>3</v>
      </c>
      <c r="C570" s="36">
        <v>1203939</v>
      </c>
      <c r="D570" s="52">
        <v>46132</v>
      </c>
      <c r="E570" s="32" t="s">
        <v>15</v>
      </c>
      <c r="F570" s="32" t="str">
        <f t="shared" ref="F570:H570" si="360">F569</f>
        <v>M20</v>
      </c>
      <c r="G570" s="61" t="str">
        <f t="shared" si="360"/>
        <v>009</v>
      </c>
      <c r="H570" s="72" t="str">
        <f t="shared" si="360"/>
        <v>C2</v>
      </c>
      <c r="I570" s="72">
        <f>I569</f>
        <v>1</v>
      </c>
      <c r="J570" s="37" t="s">
        <v>38</v>
      </c>
      <c r="K570" s="37">
        <v>44</v>
      </c>
      <c r="L570" s="17">
        <v>0.4</v>
      </c>
      <c r="M570" s="19">
        <v>2.86</v>
      </c>
      <c r="N570" s="18">
        <f t="shared" si="338"/>
        <v>2.46</v>
      </c>
      <c r="O570" s="20" t="str">
        <f t="shared" si="308"/>
        <v>OK</v>
      </c>
    </row>
    <row r="571" spans="1:15" ht="12" customHeight="1" x14ac:dyDescent="0.25">
      <c r="A571" s="91" t="s">
        <v>16</v>
      </c>
      <c r="B571" s="32">
        <v>3</v>
      </c>
      <c r="C571" s="36">
        <v>1203939</v>
      </c>
      <c r="D571" s="52">
        <v>46132</v>
      </c>
      <c r="E571" s="32" t="s">
        <v>15</v>
      </c>
      <c r="F571" s="32" t="str">
        <f t="shared" ref="F571:G571" si="361">F570</f>
        <v>M20</v>
      </c>
      <c r="G571" s="61" t="str">
        <f t="shared" si="361"/>
        <v>009</v>
      </c>
      <c r="H571" s="72" t="s">
        <v>30</v>
      </c>
      <c r="I571" s="72">
        <v>2</v>
      </c>
      <c r="J571" s="37" t="s">
        <v>31</v>
      </c>
      <c r="K571" s="37">
        <v>45</v>
      </c>
      <c r="L571" s="17">
        <v>0.41</v>
      </c>
      <c r="M571" s="19">
        <v>4.2300000000000004</v>
      </c>
      <c r="N571" s="18">
        <f t="shared" si="338"/>
        <v>3.8200000000000003</v>
      </c>
      <c r="O571" s="20" t="str">
        <f t="shared" si="308"/>
        <v>OK</v>
      </c>
    </row>
    <row r="572" spans="1:15" ht="12" customHeight="1" x14ac:dyDescent="0.25">
      <c r="A572" s="91" t="s">
        <v>16</v>
      </c>
      <c r="B572" s="32">
        <v>3</v>
      </c>
      <c r="C572" s="36">
        <v>1203939</v>
      </c>
      <c r="D572" s="52">
        <v>46132</v>
      </c>
      <c r="E572" s="32" t="s">
        <v>15</v>
      </c>
      <c r="F572" s="32" t="str">
        <f t="shared" ref="F572:I572" si="362">F571</f>
        <v>M20</v>
      </c>
      <c r="G572" s="61" t="str">
        <f t="shared" si="362"/>
        <v>009</v>
      </c>
      <c r="H572" s="72" t="str">
        <f t="shared" si="362"/>
        <v>C1</v>
      </c>
      <c r="I572" s="72">
        <f t="shared" si="362"/>
        <v>2</v>
      </c>
      <c r="J572" s="37" t="s">
        <v>32</v>
      </c>
      <c r="K572" s="37">
        <v>45</v>
      </c>
      <c r="L572" s="17">
        <v>0.11</v>
      </c>
      <c r="M572" s="19">
        <v>5.05</v>
      </c>
      <c r="N572" s="18">
        <f t="shared" si="338"/>
        <v>4.9399999999999995</v>
      </c>
      <c r="O572" s="20" t="str">
        <f t="shared" si="308"/>
        <v>OK</v>
      </c>
    </row>
    <row r="573" spans="1:15" ht="12" customHeight="1" x14ac:dyDescent="0.25">
      <c r="A573" s="91" t="s">
        <v>16</v>
      </c>
      <c r="B573" s="32">
        <v>3</v>
      </c>
      <c r="C573" s="36">
        <v>1203939</v>
      </c>
      <c r="D573" s="52">
        <v>46132</v>
      </c>
      <c r="E573" s="32" t="s">
        <v>15</v>
      </c>
      <c r="F573" s="32" t="str">
        <f t="shared" ref="F573:I573" si="363">F572</f>
        <v>M20</v>
      </c>
      <c r="G573" s="61" t="str">
        <f t="shared" si="363"/>
        <v>009</v>
      </c>
      <c r="H573" s="72" t="str">
        <f t="shared" si="363"/>
        <v>C1</v>
      </c>
      <c r="I573" s="72">
        <f t="shared" si="363"/>
        <v>2</v>
      </c>
      <c r="J573" s="37" t="s">
        <v>33</v>
      </c>
      <c r="K573" s="37">
        <v>46</v>
      </c>
      <c r="L573" s="17">
        <v>0.74</v>
      </c>
      <c r="M573" s="19">
        <v>2.4900000000000002</v>
      </c>
      <c r="N573" s="18">
        <f t="shared" si="338"/>
        <v>1.7500000000000002</v>
      </c>
      <c r="O573" s="20" t="str">
        <f t="shared" si="308"/>
        <v>OK</v>
      </c>
    </row>
    <row r="574" spans="1:15" ht="12" customHeight="1" x14ac:dyDescent="0.25">
      <c r="A574" s="91" t="s">
        <v>16</v>
      </c>
      <c r="B574" s="32">
        <v>3</v>
      </c>
      <c r="C574" s="36">
        <v>1203939</v>
      </c>
      <c r="D574" s="52">
        <v>46132</v>
      </c>
      <c r="E574" s="32" t="s">
        <v>15</v>
      </c>
      <c r="F574" s="32" t="str">
        <f t="shared" ref="F574:I574" si="364">F573</f>
        <v>M20</v>
      </c>
      <c r="G574" s="61" t="str">
        <f t="shared" si="364"/>
        <v>009</v>
      </c>
      <c r="H574" s="72" t="str">
        <f t="shared" si="364"/>
        <v>C1</v>
      </c>
      <c r="I574" s="72">
        <f t="shared" si="364"/>
        <v>2</v>
      </c>
      <c r="J574" s="37" t="s">
        <v>34</v>
      </c>
      <c r="K574" s="37">
        <v>46</v>
      </c>
      <c r="L574" s="17">
        <v>1.17</v>
      </c>
      <c r="M574" s="19">
        <v>3.03</v>
      </c>
      <c r="N574" s="18">
        <f t="shared" si="338"/>
        <v>1.8599999999999999</v>
      </c>
      <c r="O574" s="20" t="str">
        <f t="shared" si="308"/>
        <v>OK</v>
      </c>
    </row>
    <row r="575" spans="1:15" ht="12" customHeight="1" x14ac:dyDescent="0.25">
      <c r="A575" s="91" t="s">
        <v>16</v>
      </c>
      <c r="B575" s="32">
        <v>3</v>
      </c>
      <c r="C575" s="36">
        <v>1203939</v>
      </c>
      <c r="D575" s="52">
        <v>46132</v>
      </c>
      <c r="E575" s="32" t="s">
        <v>15</v>
      </c>
      <c r="F575" s="32" t="str">
        <f t="shared" ref="F575:G575" si="365">F574</f>
        <v>M20</v>
      </c>
      <c r="G575" s="61" t="str">
        <f t="shared" si="365"/>
        <v>009</v>
      </c>
      <c r="H575" s="72" t="str">
        <f>H574</f>
        <v>C1</v>
      </c>
      <c r="I575" s="72">
        <v>1</v>
      </c>
      <c r="J575" s="37" t="s">
        <v>35</v>
      </c>
      <c r="K575" s="37">
        <v>47</v>
      </c>
      <c r="L575" s="17">
        <v>0.09</v>
      </c>
      <c r="M575" s="19">
        <v>4.82</v>
      </c>
      <c r="N575" s="18">
        <f t="shared" si="338"/>
        <v>4.7300000000000004</v>
      </c>
      <c r="O575" s="20" t="str">
        <f t="shared" si="308"/>
        <v>OK</v>
      </c>
    </row>
    <row r="576" spans="1:15" ht="12" customHeight="1" x14ac:dyDescent="0.25">
      <c r="A576" s="91" t="s">
        <v>16</v>
      </c>
      <c r="B576" s="32">
        <v>3</v>
      </c>
      <c r="C576" s="36">
        <v>1203939</v>
      </c>
      <c r="D576" s="52">
        <v>46132</v>
      </c>
      <c r="E576" s="32" t="s">
        <v>15</v>
      </c>
      <c r="F576" s="32" t="str">
        <f t="shared" ref="F576:G576" si="366">F575</f>
        <v>M20</v>
      </c>
      <c r="G576" s="61" t="str">
        <f t="shared" si="366"/>
        <v>009</v>
      </c>
      <c r="H576" s="72" t="str">
        <f>H575</f>
        <v>C1</v>
      </c>
      <c r="I576" s="72">
        <f>I575</f>
        <v>1</v>
      </c>
      <c r="J576" s="37" t="s">
        <v>36</v>
      </c>
      <c r="K576" s="37">
        <v>47</v>
      </c>
      <c r="L576" s="17">
        <v>0.03</v>
      </c>
      <c r="M576" s="19">
        <v>2.99</v>
      </c>
      <c r="N576" s="18">
        <f t="shared" si="338"/>
        <v>2.9600000000000004</v>
      </c>
      <c r="O576" s="20" t="str">
        <f t="shared" si="308"/>
        <v>OK</v>
      </c>
    </row>
    <row r="577" spans="1:15" ht="12" customHeight="1" x14ac:dyDescent="0.25">
      <c r="A577" s="111" t="s">
        <v>16</v>
      </c>
      <c r="B577" s="43">
        <v>3</v>
      </c>
      <c r="C577" s="42">
        <v>1203939</v>
      </c>
      <c r="D577" s="87">
        <v>46132</v>
      </c>
      <c r="E577" s="43" t="s">
        <v>15</v>
      </c>
      <c r="F577" s="43" t="str">
        <f t="shared" ref="F577:G577" si="367">F576</f>
        <v>M20</v>
      </c>
      <c r="G577" s="112" t="str">
        <f t="shared" si="367"/>
        <v>009</v>
      </c>
      <c r="H577" s="113" t="str">
        <f>H576</f>
        <v>C1</v>
      </c>
      <c r="I577" s="113">
        <f>I576</f>
        <v>1</v>
      </c>
      <c r="J577" s="46" t="s">
        <v>37</v>
      </c>
      <c r="K577" s="46">
        <v>48</v>
      </c>
      <c r="L577" s="23">
        <v>0.2</v>
      </c>
      <c r="M577" s="24">
        <v>3.5</v>
      </c>
      <c r="N577" s="47">
        <f t="shared" si="338"/>
        <v>3.3</v>
      </c>
      <c r="O577" s="20" t="str">
        <f t="shared" si="308"/>
        <v>OK</v>
      </c>
    </row>
    <row r="578" spans="1:15" ht="12" customHeight="1" x14ac:dyDescent="0.25">
      <c r="A578" s="54" t="s">
        <v>16</v>
      </c>
      <c r="B578" s="32">
        <v>3</v>
      </c>
      <c r="C578" s="32">
        <v>1203939</v>
      </c>
      <c r="D578" s="39">
        <v>46132</v>
      </c>
      <c r="E578" s="32" t="s">
        <v>15</v>
      </c>
      <c r="F578" s="32" t="str">
        <f t="shared" ref="F578:G578" si="368">F577</f>
        <v>M20</v>
      </c>
      <c r="G578" s="61" t="str">
        <f t="shared" si="368"/>
        <v>009</v>
      </c>
      <c r="H578" s="72" t="str">
        <f>H577</f>
        <v>C1</v>
      </c>
      <c r="I578" s="72">
        <f>I577</f>
        <v>1</v>
      </c>
      <c r="J578" s="37" t="s">
        <v>38</v>
      </c>
      <c r="K578" s="37">
        <v>48</v>
      </c>
      <c r="L578" s="26">
        <v>0.57999999999999996</v>
      </c>
      <c r="M578" s="26">
        <v>3.02</v>
      </c>
      <c r="N578" s="29">
        <f t="shared" si="338"/>
        <v>2.44</v>
      </c>
      <c r="O578" s="20" t="str">
        <f t="shared" si="308"/>
        <v>OK</v>
      </c>
    </row>
    <row r="579" spans="1:15" ht="12" customHeight="1" x14ac:dyDescent="0.25">
      <c r="A579" s="91" t="s">
        <v>16</v>
      </c>
      <c r="B579" s="32">
        <v>3</v>
      </c>
      <c r="C579" s="36">
        <v>1208372</v>
      </c>
      <c r="D579" s="52">
        <v>46206</v>
      </c>
      <c r="E579" s="32" t="s">
        <v>15</v>
      </c>
      <c r="F579" s="32" t="s">
        <v>28</v>
      </c>
      <c r="G579" s="61" t="s">
        <v>64</v>
      </c>
      <c r="H579" s="72" t="s">
        <v>30</v>
      </c>
      <c r="I579" s="72">
        <v>1</v>
      </c>
      <c r="J579" s="37" t="s">
        <v>31</v>
      </c>
      <c r="K579" s="37">
        <v>1</v>
      </c>
      <c r="L579" s="17">
        <v>0.39</v>
      </c>
      <c r="M579" s="19">
        <v>1.76</v>
      </c>
      <c r="N579" s="18">
        <f t="shared" si="338"/>
        <v>1.37</v>
      </c>
      <c r="O579" s="20" t="str">
        <f t="shared" si="308"/>
        <v>OK</v>
      </c>
    </row>
    <row r="580" spans="1:15" ht="12" customHeight="1" x14ac:dyDescent="0.25">
      <c r="A580" s="91" t="s">
        <v>16</v>
      </c>
      <c r="B580" s="32">
        <v>3</v>
      </c>
      <c r="C580" s="36">
        <v>1208372</v>
      </c>
      <c r="D580" s="52">
        <v>46206</v>
      </c>
      <c r="E580" s="32" t="s">
        <v>15</v>
      </c>
      <c r="F580" s="32" t="str">
        <f t="shared" ref="F580:I580" si="369">F579</f>
        <v>M20</v>
      </c>
      <c r="G580" s="61" t="str">
        <f t="shared" si="369"/>
        <v>011</v>
      </c>
      <c r="H580" s="72" t="str">
        <f t="shared" si="369"/>
        <v>C1</v>
      </c>
      <c r="I580" s="72">
        <f t="shared" si="369"/>
        <v>1</v>
      </c>
      <c r="J580" s="37" t="s">
        <v>32</v>
      </c>
      <c r="K580" s="37">
        <v>1</v>
      </c>
      <c r="L580" s="17">
        <v>0.9</v>
      </c>
      <c r="M580" s="19">
        <v>3.77</v>
      </c>
      <c r="N580" s="18">
        <f t="shared" si="338"/>
        <v>2.87</v>
      </c>
      <c r="O580" s="20" t="str">
        <f t="shared" ref="O580:O643" si="370">IF(N580&lt;=0,"Critico",IF(N580&lt;=0.2,"Cambio",IF(N580&lt;=1,"Seguimiento",IF(L580&gt;=1.7,"Reperfilado","OK"))))</f>
        <v>OK</v>
      </c>
    </row>
    <row r="581" spans="1:15" ht="12" customHeight="1" x14ac:dyDescent="0.25">
      <c r="A581" s="91" t="s">
        <v>16</v>
      </c>
      <c r="B581" s="32">
        <v>3</v>
      </c>
      <c r="C581" s="36">
        <v>1208372</v>
      </c>
      <c r="D581" s="52">
        <v>46206</v>
      </c>
      <c r="E581" s="32" t="s">
        <v>15</v>
      </c>
      <c r="F581" s="32" t="str">
        <f t="shared" ref="F581:I581" si="371">F580</f>
        <v>M20</v>
      </c>
      <c r="G581" s="61" t="str">
        <f t="shared" si="371"/>
        <v>011</v>
      </c>
      <c r="H581" s="72" t="str">
        <f t="shared" si="371"/>
        <v>C1</v>
      </c>
      <c r="I581" s="72">
        <f t="shared" si="371"/>
        <v>1</v>
      </c>
      <c r="J581" s="37" t="s">
        <v>33</v>
      </c>
      <c r="K581" s="37">
        <v>2</v>
      </c>
      <c r="L581" s="17">
        <v>1.2</v>
      </c>
      <c r="M581" s="19">
        <v>1.54</v>
      </c>
      <c r="N581" s="18">
        <f t="shared" si="338"/>
        <v>0.34000000000000008</v>
      </c>
      <c r="O581" s="20" t="str">
        <f t="shared" si="370"/>
        <v>Seguimiento</v>
      </c>
    </row>
    <row r="582" spans="1:15" ht="12" customHeight="1" x14ac:dyDescent="0.25">
      <c r="A582" s="91" t="s">
        <v>16</v>
      </c>
      <c r="B582" s="32">
        <v>3</v>
      </c>
      <c r="C582" s="36">
        <v>1208372</v>
      </c>
      <c r="D582" s="52">
        <v>46206</v>
      </c>
      <c r="E582" s="32" t="s">
        <v>15</v>
      </c>
      <c r="F582" s="32" t="str">
        <f t="shared" ref="F582:I582" si="372">F581</f>
        <v>M20</v>
      </c>
      <c r="G582" s="61" t="str">
        <f t="shared" si="372"/>
        <v>011</v>
      </c>
      <c r="H582" s="72" t="str">
        <f t="shared" si="372"/>
        <v>C1</v>
      </c>
      <c r="I582" s="72">
        <f t="shared" si="372"/>
        <v>1</v>
      </c>
      <c r="J582" s="37" t="s">
        <v>34</v>
      </c>
      <c r="K582" s="37">
        <v>2</v>
      </c>
      <c r="L582" s="17">
        <v>0.87</v>
      </c>
      <c r="M582" s="19">
        <v>2.9</v>
      </c>
      <c r="N582" s="18">
        <f t="shared" si="338"/>
        <v>2.0299999999999998</v>
      </c>
      <c r="O582" s="20" t="str">
        <f t="shared" si="370"/>
        <v>OK</v>
      </c>
    </row>
    <row r="583" spans="1:15" ht="12" customHeight="1" x14ac:dyDescent="0.25">
      <c r="A583" s="91" t="s">
        <v>16</v>
      </c>
      <c r="B583" s="32">
        <v>3</v>
      </c>
      <c r="C583" s="36">
        <v>1208372</v>
      </c>
      <c r="D583" s="52">
        <v>46206</v>
      </c>
      <c r="E583" s="32" t="s">
        <v>15</v>
      </c>
      <c r="F583" s="32" t="str">
        <f t="shared" ref="F583:H583" si="373">F582</f>
        <v>M20</v>
      </c>
      <c r="G583" s="61" t="str">
        <f t="shared" si="373"/>
        <v>011</v>
      </c>
      <c r="H583" s="72" t="str">
        <f t="shared" si="373"/>
        <v>C1</v>
      </c>
      <c r="I583" s="72">
        <v>2</v>
      </c>
      <c r="J583" s="37" t="s">
        <v>35</v>
      </c>
      <c r="K583" s="37">
        <v>3</v>
      </c>
      <c r="L583" s="17">
        <v>0.56999999999999995</v>
      </c>
      <c r="M583" s="19">
        <v>1.52</v>
      </c>
      <c r="N583" s="18">
        <f t="shared" si="338"/>
        <v>0.95000000000000007</v>
      </c>
      <c r="O583" s="20" t="str">
        <f t="shared" si="370"/>
        <v>Seguimiento</v>
      </c>
    </row>
    <row r="584" spans="1:15" ht="12" customHeight="1" x14ac:dyDescent="0.25">
      <c r="A584" s="91" t="s">
        <v>16</v>
      </c>
      <c r="B584" s="32">
        <v>3</v>
      </c>
      <c r="C584" s="36">
        <v>1208372</v>
      </c>
      <c r="D584" s="52">
        <v>46206</v>
      </c>
      <c r="E584" s="32" t="s">
        <v>15</v>
      </c>
      <c r="F584" s="32" t="str">
        <f t="shared" ref="F584:H584" si="374">F583</f>
        <v>M20</v>
      </c>
      <c r="G584" s="61" t="str">
        <f t="shared" si="374"/>
        <v>011</v>
      </c>
      <c r="H584" s="72" t="str">
        <f t="shared" si="374"/>
        <v>C1</v>
      </c>
      <c r="I584" s="72">
        <f>I583</f>
        <v>2</v>
      </c>
      <c r="J584" s="37" t="s">
        <v>36</v>
      </c>
      <c r="K584" s="37">
        <v>3</v>
      </c>
      <c r="L584" s="17">
        <v>0.43</v>
      </c>
      <c r="M584" s="19">
        <v>2.23</v>
      </c>
      <c r="N584" s="18">
        <f t="shared" si="338"/>
        <v>1.8</v>
      </c>
      <c r="O584" s="20" t="str">
        <f t="shared" si="370"/>
        <v>OK</v>
      </c>
    </row>
    <row r="585" spans="1:15" ht="12" customHeight="1" x14ac:dyDescent="0.25">
      <c r="A585" s="91" t="s">
        <v>16</v>
      </c>
      <c r="B585" s="32">
        <v>3</v>
      </c>
      <c r="C585" s="36">
        <v>1208372</v>
      </c>
      <c r="D585" s="52">
        <v>46206</v>
      </c>
      <c r="E585" s="32" t="s">
        <v>15</v>
      </c>
      <c r="F585" s="32" t="str">
        <f t="shared" ref="F585:H585" si="375">F584</f>
        <v>M20</v>
      </c>
      <c r="G585" s="61" t="str">
        <f t="shared" si="375"/>
        <v>011</v>
      </c>
      <c r="H585" s="72" t="str">
        <f t="shared" si="375"/>
        <v>C1</v>
      </c>
      <c r="I585" s="72">
        <f>I584</f>
        <v>2</v>
      </c>
      <c r="J585" s="37" t="s">
        <v>37</v>
      </c>
      <c r="K585" s="37">
        <v>4</v>
      </c>
      <c r="L585" s="17">
        <v>1.69</v>
      </c>
      <c r="M585" s="19">
        <v>2.78</v>
      </c>
      <c r="N585" s="18">
        <f t="shared" si="338"/>
        <v>1.0899999999999999</v>
      </c>
      <c r="O585" s="20" t="str">
        <f t="shared" si="370"/>
        <v>OK</v>
      </c>
    </row>
    <row r="586" spans="1:15" ht="12" customHeight="1" x14ac:dyDescent="0.25">
      <c r="A586" s="91" t="s">
        <v>16</v>
      </c>
      <c r="B586" s="32">
        <v>3</v>
      </c>
      <c r="C586" s="36">
        <v>1208372</v>
      </c>
      <c r="D586" s="52">
        <v>46206</v>
      </c>
      <c r="E586" s="32" t="s">
        <v>15</v>
      </c>
      <c r="F586" s="32" t="str">
        <f t="shared" ref="F586:H586" si="376">F585</f>
        <v>M20</v>
      </c>
      <c r="G586" s="61" t="str">
        <f t="shared" si="376"/>
        <v>011</v>
      </c>
      <c r="H586" s="72" t="str">
        <f t="shared" si="376"/>
        <v>C1</v>
      </c>
      <c r="I586" s="72">
        <f>I585</f>
        <v>2</v>
      </c>
      <c r="J586" s="37" t="s">
        <v>38</v>
      </c>
      <c r="K586" s="37">
        <v>4</v>
      </c>
      <c r="L586" s="17">
        <v>0.18</v>
      </c>
      <c r="M586" s="19">
        <v>5.01</v>
      </c>
      <c r="N586" s="18">
        <f t="shared" si="338"/>
        <v>4.83</v>
      </c>
      <c r="O586" s="20" t="str">
        <f t="shared" si="370"/>
        <v>OK</v>
      </c>
    </row>
    <row r="587" spans="1:15" ht="12" customHeight="1" x14ac:dyDescent="0.25">
      <c r="A587" s="91" t="s">
        <v>16</v>
      </c>
      <c r="B587" s="32">
        <v>3</v>
      </c>
      <c r="C587" s="36">
        <v>1208372</v>
      </c>
      <c r="D587" s="52">
        <v>46206</v>
      </c>
      <c r="E587" s="32" t="s">
        <v>15</v>
      </c>
      <c r="F587" s="32" t="str">
        <f t="shared" ref="F587:G587" si="377">F586</f>
        <v>M20</v>
      </c>
      <c r="G587" s="61" t="str">
        <f t="shared" si="377"/>
        <v>011</v>
      </c>
      <c r="H587" s="72" t="s">
        <v>39</v>
      </c>
      <c r="I587" s="72">
        <v>1</v>
      </c>
      <c r="J587" s="37" t="s">
        <v>31</v>
      </c>
      <c r="K587" s="37">
        <v>5</v>
      </c>
      <c r="L587" s="17">
        <v>0.62</v>
      </c>
      <c r="M587" s="19">
        <v>2.85</v>
      </c>
      <c r="N587" s="18">
        <f t="shared" si="338"/>
        <v>2.23</v>
      </c>
      <c r="O587" s="20" t="str">
        <f t="shared" si="370"/>
        <v>OK</v>
      </c>
    </row>
    <row r="588" spans="1:15" ht="12" customHeight="1" x14ac:dyDescent="0.25">
      <c r="A588" s="91" t="s">
        <v>16</v>
      </c>
      <c r="B588" s="32">
        <v>3</v>
      </c>
      <c r="C588" s="36">
        <v>1208372</v>
      </c>
      <c r="D588" s="52">
        <v>46206</v>
      </c>
      <c r="E588" s="32" t="s">
        <v>15</v>
      </c>
      <c r="F588" s="32" t="str">
        <f t="shared" ref="F588:I588" si="378">F587</f>
        <v>M20</v>
      </c>
      <c r="G588" s="61" t="str">
        <f t="shared" si="378"/>
        <v>011</v>
      </c>
      <c r="H588" s="72" t="str">
        <f t="shared" si="378"/>
        <v>C2</v>
      </c>
      <c r="I588" s="72">
        <f t="shared" si="378"/>
        <v>1</v>
      </c>
      <c r="J588" s="37" t="s">
        <v>32</v>
      </c>
      <c r="K588" s="37">
        <v>5</v>
      </c>
      <c r="L588" s="17">
        <v>0.84</v>
      </c>
      <c r="M588" s="19">
        <v>2.76</v>
      </c>
      <c r="N588" s="18">
        <f t="shared" si="338"/>
        <v>1.92</v>
      </c>
      <c r="O588" s="20" t="str">
        <f t="shared" si="370"/>
        <v>OK</v>
      </c>
    </row>
    <row r="589" spans="1:15" ht="12" customHeight="1" x14ac:dyDescent="0.25">
      <c r="A589" s="91" t="s">
        <v>16</v>
      </c>
      <c r="B589" s="32">
        <v>3</v>
      </c>
      <c r="C589" s="36">
        <v>1208372</v>
      </c>
      <c r="D589" s="52">
        <v>46206</v>
      </c>
      <c r="E589" s="32" t="s">
        <v>15</v>
      </c>
      <c r="F589" s="32" t="str">
        <f t="shared" ref="F589:I589" si="379">F588</f>
        <v>M20</v>
      </c>
      <c r="G589" s="61" t="str">
        <f t="shared" si="379"/>
        <v>011</v>
      </c>
      <c r="H589" s="72" t="str">
        <f t="shared" si="379"/>
        <v>C2</v>
      </c>
      <c r="I589" s="72">
        <f t="shared" si="379"/>
        <v>1</v>
      </c>
      <c r="J589" s="37" t="s">
        <v>33</v>
      </c>
      <c r="K589" s="37">
        <v>6</v>
      </c>
      <c r="L589" s="17">
        <v>1.1299999999999999</v>
      </c>
      <c r="M589" s="19">
        <v>4.21</v>
      </c>
      <c r="N589" s="18">
        <f t="shared" si="338"/>
        <v>3.08</v>
      </c>
      <c r="O589" s="20" t="str">
        <f t="shared" si="370"/>
        <v>OK</v>
      </c>
    </row>
    <row r="590" spans="1:15" ht="12" customHeight="1" x14ac:dyDescent="0.25">
      <c r="A590" s="91" t="s">
        <v>16</v>
      </c>
      <c r="B590" s="32">
        <v>3</v>
      </c>
      <c r="C590" s="36">
        <v>1208372</v>
      </c>
      <c r="D590" s="52">
        <v>46206</v>
      </c>
      <c r="E590" s="32" t="s">
        <v>15</v>
      </c>
      <c r="F590" s="32" t="str">
        <f t="shared" ref="F590:I590" si="380">F589</f>
        <v>M20</v>
      </c>
      <c r="G590" s="61" t="str">
        <f t="shared" si="380"/>
        <v>011</v>
      </c>
      <c r="H590" s="72" t="str">
        <f t="shared" si="380"/>
        <v>C2</v>
      </c>
      <c r="I590" s="72">
        <f t="shared" si="380"/>
        <v>1</v>
      </c>
      <c r="J590" s="37" t="s">
        <v>34</v>
      </c>
      <c r="K590" s="37">
        <v>6</v>
      </c>
      <c r="L590" s="17">
        <v>0.44</v>
      </c>
      <c r="M590" s="19">
        <v>5</v>
      </c>
      <c r="N590" s="18">
        <f t="shared" si="338"/>
        <v>4.5599999999999996</v>
      </c>
      <c r="O590" s="20" t="str">
        <f t="shared" si="370"/>
        <v>OK</v>
      </c>
    </row>
    <row r="591" spans="1:15" ht="12" customHeight="1" x14ac:dyDescent="0.25">
      <c r="A591" s="91" t="s">
        <v>16</v>
      </c>
      <c r="B591" s="32">
        <v>3</v>
      </c>
      <c r="C591" s="36">
        <v>1208372</v>
      </c>
      <c r="D591" s="52">
        <v>46206</v>
      </c>
      <c r="E591" s="32" t="s">
        <v>15</v>
      </c>
      <c r="F591" s="32" t="str">
        <f t="shared" ref="F591:G591" si="381">F590</f>
        <v>M20</v>
      </c>
      <c r="G591" s="61" t="str">
        <f t="shared" si="381"/>
        <v>011</v>
      </c>
      <c r="H591" s="72" t="str">
        <f>H590</f>
        <v>C2</v>
      </c>
      <c r="I591" s="72">
        <v>2</v>
      </c>
      <c r="J591" s="37" t="s">
        <v>35</v>
      </c>
      <c r="K591" s="37">
        <v>7</v>
      </c>
      <c r="L591" s="17">
        <v>0.65</v>
      </c>
      <c r="M591" s="19">
        <v>3.36</v>
      </c>
      <c r="N591" s="18">
        <f t="shared" si="338"/>
        <v>2.71</v>
      </c>
      <c r="O591" s="20" t="str">
        <f t="shared" si="370"/>
        <v>OK</v>
      </c>
    </row>
    <row r="592" spans="1:15" ht="12" customHeight="1" x14ac:dyDescent="0.25">
      <c r="A592" s="91" t="s">
        <v>16</v>
      </c>
      <c r="B592" s="32">
        <v>3</v>
      </c>
      <c r="C592" s="36">
        <v>1208372</v>
      </c>
      <c r="D592" s="52">
        <v>46206</v>
      </c>
      <c r="E592" s="32" t="s">
        <v>15</v>
      </c>
      <c r="F592" s="32" t="str">
        <f t="shared" ref="F592:G592" si="382">F591</f>
        <v>M20</v>
      </c>
      <c r="G592" s="61" t="str">
        <f t="shared" si="382"/>
        <v>011</v>
      </c>
      <c r="H592" s="72" t="str">
        <f>H591</f>
        <v>C2</v>
      </c>
      <c r="I592" s="72">
        <f>I591</f>
        <v>2</v>
      </c>
      <c r="J592" s="37" t="s">
        <v>36</v>
      </c>
      <c r="K592" s="37">
        <v>7</v>
      </c>
      <c r="L592" s="17">
        <v>0.95</v>
      </c>
      <c r="M592" s="19">
        <v>1.92</v>
      </c>
      <c r="N592" s="18">
        <f t="shared" si="338"/>
        <v>0.97</v>
      </c>
      <c r="O592" s="20" t="str">
        <f t="shared" si="370"/>
        <v>Seguimiento</v>
      </c>
    </row>
    <row r="593" spans="1:15" ht="12" customHeight="1" x14ac:dyDescent="0.25">
      <c r="A593" s="91" t="s">
        <v>16</v>
      </c>
      <c r="B593" s="32">
        <v>3</v>
      </c>
      <c r="C593" s="36">
        <v>1208372</v>
      </c>
      <c r="D593" s="52">
        <v>46206</v>
      </c>
      <c r="E593" s="32" t="s">
        <v>15</v>
      </c>
      <c r="F593" s="32" t="str">
        <f t="shared" ref="F593:G593" si="383">F592</f>
        <v>M20</v>
      </c>
      <c r="G593" s="61" t="str">
        <f t="shared" si="383"/>
        <v>011</v>
      </c>
      <c r="H593" s="72" t="str">
        <f>H592</f>
        <v>C2</v>
      </c>
      <c r="I593" s="72">
        <f>I592</f>
        <v>2</v>
      </c>
      <c r="J593" s="37" t="s">
        <v>37</v>
      </c>
      <c r="K593" s="37">
        <v>8</v>
      </c>
      <c r="L593" s="17">
        <v>0.43</v>
      </c>
      <c r="M593" s="19">
        <v>2.54</v>
      </c>
      <c r="N593" s="18">
        <f t="shared" si="338"/>
        <v>2.11</v>
      </c>
      <c r="O593" s="20" t="str">
        <f t="shared" si="370"/>
        <v>OK</v>
      </c>
    </row>
    <row r="594" spans="1:15" ht="12" customHeight="1" x14ac:dyDescent="0.25">
      <c r="A594" s="91" t="s">
        <v>16</v>
      </c>
      <c r="B594" s="32">
        <v>3</v>
      </c>
      <c r="C594" s="36">
        <v>1208372</v>
      </c>
      <c r="D594" s="52">
        <v>46206</v>
      </c>
      <c r="E594" s="32" t="s">
        <v>15</v>
      </c>
      <c r="F594" s="32" t="str">
        <f t="shared" ref="F594:G594" si="384">F593</f>
        <v>M20</v>
      </c>
      <c r="G594" s="61" t="str">
        <f t="shared" si="384"/>
        <v>011</v>
      </c>
      <c r="H594" s="72" t="str">
        <f>H593</f>
        <v>C2</v>
      </c>
      <c r="I594" s="72">
        <f>I593</f>
        <v>2</v>
      </c>
      <c r="J594" s="37" t="s">
        <v>38</v>
      </c>
      <c r="K594" s="37">
        <v>8</v>
      </c>
      <c r="L594" s="17">
        <v>0.73</v>
      </c>
      <c r="M594" s="19">
        <v>2.61</v>
      </c>
      <c r="N594" s="18">
        <f t="shared" si="338"/>
        <v>1.88</v>
      </c>
      <c r="O594" s="20" t="str">
        <f t="shared" si="370"/>
        <v>OK</v>
      </c>
    </row>
    <row r="595" spans="1:15" ht="12" customHeight="1" x14ac:dyDescent="0.25">
      <c r="A595" s="91" t="s">
        <v>16</v>
      </c>
      <c r="B595" s="32">
        <v>3</v>
      </c>
      <c r="C595" s="36">
        <v>1208372</v>
      </c>
      <c r="D595" s="52">
        <v>46206</v>
      </c>
      <c r="E595" s="32" t="s">
        <v>15</v>
      </c>
      <c r="F595" s="32" t="s">
        <v>40</v>
      </c>
      <c r="G595" s="61" t="s">
        <v>63</v>
      </c>
      <c r="H595" s="72" t="s">
        <v>42</v>
      </c>
      <c r="I595" s="72">
        <v>1</v>
      </c>
      <c r="J595" s="37" t="s">
        <v>31</v>
      </c>
      <c r="K595" s="37">
        <v>9</v>
      </c>
      <c r="L595" s="17">
        <v>1.63</v>
      </c>
      <c r="M595" s="19">
        <v>4.21</v>
      </c>
      <c r="N595" s="18">
        <f t="shared" si="338"/>
        <v>2.58</v>
      </c>
      <c r="O595" s="20" t="str">
        <f t="shared" si="370"/>
        <v>OK</v>
      </c>
    </row>
    <row r="596" spans="1:15" ht="12" customHeight="1" x14ac:dyDescent="0.25">
      <c r="A596" s="91" t="s">
        <v>16</v>
      </c>
      <c r="B596" s="32">
        <v>3</v>
      </c>
      <c r="C596" s="36">
        <v>1208372</v>
      </c>
      <c r="D596" s="52">
        <v>46206</v>
      </c>
      <c r="E596" s="32" t="s">
        <v>15</v>
      </c>
      <c r="F596" s="32" t="str">
        <f t="shared" ref="F596:I596" si="385">F595</f>
        <v>M21</v>
      </c>
      <c r="G596" s="61" t="str">
        <f t="shared" si="385"/>
        <v>012</v>
      </c>
      <c r="H596" s="72" t="str">
        <f t="shared" si="385"/>
        <v>C3</v>
      </c>
      <c r="I596" s="72">
        <f t="shared" si="385"/>
        <v>1</v>
      </c>
      <c r="J596" s="37" t="s">
        <v>32</v>
      </c>
      <c r="K596" s="37">
        <v>9</v>
      </c>
      <c r="L596" s="17">
        <v>0.15</v>
      </c>
      <c r="M596" s="19">
        <v>4.84</v>
      </c>
      <c r="N596" s="18">
        <f t="shared" si="338"/>
        <v>4.6899999999999995</v>
      </c>
      <c r="O596" s="20" t="str">
        <f t="shared" si="370"/>
        <v>OK</v>
      </c>
    </row>
    <row r="597" spans="1:15" ht="12" customHeight="1" x14ac:dyDescent="0.25">
      <c r="A597" s="91" t="s">
        <v>16</v>
      </c>
      <c r="B597" s="32">
        <v>3</v>
      </c>
      <c r="C597" s="36">
        <v>1208372</v>
      </c>
      <c r="D597" s="52">
        <v>46206</v>
      </c>
      <c r="E597" s="32" t="s">
        <v>15</v>
      </c>
      <c r="F597" s="32" t="str">
        <f t="shared" ref="F597:I597" si="386">F596</f>
        <v>M21</v>
      </c>
      <c r="G597" s="61" t="str">
        <f t="shared" si="386"/>
        <v>012</v>
      </c>
      <c r="H597" s="72" t="str">
        <f t="shared" si="386"/>
        <v>C3</v>
      </c>
      <c r="I597" s="72">
        <f t="shared" si="386"/>
        <v>1</v>
      </c>
      <c r="J597" s="37" t="s">
        <v>33</v>
      </c>
      <c r="K597" s="37">
        <v>10</v>
      </c>
      <c r="L597" s="17">
        <v>1.03</v>
      </c>
      <c r="M597" s="19">
        <v>4.05</v>
      </c>
      <c r="N597" s="18">
        <f t="shared" si="338"/>
        <v>3.0199999999999996</v>
      </c>
      <c r="O597" s="20" t="str">
        <f t="shared" si="370"/>
        <v>OK</v>
      </c>
    </row>
    <row r="598" spans="1:15" ht="12" customHeight="1" x14ac:dyDescent="0.25">
      <c r="A598" s="91" t="s">
        <v>16</v>
      </c>
      <c r="B598" s="32">
        <v>3</v>
      </c>
      <c r="C598" s="36">
        <v>1208372</v>
      </c>
      <c r="D598" s="52">
        <v>46206</v>
      </c>
      <c r="E598" s="32" t="s">
        <v>15</v>
      </c>
      <c r="F598" s="32" t="str">
        <f t="shared" ref="F598:I598" si="387">F597</f>
        <v>M21</v>
      </c>
      <c r="G598" s="61" t="str">
        <f t="shared" si="387"/>
        <v>012</v>
      </c>
      <c r="H598" s="72" t="str">
        <f t="shared" si="387"/>
        <v>C3</v>
      </c>
      <c r="I598" s="72">
        <f t="shared" si="387"/>
        <v>1</v>
      </c>
      <c r="J598" s="37" t="s">
        <v>34</v>
      </c>
      <c r="K598" s="37">
        <v>10</v>
      </c>
      <c r="L598" s="17">
        <v>1.0900000000000001</v>
      </c>
      <c r="M598" s="19">
        <v>3.27</v>
      </c>
      <c r="N598" s="18">
        <f t="shared" si="338"/>
        <v>2.1799999999999997</v>
      </c>
      <c r="O598" s="20" t="str">
        <f t="shared" si="370"/>
        <v>OK</v>
      </c>
    </row>
    <row r="599" spans="1:15" ht="12" customHeight="1" x14ac:dyDescent="0.25">
      <c r="A599" s="91" t="s">
        <v>16</v>
      </c>
      <c r="B599" s="32">
        <v>3</v>
      </c>
      <c r="C599" s="36">
        <v>1208372</v>
      </c>
      <c r="D599" s="52">
        <v>46206</v>
      </c>
      <c r="E599" s="32" t="s">
        <v>15</v>
      </c>
      <c r="F599" s="32" t="str">
        <f t="shared" ref="F599:H599" si="388">F598</f>
        <v>M21</v>
      </c>
      <c r="G599" s="61" t="str">
        <f t="shared" si="388"/>
        <v>012</v>
      </c>
      <c r="H599" s="72" t="str">
        <f t="shared" si="388"/>
        <v>C3</v>
      </c>
      <c r="I599" s="72">
        <v>2</v>
      </c>
      <c r="J599" s="37" t="s">
        <v>35</v>
      </c>
      <c r="K599" s="37">
        <v>11</v>
      </c>
      <c r="L599" s="17">
        <v>1.06</v>
      </c>
      <c r="M599" s="19">
        <v>4.4400000000000004</v>
      </c>
      <c r="N599" s="18">
        <f t="shared" si="338"/>
        <v>3.3800000000000003</v>
      </c>
      <c r="O599" s="20" t="str">
        <f t="shared" si="370"/>
        <v>OK</v>
      </c>
    </row>
    <row r="600" spans="1:15" ht="12" customHeight="1" x14ac:dyDescent="0.25">
      <c r="A600" s="91" t="s">
        <v>16</v>
      </c>
      <c r="B600" s="32">
        <v>3</v>
      </c>
      <c r="C600" s="36">
        <v>1208372</v>
      </c>
      <c r="D600" s="52">
        <v>46206</v>
      </c>
      <c r="E600" s="32" t="s">
        <v>15</v>
      </c>
      <c r="F600" s="32" t="str">
        <f t="shared" ref="F600:H600" si="389">F599</f>
        <v>M21</v>
      </c>
      <c r="G600" s="61" t="str">
        <f t="shared" si="389"/>
        <v>012</v>
      </c>
      <c r="H600" s="72" t="str">
        <f t="shared" si="389"/>
        <v>C3</v>
      </c>
      <c r="I600" s="72">
        <f>I599</f>
        <v>2</v>
      </c>
      <c r="J600" s="37" t="s">
        <v>36</v>
      </c>
      <c r="K600" s="37">
        <v>11</v>
      </c>
      <c r="L600" s="17">
        <v>0.06</v>
      </c>
      <c r="M600" s="19">
        <v>5.0199999999999996</v>
      </c>
      <c r="N600" s="18">
        <f t="shared" si="338"/>
        <v>4.96</v>
      </c>
      <c r="O600" s="20" t="str">
        <f t="shared" si="370"/>
        <v>OK</v>
      </c>
    </row>
    <row r="601" spans="1:15" ht="12" customHeight="1" x14ac:dyDescent="0.25">
      <c r="A601" s="91" t="s">
        <v>16</v>
      </c>
      <c r="B601" s="32">
        <v>3</v>
      </c>
      <c r="C601" s="36">
        <v>1208372</v>
      </c>
      <c r="D601" s="52">
        <v>46206</v>
      </c>
      <c r="E601" s="32" t="s">
        <v>15</v>
      </c>
      <c r="F601" s="32" t="str">
        <f t="shared" ref="F601:H601" si="390">F600</f>
        <v>M21</v>
      </c>
      <c r="G601" s="61" t="str">
        <f t="shared" si="390"/>
        <v>012</v>
      </c>
      <c r="H601" s="72" t="str">
        <f t="shared" si="390"/>
        <v>C3</v>
      </c>
      <c r="I601" s="72">
        <f>I600</f>
        <v>2</v>
      </c>
      <c r="J601" s="37" t="s">
        <v>37</v>
      </c>
      <c r="K601" s="37">
        <v>12</v>
      </c>
      <c r="L601" s="17">
        <v>1.67</v>
      </c>
      <c r="M601" s="19">
        <v>3.92</v>
      </c>
      <c r="N601" s="18">
        <f t="shared" si="338"/>
        <v>2.25</v>
      </c>
      <c r="O601" s="20" t="str">
        <f t="shared" si="370"/>
        <v>OK</v>
      </c>
    </row>
    <row r="602" spans="1:15" ht="12" customHeight="1" x14ac:dyDescent="0.25">
      <c r="A602" s="91" t="s">
        <v>16</v>
      </c>
      <c r="B602" s="32">
        <v>3</v>
      </c>
      <c r="C602" s="36">
        <v>1208372</v>
      </c>
      <c r="D602" s="52">
        <v>46206</v>
      </c>
      <c r="E602" s="32" t="s">
        <v>15</v>
      </c>
      <c r="F602" s="32" t="str">
        <f t="shared" ref="F602:H602" si="391">F601</f>
        <v>M21</v>
      </c>
      <c r="G602" s="61" t="str">
        <f t="shared" si="391"/>
        <v>012</v>
      </c>
      <c r="H602" s="72" t="str">
        <f t="shared" si="391"/>
        <v>C3</v>
      </c>
      <c r="I602" s="72">
        <f>I601</f>
        <v>2</v>
      </c>
      <c r="J602" s="37" t="s">
        <v>38</v>
      </c>
      <c r="K602" s="37">
        <v>12</v>
      </c>
      <c r="L602" s="17">
        <v>0.68</v>
      </c>
      <c r="M602" s="19">
        <v>4.4400000000000004</v>
      </c>
      <c r="N602" s="18">
        <f t="shared" si="338"/>
        <v>3.7600000000000002</v>
      </c>
      <c r="O602" s="20" t="str">
        <f t="shared" si="370"/>
        <v>OK</v>
      </c>
    </row>
    <row r="603" spans="1:15" ht="12" customHeight="1" x14ac:dyDescent="0.25">
      <c r="A603" s="91" t="s">
        <v>16</v>
      </c>
      <c r="B603" s="32">
        <v>3</v>
      </c>
      <c r="C603" s="36">
        <v>1208372</v>
      </c>
      <c r="D603" s="52">
        <v>46206</v>
      </c>
      <c r="E603" s="32" t="s">
        <v>15</v>
      </c>
      <c r="F603" s="32" t="str">
        <f t="shared" ref="F603:G603" si="392">F602</f>
        <v>M21</v>
      </c>
      <c r="G603" s="61" t="str">
        <f t="shared" si="392"/>
        <v>012</v>
      </c>
      <c r="H603" s="72" t="s">
        <v>43</v>
      </c>
      <c r="I603" s="72">
        <v>1</v>
      </c>
      <c r="J603" s="37" t="s">
        <v>31</v>
      </c>
      <c r="K603" s="37">
        <v>13</v>
      </c>
      <c r="L603" s="17">
        <v>0.39</v>
      </c>
      <c r="M603" s="19">
        <v>4.5</v>
      </c>
      <c r="N603" s="18">
        <f t="shared" si="338"/>
        <v>4.1100000000000003</v>
      </c>
      <c r="O603" s="20" t="str">
        <f t="shared" si="370"/>
        <v>OK</v>
      </c>
    </row>
    <row r="604" spans="1:15" ht="12" customHeight="1" x14ac:dyDescent="0.25">
      <c r="A604" s="91" t="s">
        <v>16</v>
      </c>
      <c r="B604" s="32">
        <v>3</v>
      </c>
      <c r="C604" s="36">
        <v>1208372</v>
      </c>
      <c r="D604" s="52">
        <v>46206</v>
      </c>
      <c r="E604" s="32" t="s">
        <v>15</v>
      </c>
      <c r="F604" s="32" t="str">
        <f t="shared" ref="F604:I604" si="393">F603</f>
        <v>M21</v>
      </c>
      <c r="G604" s="61" t="str">
        <f t="shared" si="393"/>
        <v>012</v>
      </c>
      <c r="H604" s="72" t="str">
        <f t="shared" si="393"/>
        <v>C4</v>
      </c>
      <c r="I604" s="72">
        <f t="shared" si="393"/>
        <v>1</v>
      </c>
      <c r="J604" s="37" t="s">
        <v>32</v>
      </c>
      <c r="K604" s="37">
        <v>13</v>
      </c>
      <c r="L604" s="17">
        <v>0.15</v>
      </c>
      <c r="M604" s="19">
        <v>4.71</v>
      </c>
      <c r="N604" s="18">
        <f t="shared" si="338"/>
        <v>4.5599999999999996</v>
      </c>
      <c r="O604" s="20" t="str">
        <f t="shared" si="370"/>
        <v>OK</v>
      </c>
    </row>
    <row r="605" spans="1:15" ht="12" customHeight="1" x14ac:dyDescent="0.25">
      <c r="A605" s="91" t="s">
        <v>16</v>
      </c>
      <c r="B605" s="32">
        <v>3</v>
      </c>
      <c r="C605" s="36">
        <v>1208372</v>
      </c>
      <c r="D605" s="52">
        <v>46206</v>
      </c>
      <c r="E605" s="32" t="s">
        <v>15</v>
      </c>
      <c r="F605" s="32" t="str">
        <f t="shared" ref="F605:I605" si="394">F604</f>
        <v>M21</v>
      </c>
      <c r="G605" s="61" t="str">
        <f t="shared" si="394"/>
        <v>012</v>
      </c>
      <c r="H605" s="72" t="str">
        <f t="shared" si="394"/>
        <v>C4</v>
      </c>
      <c r="I605" s="72">
        <f t="shared" si="394"/>
        <v>1</v>
      </c>
      <c r="J605" s="37" t="s">
        <v>33</v>
      </c>
      <c r="K605" s="37">
        <v>14</v>
      </c>
      <c r="L605" s="17">
        <v>0.16</v>
      </c>
      <c r="M605" s="19">
        <v>4.6500000000000004</v>
      </c>
      <c r="N605" s="18">
        <f t="shared" si="338"/>
        <v>4.49</v>
      </c>
      <c r="O605" s="20" t="str">
        <f t="shared" si="370"/>
        <v>OK</v>
      </c>
    </row>
    <row r="606" spans="1:15" ht="12" customHeight="1" x14ac:dyDescent="0.25">
      <c r="A606" s="91" t="s">
        <v>16</v>
      </c>
      <c r="B606" s="32">
        <v>3</v>
      </c>
      <c r="C606" s="36">
        <v>1208372</v>
      </c>
      <c r="D606" s="52">
        <v>46206</v>
      </c>
      <c r="E606" s="32" t="s">
        <v>15</v>
      </c>
      <c r="F606" s="32" t="str">
        <f t="shared" ref="F606:I606" si="395">F605</f>
        <v>M21</v>
      </c>
      <c r="G606" s="61" t="str">
        <f t="shared" si="395"/>
        <v>012</v>
      </c>
      <c r="H606" s="72" t="str">
        <f t="shared" si="395"/>
        <v>C4</v>
      </c>
      <c r="I606" s="72">
        <f t="shared" si="395"/>
        <v>1</v>
      </c>
      <c r="J606" s="37" t="s">
        <v>34</v>
      </c>
      <c r="K606" s="37">
        <v>14</v>
      </c>
      <c r="L606" s="17">
        <v>0.27</v>
      </c>
      <c r="M606" s="19">
        <v>4.3099999999999996</v>
      </c>
      <c r="N606" s="18">
        <f t="shared" si="338"/>
        <v>4.0399999999999991</v>
      </c>
      <c r="O606" s="20" t="str">
        <f t="shared" si="370"/>
        <v>OK</v>
      </c>
    </row>
    <row r="607" spans="1:15" ht="12" customHeight="1" x14ac:dyDescent="0.25">
      <c r="A607" s="91" t="s">
        <v>16</v>
      </c>
      <c r="B607" s="32">
        <v>3</v>
      </c>
      <c r="C607" s="36">
        <v>1208372</v>
      </c>
      <c r="D607" s="52">
        <v>46206</v>
      </c>
      <c r="E607" s="32" t="s">
        <v>15</v>
      </c>
      <c r="F607" s="32" t="str">
        <f t="shared" ref="F607:G607" si="396">F606</f>
        <v>M21</v>
      </c>
      <c r="G607" s="61" t="str">
        <f t="shared" si="396"/>
        <v>012</v>
      </c>
      <c r="H607" s="72" t="str">
        <f>H606</f>
        <v>C4</v>
      </c>
      <c r="I607" s="72">
        <v>2</v>
      </c>
      <c r="J607" s="37" t="s">
        <v>35</v>
      </c>
      <c r="K607" s="37">
        <v>15</v>
      </c>
      <c r="L607" s="17">
        <v>0.48</v>
      </c>
      <c r="M607" s="19">
        <v>2.31</v>
      </c>
      <c r="N607" s="18">
        <f t="shared" si="338"/>
        <v>1.83</v>
      </c>
      <c r="O607" s="20" t="str">
        <f t="shared" si="370"/>
        <v>OK</v>
      </c>
    </row>
    <row r="608" spans="1:15" ht="12" customHeight="1" x14ac:dyDescent="0.25">
      <c r="A608" s="91" t="s">
        <v>16</v>
      </c>
      <c r="B608" s="32">
        <v>3</v>
      </c>
      <c r="C608" s="36">
        <v>1208372</v>
      </c>
      <c r="D608" s="52">
        <v>46206</v>
      </c>
      <c r="E608" s="32" t="s">
        <v>15</v>
      </c>
      <c r="F608" s="32" t="str">
        <f t="shared" ref="F608:G608" si="397">F607</f>
        <v>M21</v>
      </c>
      <c r="G608" s="61" t="str">
        <f t="shared" si="397"/>
        <v>012</v>
      </c>
      <c r="H608" s="72" t="str">
        <f>H607</f>
        <v>C4</v>
      </c>
      <c r="I608" s="72">
        <f>I607</f>
        <v>2</v>
      </c>
      <c r="J608" s="37" t="s">
        <v>36</v>
      </c>
      <c r="K608" s="37">
        <v>15</v>
      </c>
      <c r="L608" s="17">
        <v>0.69</v>
      </c>
      <c r="M608" s="19">
        <v>3.42</v>
      </c>
      <c r="N608" s="18">
        <f t="shared" si="338"/>
        <v>2.73</v>
      </c>
      <c r="O608" s="20" t="str">
        <f t="shared" si="370"/>
        <v>OK</v>
      </c>
    </row>
    <row r="609" spans="1:15" ht="12" customHeight="1" x14ac:dyDescent="0.25">
      <c r="A609" s="91" t="s">
        <v>16</v>
      </c>
      <c r="B609" s="32">
        <v>3</v>
      </c>
      <c r="C609" s="36">
        <v>1208372</v>
      </c>
      <c r="D609" s="52">
        <v>46206</v>
      </c>
      <c r="E609" s="32" t="s">
        <v>15</v>
      </c>
      <c r="F609" s="32" t="str">
        <f t="shared" ref="F609:G609" si="398">F608</f>
        <v>M21</v>
      </c>
      <c r="G609" s="61" t="str">
        <f t="shared" si="398"/>
        <v>012</v>
      </c>
      <c r="H609" s="72" t="str">
        <f>H608</f>
        <v>C4</v>
      </c>
      <c r="I609" s="72">
        <f>I608</f>
        <v>2</v>
      </c>
      <c r="J609" s="37" t="s">
        <v>37</v>
      </c>
      <c r="K609" s="37">
        <v>16</v>
      </c>
      <c r="L609" s="17">
        <v>1.19</v>
      </c>
      <c r="M609" s="19">
        <v>4.5599999999999996</v>
      </c>
      <c r="N609" s="18">
        <f t="shared" si="338"/>
        <v>3.3699999999999997</v>
      </c>
      <c r="O609" s="20" t="str">
        <f t="shared" si="370"/>
        <v>OK</v>
      </c>
    </row>
    <row r="610" spans="1:15" ht="12" customHeight="1" x14ac:dyDescent="0.25">
      <c r="A610" s="91" t="s">
        <v>16</v>
      </c>
      <c r="B610" s="32">
        <v>3</v>
      </c>
      <c r="C610" s="36">
        <v>1208372</v>
      </c>
      <c r="D610" s="52">
        <v>46206</v>
      </c>
      <c r="E610" s="32" t="s">
        <v>15</v>
      </c>
      <c r="F610" s="32" t="str">
        <f t="shared" ref="F610:G610" si="399">F609</f>
        <v>M21</v>
      </c>
      <c r="G610" s="61" t="str">
        <f t="shared" si="399"/>
        <v>012</v>
      </c>
      <c r="H610" s="72" t="str">
        <f>H609</f>
        <v>C4</v>
      </c>
      <c r="I610" s="72">
        <f>I609</f>
        <v>2</v>
      </c>
      <c r="J610" s="37" t="s">
        <v>38</v>
      </c>
      <c r="K610" s="37">
        <v>16</v>
      </c>
      <c r="L610" s="17">
        <v>1.0900000000000001</v>
      </c>
      <c r="M610" s="19">
        <v>1.54</v>
      </c>
      <c r="N610" s="18">
        <f t="shared" si="338"/>
        <v>0.44999999999999996</v>
      </c>
      <c r="O610" s="20" t="str">
        <f t="shared" si="370"/>
        <v>Seguimiento</v>
      </c>
    </row>
    <row r="611" spans="1:15" ht="12" customHeight="1" x14ac:dyDescent="0.25">
      <c r="A611" s="91" t="s">
        <v>16</v>
      </c>
      <c r="B611" s="32">
        <v>3</v>
      </c>
      <c r="C611" s="36">
        <v>1208372</v>
      </c>
      <c r="D611" s="52">
        <v>46206</v>
      </c>
      <c r="E611" s="32" t="s">
        <v>15</v>
      </c>
      <c r="F611" s="32" t="s">
        <v>44</v>
      </c>
      <c r="G611" s="61" t="s">
        <v>62</v>
      </c>
      <c r="H611" s="72" t="s">
        <v>46</v>
      </c>
      <c r="I611" s="72">
        <v>1</v>
      </c>
      <c r="J611" s="37" t="s">
        <v>31</v>
      </c>
      <c r="K611" s="37">
        <v>17</v>
      </c>
      <c r="L611" s="17">
        <v>0.7</v>
      </c>
      <c r="M611" s="19">
        <v>4</v>
      </c>
      <c r="N611" s="18">
        <f t="shared" ref="N611:N674" si="400">+M611-L611</f>
        <v>3.3</v>
      </c>
      <c r="O611" s="20" t="str">
        <f t="shared" si="370"/>
        <v>OK</v>
      </c>
    </row>
    <row r="612" spans="1:15" ht="12" customHeight="1" x14ac:dyDescent="0.25">
      <c r="A612" s="91" t="s">
        <v>16</v>
      </c>
      <c r="B612" s="32">
        <v>3</v>
      </c>
      <c r="C612" s="36">
        <v>1208372</v>
      </c>
      <c r="D612" s="52">
        <v>46206</v>
      </c>
      <c r="E612" s="32" t="s">
        <v>15</v>
      </c>
      <c r="F612" s="32" t="str">
        <f t="shared" ref="F612:I612" si="401">F611</f>
        <v>M22</v>
      </c>
      <c r="G612" s="61" t="str">
        <f t="shared" si="401"/>
        <v>306</v>
      </c>
      <c r="H612" s="72" t="str">
        <f t="shared" si="401"/>
        <v>C5</v>
      </c>
      <c r="I612" s="72">
        <f t="shared" si="401"/>
        <v>1</v>
      </c>
      <c r="J612" s="37" t="s">
        <v>32</v>
      </c>
      <c r="K612" s="37">
        <v>17</v>
      </c>
      <c r="L612" s="17">
        <v>0.6</v>
      </c>
      <c r="M612" s="19">
        <v>4.8499999999999996</v>
      </c>
      <c r="N612" s="18">
        <f t="shared" si="400"/>
        <v>4.25</v>
      </c>
      <c r="O612" s="20" t="str">
        <f t="shared" si="370"/>
        <v>OK</v>
      </c>
    </row>
    <row r="613" spans="1:15" ht="12" customHeight="1" x14ac:dyDescent="0.25">
      <c r="A613" s="91" t="s">
        <v>16</v>
      </c>
      <c r="B613" s="32">
        <v>3</v>
      </c>
      <c r="C613" s="36">
        <v>1208372</v>
      </c>
      <c r="D613" s="52">
        <v>46206</v>
      </c>
      <c r="E613" s="32" t="s">
        <v>15</v>
      </c>
      <c r="F613" s="32" t="str">
        <f t="shared" ref="F613:I613" si="402">F612</f>
        <v>M22</v>
      </c>
      <c r="G613" s="61" t="str">
        <f t="shared" si="402"/>
        <v>306</v>
      </c>
      <c r="H613" s="72" t="str">
        <f t="shared" si="402"/>
        <v>C5</v>
      </c>
      <c r="I613" s="72">
        <f t="shared" si="402"/>
        <v>1</v>
      </c>
      <c r="J613" s="37" t="s">
        <v>33</v>
      </c>
      <c r="K613" s="37">
        <v>18</v>
      </c>
      <c r="L613" s="17">
        <v>0.83</v>
      </c>
      <c r="M613" s="19">
        <v>4.84</v>
      </c>
      <c r="N613" s="18">
        <f t="shared" si="400"/>
        <v>4.01</v>
      </c>
      <c r="O613" s="20" t="str">
        <f t="shared" si="370"/>
        <v>OK</v>
      </c>
    </row>
    <row r="614" spans="1:15" ht="12" customHeight="1" x14ac:dyDescent="0.25">
      <c r="A614" s="91" t="s">
        <v>16</v>
      </c>
      <c r="B614" s="32">
        <v>3</v>
      </c>
      <c r="C614" s="36">
        <v>1208372</v>
      </c>
      <c r="D614" s="52">
        <v>46206</v>
      </c>
      <c r="E614" s="32" t="s">
        <v>15</v>
      </c>
      <c r="F614" s="32" t="str">
        <f t="shared" ref="F614:I614" si="403">F613</f>
        <v>M22</v>
      </c>
      <c r="G614" s="61" t="str">
        <f t="shared" si="403"/>
        <v>306</v>
      </c>
      <c r="H614" s="72" t="str">
        <f t="shared" si="403"/>
        <v>C5</v>
      </c>
      <c r="I614" s="72">
        <f t="shared" si="403"/>
        <v>1</v>
      </c>
      <c r="J614" s="37" t="s">
        <v>34</v>
      </c>
      <c r="K614" s="37">
        <v>18</v>
      </c>
      <c r="L614" s="17">
        <v>0.95</v>
      </c>
      <c r="M614" s="19">
        <v>1.43</v>
      </c>
      <c r="N614" s="18">
        <f t="shared" si="400"/>
        <v>0.48</v>
      </c>
      <c r="O614" s="20" t="str">
        <f t="shared" si="370"/>
        <v>Seguimiento</v>
      </c>
    </row>
    <row r="615" spans="1:15" ht="12" customHeight="1" x14ac:dyDescent="0.25">
      <c r="A615" s="91" t="s">
        <v>16</v>
      </c>
      <c r="B615" s="32">
        <v>3</v>
      </c>
      <c r="C615" s="36">
        <v>1208372</v>
      </c>
      <c r="D615" s="52">
        <v>46206</v>
      </c>
      <c r="E615" s="32" t="s">
        <v>15</v>
      </c>
      <c r="F615" s="32" t="str">
        <f t="shared" ref="F615:H615" si="404">F614</f>
        <v>M22</v>
      </c>
      <c r="G615" s="61" t="str">
        <f t="shared" si="404"/>
        <v>306</v>
      </c>
      <c r="H615" s="72" t="str">
        <f t="shared" si="404"/>
        <v>C5</v>
      </c>
      <c r="I615" s="72">
        <v>2</v>
      </c>
      <c r="J615" s="37" t="s">
        <v>35</v>
      </c>
      <c r="K615" s="37">
        <v>19</v>
      </c>
      <c r="L615" s="17">
        <v>0.47</v>
      </c>
      <c r="M615" s="19">
        <v>3.76</v>
      </c>
      <c r="N615" s="18">
        <f t="shared" si="400"/>
        <v>3.29</v>
      </c>
      <c r="O615" s="20" t="str">
        <f t="shared" si="370"/>
        <v>OK</v>
      </c>
    </row>
    <row r="616" spans="1:15" ht="12" customHeight="1" x14ac:dyDescent="0.25">
      <c r="A616" s="91" t="s">
        <v>16</v>
      </c>
      <c r="B616" s="32">
        <v>3</v>
      </c>
      <c r="C616" s="36">
        <v>1208372</v>
      </c>
      <c r="D616" s="52">
        <v>46206</v>
      </c>
      <c r="E616" s="32" t="s">
        <v>15</v>
      </c>
      <c r="F616" s="32" t="str">
        <f t="shared" ref="F616:H616" si="405">F615</f>
        <v>M22</v>
      </c>
      <c r="G616" s="61" t="str">
        <f t="shared" si="405"/>
        <v>306</v>
      </c>
      <c r="H616" s="72" t="str">
        <f t="shared" si="405"/>
        <v>C5</v>
      </c>
      <c r="I616" s="72">
        <f>I615</f>
        <v>2</v>
      </c>
      <c r="J616" s="37" t="s">
        <v>36</v>
      </c>
      <c r="K616" s="37">
        <v>19</v>
      </c>
      <c r="L616" s="17">
        <v>0.4</v>
      </c>
      <c r="M616" s="19">
        <v>5.03</v>
      </c>
      <c r="N616" s="18">
        <f t="shared" si="400"/>
        <v>4.63</v>
      </c>
      <c r="O616" s="20" t="str">
        <f t="shared" si="370"/>
        <v>OK</v>
      </c>
    </row>
    <row r="617" spans="1:15" ht="12" customHeight="1" x14ac:dyDescent="0.25">
      <c r="A617" s="91" t="s">
        <v>16</v>
      </c>
      <c r="B617" s="32">
        <v>3</v>
      </c>
      <c r="C617" s="36">
        <v>1208372</v>
      </c>
      <c r="D617" s="52">
        <v>46206</v>
      </c>
      <c r="E617" s="32" t="s">
        <v>15</v>
      </c>
      <c r="F617" s="32" t="str">
        <f t="shared" ref="F617:H617" si="406">F616</f>
        <v>M22</v>
      </c>
      <c r="G617" s="61" t="str">
        <f t="shared" si="406"/>
        <v>306</v>
      </c>
      <c r="H617" s="72" t="str">
        <f t="shared" si="406"/>
        <v>C5</v>
      </c>
      <c r="I617" s="72">
        <f>I616</f>
        <v>2</v>
      </c>
      <c r="J617" s="37" t="s">
        <v>37</v>
      </c>
      <c r="K617" s="37">
        <v>20</v>
      </c>
      <c r="L617" s="17">
        <v>0.67</v>
      </c>
      <c r="M617" s="19">
        <v>4.6500000000000004</v>
      </c>
      <c r="N617" s="18">
        <f t="shared" si="400"/>
        <v>3.9800000000000004</v>
      </c>
      <c r="O617" s="20" t="str">
        <f t="shared" si="370"/>
        <v>OK</v>
      </c>
    </row>
    <row r="618" spans="1:15" ht="12" customHeight="1" x14ac:dyDescent="0.25">
      <c r="A618" s="91" t="s">
        <v>16</v>
      </c>
      <c r="B618" s="32">
        <v>3</v>
      </c>
      <c r="C618" s="36">
        <v>1208372</v>
      </c>
      <c r="D618" s="52">
        <v>46206</v>
      </c>
      <c r="E618" s="32" t="s">
        <v>15</v>
      </c>
      <c r="F618" s="32" t="str">
        <f t="shared" ref="F618:H618" si="407">F617</f>
        <v>M22</v>
      </c>
      <c r="G618" s="61" t="str">
        <f t="shared" si="407"/>
        <v>306</v>
      </c>
      <c r="H618" s="72" t="str">
        <f t="shared" si="407"/>
        <v>C5</v>
      </c>
      <c r="I618" s="72">
        <f>I617</f>
        <v>2</v>
      </c>
      <c r="J618" s="37" t="s">
        <v>38</v>
      </c>
      <c r="K618" s="37">
        <v>20</v>
      </c>
      <c r="L618" s="17">
        <v>0.86</v>
      </c>
      <c r="M618" s="19">
        <v>3.87</v>
      </c>
      <c r="N618" s="18">
        <f t="shared" si="400"/>
        <v>3.0100000000000002</v>
      </c>
      <c r="O618" s="20" t="str">
        <f t="shared" si="370"/>
        <v>OK</v>
      </c>
    </row>
    <row r="619" spans="1:15" ht="12" customHeight="1" x14ac:dyDescent="0.25">
      <c r="A619" s="91" t="s">
        <v>16</v>
      </c>
      <c r="B619" s="32">
        <v>3</v>
      </c>
      <c r="C619" s="36">
        <v>1208372</v>
      </c>
      <c r="D619" s="52">
        <v>46206</v>
      </c>
      <c r="E619" s="32" t="s">
        <v>15</v>
      </c>
      <c r="F619" s="32" t="str">
        <f t="shared" ref="F619:G619" si="408">F618</f>
        <v>M22</v>
      </c>
      <c r="G619" s="61" t="str">
        <f t="shared" si="408"/>
        <v>306</v>
      </c>
      <c r="H619" s="72" t="s">
        <v>47</v>
      </c>
      <c r="I619" s="72">
        <v>1</v>
      </c>
      <c r="J619" s="37" t="s">
        <v>31</v>
      </c>
      <c r="K619" s="37">
        <v>21</v>
      </c>
      <c r="L619" s="17">
        <v>0.65</v>
      </c>
      <c r="M619" s="19">
        <v>4.63</v>
      </c>
      <c r="N619" s="18">
        <f t="shared" si="400"/>
        <v>3.98</v>
      </c>
      <c r="O619" s="20" t="str">
        <f t="shared" si="370"/>
        <v>OK</v>
      </c>
    </row>
    <row r="620" spans="1:15" ht="12" customHeight="1" x14ac:dyDescent="0.25">
      <c r="A620" s="91" t="s">
        <v>16</v>
      </c>
      <c r="B620" s="32">
        <v>3</v>
      </c>
      <c r="C620" s="36">
        <v>1208372</v>
      </c>
      <c r="D620" s="52">
        <v>46206</v>
      </c>
      <c r="E620" s="32" t="s">
        <v>15</v>
      </c>
      <c r="F620" s="32" t="str">
        <f t="shared" ref="F620:I620" si="409">F619</f>
        <v>M22</v>
      </c>
      <c r="G620" s="61" t="str">
        <f t="shared" si="409"/>
        <v>306</v>
      </c>
      <c r="H620" s="72" t="str">
        <f t="shared" si="409"/>
        <v>C6</v>
      </c>
      <c r="I620" s="72">
        <f t="shared" si="409"/>
        <v>1</v>
      </c>
      <c r="J620" s="37" t="s">
        <v>32</v>
      </c>
      <c r="K620" s="37">
        <v>21</v>
      </c>
      <c r="L620" s="17">
        <v>0.78</v>
      </c>
      <c r="M620" s="19">
        <v>4.8099999999999996</v>
      </c>
      <c r="N620" s="18">
        <f t="shared" si="400"/>
        <v>4.0299999999999994</v>
      </c>
      <c r="O620" s="20" t="str">
        <f t="shared" si="370"/>
        <v>OK</v>
      </c>
    </row>
    <row r="621" spans="1:15" ht="12" customHeight="1" x14ac:dyDescent="0.25">
      <c r="A621" s="91" t="s">
        <v>16</v>
      </c>
      <c r="B621" s="32">
        <v>3</v>
      </c>
      <c r="C621" s="36">
        <v>1208372</v>
      </c>
      <c r="D621" s="52">
        <v>46206</v>
      </c>
      <c r="E621" s="32" t="s">
        <v>15</v>
      </c>
      <c r="F621" s="32" t="str">
        <f t="shared" ref="F621:I621" si="410">F620</f>
        <v>M22</v>
      </c>
      <c r="G621" s="61" t="str">
        <f t="shared" si="410"/>
        <v>306</v>
      </c>
      <c r="H621" s="72" t="str">
        <f t="shared" si="410"/>
        <v>C6</v>
      </c>
      <c r="I621" s="72">
        <f t="shared" si="410"/>
        <v>1</v>
      </c>
      <c r="J621" s="37" t="s">
        <v>33</v>
      </c>
      <c r="K621" s="37">
        <v>22</v>
      </c>
      <c r="L621" s="17">
        <v>0.75</v>
      </c>
      <c r="M621" s="19">
        <v>4.8600000000000003</v>
      </c>
      <c r="N621" s="18">
        <f t="shared" si="400"/>
        <v>4.1100000000000003</v>
      </c>
      <c r="O621" s="20" t="str">
        <f t="shared" si="370"/>
        <v>OK</v>
      </c>
    </row>
    <row r="622" spans="1:15" ht="12" customHeight="1" x14ac:dyDescent="0.25">
      <c r="A622" s="91" t="s">
        <v>16</v>
      </c>
      <c r="B622" s="32">
        <v>3</v>
      </c>
      <c r="C622" s="36">
        <v>1208372</v>
      </c>
      <c r="D622" s="52">
        <v>46206</v>
      </c>
      <c r="E622" s="32" t="s">
        <v>15</v>
      </c>
      <c r="F622" s="32" t="str">
        <f t="shared" ref="F622:I622" si="411">F621</f>
        <v>M22</v>
      </c>
      <c r="G622" s="61" t="str">
        <f t="shared" si="411"/>
        <v>306</v>
      </c>
      <c r="H622" s="72" t="str">
        <f t="shared" si="411"/>
        <v>C6</v>
      </c>
      <c r="I622" s="72">
        <f t="shared" si="411"/>
        <v>1</v>
      </c>
      <c r="J622" s="37" t="s">
        <v>34</v>
      </c>
      <c r="K622" s="37">
        <v>22</v>
      </c>
      <c r="L622" s="17">
        <v>0.37</v>
      </c>
      <c r="M622" s="19">
        <v>1.51</v>
      </c>
      <c r="N622" s="18">
        <f t="shared" si="400"/>
        <v>1.1400000000000001</v>
      </c>
      <c r="O622" s="20" t="str">
        <f t="shared" si="370"/>
        <v>OK</v>
      </c>
    </row>
    <row r="623" spans="1:15" ht="12" customHeight="1" x14ac:dyDescent="0.25">
      <c r="A623" s="91" t="s">
        <v>16</v>
      </c>
      <c r="B623" s="32">
        <v>3</v>
      </c>
      <c r="C623" s="36">
        <v>1208372</v>
      </c>
      <c r="D623" s="52">
        <v>46206</v>
      </c>
      <c r="E623" s="32" t="s">
        <v>15</v>
      </c>
      <c r="F623" s="32" t="str">
        <f t="shared" ref="F623:G623" si="412">F622</f>
        <v>M22</v>
      </c>
      <c r="G623" s="61" t="str">
        <f t="shared" si="412"/>
        <v>306</v>
      </c>
      <c r="H623" s="72" t="str">
        <f>H622</f>
        <v>C6</v>
      </c>
      <c r="I623" s="72">
        <v>2</v>
      </c>
      <c r="J623" s="37" t="s">
        <v>35</v>
      </c>
      <c r="K623" s="37">
        <v>23</v>
      </c>
      <c r="L623" s="17">
        <v>0.59</v>
      </c>
      <c r="M623" s="19">
        <v>1.92</v>
      </c>
      <c r="N623" s="18">
        <f t="shared" si="400"/>
        <v>1.33</v>
      </c>
      <c r="O623" s="20" t="str">
        <f t="shared" si="370"/>
        <v>OK</v>
      </c>
    </row>
    <row r="624" spans="1:15" ht="12" customHeight="1" x14ac:dyDescent="0.25">
      <c r="A624" s="91" t="s">
        <v>16</v>
      </c>
      <c r="B624" s="32">
        <v>3</v>
      </c>
      <c r="C624" s="36">
        <v>1208372</v>
      </c>
      <c r="D624" s="52">
        <v>46206</v>
      </c>
      <c r="E624" s="32" t="s">
        <v>15</v>
      </c>
      <c r="F624" s="32" t="str">
        <f t="shared" ref="F624:G624" si="413">F623</f>
        <v>M22</v>
      </c>
      <c r="G624" s="61" t="str">
        <f t="shared" si="413"/>
        <v>306</v>
      </c>
      <c r="H624" s="72" t="str">
        <f>H623</f>
        <v>C6</v>
      </c>
      <c r="I624" s="72">
        <f>I623</f>
        <v>2</v>
      </c>
      <c r="J624" s="37" t="s">
        <v>36</v>
      </c>
      <c r="K624" s="37">
        <v>23</v>
      </c>
      <c r="L624" s="17">
        <v>0.71</v>
      </c>
      <c r="M624" s="19">
        <v>4.8600000000000003</v>
      </c>
      <c r="N624" s="18">
        <f t="shared" si="400"/>
        <v>4.1500000000000004</v>
      </c>
      <c r="O624" s="20" t="str">
        <f t="shared" si="370"/>
        <v>OK</v>
      </c>
    </row>
    <row r="625" spans="1:15" ht="12" customHeight="1" x14ac:dyDescent="0.25">
      <c r="A625" s="91" t="s">
        <v>16</v>
      </c>
      <c r="B625" s="32">
        <v>3</v>
      </c>
      <c r="C625" s="36">
        <v>1208372</v>
      </c>
      <c r="D625" s="52">
        <v>46206</v>
      </c>
      <c r="E625" s="32" t="s">
        <v>15</v>
      </c>
      <c r="F625" s="32" t="str">
        <f t="shared" ref="F625:G625" si="414">F624</f>
        <v>M22</v>
      </c>
      <c r="G625" s="61" t="str">
        <f t="shared" si="414"/>
        <v>306</v>
      </c>
      <c r="H625" s="72" t="str">
        <f>H624</f>
        <v>C6</v>
      </c>
      <c r="I625" s="72">
        <f>I624</f>
        <v>2</v>
      </c>
      <c r="J625" s="37" t="s">
        <v>37</v>
      </c>
      <c r="K625" s="37">
        <v>24</v>
      </c>
      <c r="L625" s="17">
        <v>0.65</v>
      </c>
      <c r="M625" s="19">
        <v>1.06</v>
      </c>
      <c r="N625" s="18">
        <f t="shared" si="400"/>
        <v>0.41000000000000003</v>
      </c>
      <c r="O625" s="20" t="str">
        <f t="shared" si="370"/>
        <v>Seguimiento</v>
      </c>
    </row>
    <row r="626" spans="1:15" ht="12" customHeight="1" x14ac:dyDescent="0.25">
      <c r="A626" s="91" t="s">
        <v>16</v>
      </c>
      <c r="B626" s="32">
        <v>3</v>
      </c>
      <c r="C626" s="36">
        <v>1208372</v>
      </c>
      <c r="D626" s="52">
        <v>46206</v>
      </c>
      <c r="E626" s="32" t="s">
        <v>15</v>
      </c>
      <c r="F626" s="32" t="str">
        <f t="shared" ref="F626:G626" si="415">F625</f>
        <v>M22</v>
      </c>
      <c r="G626" s="61" t="str">
        <f t="shared" si="415"/>
        <v>306</v>
      </c>
      <c r="H626" s="72" t="str">
        <f>H625</f>
        <v>C6</v>
      </c>
      <c r="I626" s="72">
        <f>I625</f>
        <v>2</v>
      </c>
      <c r="J626" s="37" t="s">
        <v>38</v>
      </c>
      <c r="K626" s="37">
        <v>24</v>
      </c>
      <c r="L626" s="17">
        <v>1.1100000000000001</v>
      </c>
      <c r="M626" s="19">
        <v>3.37</v>
      </c>
      <c r="N626" s="18">
        <f t="shared" si="400"/>
        <v>2.2599999999999998</v>
      </c>
      <c r="O626" s="20" t="str">
        <f t="shared" si="370"/>
        <v>OK</v>
      </c>
    </row>
    <row r="627" spans="1:15" ht="12" customHeight="1" x14ac:dyDescent="0.25">
      <c r="A627" s="91" t="s">
        <v>16</v>
      </c>
      <c r="B627" s="32">
        <v>3</v>
      </c>
      <c r="C627" s="36">
        <v>1208372</v>
      </c>
      <c r="D627" s="52">
        <v>46206</v>
      </c>
      <c r="E627" s="32" t="s">
        <v>15</v>
      </c>
      <c r="F627" s="32" t="s">
        <v>44</v>
      </c>
      <c r="G627" s="61" t="s">
        <v>61</v>
      </c>
      <c r="H627" s="72" t="s">
        <v>47</v>
      </c>
      <c r="I627" s="72">
        <v>2</v>
      </c>
      <c r="J627" s="37" t="s">
        <v>31</v>
      </c>
      <c r="K627" s="37">
        <v>25</v>
      </c>
      <c r="L627" s="17">
        <v>1.71</v>
      </c>
      <c r="M627" s="19">
        <v>5.68</v>
      </c>
      <c r="N627" s="18">
        <f t="shared" si="400"/>
        <v>3.9699999999999998</v>
      </c>
      <c r="O627" s="20" t="str">
        <f t="shared" si="370"/>
        <v>Reperfilado</v>
      </c>
    </row>
    <row r="628" spans="1:15" ht="12" customHeight="1" x14ac:dyDescent="0.25">
      <c r="A628" s="91" t="s">
        <v>16</v>
      </c>
      <c r="B628" s="32">
        <v>3</v>
      </c>
      <c r="C628" s="36">
        <v>1208372</v>
      </c>
      <c r="D628" s="52">
        <v>46206</v>
      </c>
      <c r="E628" s="32" t="s">
        <v>15</v>
      </c>
      <c r="F628" s="32" t="str">
        <f t="shared" ref="F628:I628" si="416">F627</f>
        <v>M22</v>
      </c>
      <c r="G628" s="61" t="str">
        <f t="shared" si="416"/>
        <v>307</v>
      </c>
      <c r="H628" s="72" t="str">
        <f t="shared" si="416"/>
        <v>C6</v>
      </c>
      <c r="I628" s="72">
        <f t="shared" si="416"/>
        <v>2</v>
      </c>
      <c r="J628" s="37" t="s">
        <v>32</v>
      </c>
      <c r="K628" s="37">
        <v>25</v>
      </c>
      <c r="L628" s="17">
        <v>0.1</v>
      </c>
      <c r="M628" s="19">
        <v>2.64</v>
      </c>
      <c r="N628" s="18">
        <f t="shared" si="400"/>
        <v>2.54</v>
      </c>
      <c r="O628" s="20" t="str">
        <f t="shared" si="370"/>
        <v>OK</v>
      </c>
    </row>
    <row r="629" spans="1:15" ht="12" customHeight="1" x14ac:dyDescent="0.25">
      <c r="A629" s="91" t="s">
        <v>16</v>
      </c>
      <c r="B629" s="32">
        <v>3</v>
      </c>
      <c r="C629" s="36">
        <v>1208372</v>
      </c>
      <c r="D629" s="52">
        <v>46206</v>
      </c>
      <c r="E629" s="32" t="s">
        <v>15</v>
      </c>
      <c r="F629" s="32" t="str">
        <f t="shared" ref="F629:I629" si="417">F628</f>
        <v>M22</v>
      </c>
      <c r="G629" s="61" t="str">
        <f t="shared" si="417"/>
        <v>307</v>
      </c>
      <c r="H629" s="72" t="str">
        <f t="shared" si="417"/>
        <v>C6</v>
      </c>
      <c r="I629" s="72">
        <f t="shared" si="417"/>
        <v>2</v>
      </c>
      <c r="J629" s="37" t="s">
        <v>33</v>
      </c>
      <c r="K629" s="37">
        <v>26</v>
      </c>
      <c r="L629" s="17">
        <v>1.1100000000000001</v>
      </c>
      <c r="M629" s="19">
        <v>4.41</v>
      </c>
      <c r="N629" s="18">
        <f t="shared" si="400"/>
        <v>3.3</v>
      </c>
      <c r="O629" s="20" t="str">
        <f t="shared" si="370"/>
        <v>OK</v>
      </c>
    </row>
    <row r="630" spans="1:15" ht="12" customHeight="1" x14ac:dyDescent="0.25">
      <c r="A630" s="91" t="s">
        <v>16</v>
      </c>
      <c r="B630" s="32">
        <v>3</v>
      </c>
      <c r="C630" s="36">
        <v>1208372</v>
      </c>
      <c r="D630" s="52">
        <v>46206</v>
      </c>
      <c r="E630" s="32" t="s">
        <v>15</v>
      </c>
      <c r="F630" s="32" t="str">
        <f t="shared" ref="F630:I630" si="418">F629</f>
        <v>M22</v>
      </c>
      <c r="G630" s="61" t="str">
        <f t="shared" si="418"/>
        <v>307</v>
      </c>
      <c r="H630" s="72" t="str">
        <f t="shared" si="418"/>
        <v>C6</v>
      </c>
      <c r="I630" s="72">
        <f t="shared" si="418"/>
        <v>2</v>
      </c>
      <c r="J630" s="37" t="s">
        <v>34</v>
      </c>
      <c r="K630" s="37">
        <v>26</v>
      </c>
      <c r="L630" s="17">
        <v>0.53</v>
      </c>
      <c r="M630" s="19">
        <v>4.96</v>
      </c>
      <c r="N630" s="18">
        <f t="shared" si="400"/>
        <v>4.43</v>
      </c>
      <c r="O630" s="20" t="str">
        <f t="shared" si="370"/>
        <v>OK</v>
      </c>
    </row>
    <row r="631" spans="1:15" ht="12" customHeight="1" x14ac:dyDescent="0.25">
      <c r="A631" s="91" t="s">
        <v>16</v>
      </c>
      <c r="B631" s="32">
        <v>3</v>
      </c>
      <c r="C631" s="36">
        <v>1208372</v>
      </c>
      <c r="D631" s="52">
        <v>46206</v>
      </c>
      <c r="E631" s="32" t="s">
        <v>15</v>
      </c>
      <c r="F631" s="32" t="str">
        <f t="shared" ref="F631:H631" si="419">F630</f>
        <v>M22</v>
      </c>
      <c r="G631" s="61" t="str">
        <f t="shared" si="419"/>
        <v>307</v>
      </c>
      <c r="H631" s="72" t="str">
        <f t="shared" si="419"/>
        <v>C6</v>
      </c>
      <c r="I631" s="72">
        <v>1</v>
      </c>
      <c r="J631" s="37" t="s">
        <v>35</v>
      </c>
      <c r="K631" s="37">
        <v>27</v>
      </c>
      <c r="L631" s="17">
        <v>0.71</v>
      </c>
      <c r="M631" s="19">
        <v>4.55</v>
      </c>
      <c r="N631" s="18">
        <f t="shared" si="400"/>
        <v>3.84</v>
      </c>
      <c r="O631" s="20" t="str">
        <f t="shared" si="370"/>
        <v>OK</v>
      </c>
    </row>
    <row r="632" spans="1:15" ht="12" customHeight="1" x14ac:dyDescent="0.25">
      <c r="A632" s="91" t="s">
        <v>16</v>
      </c>
      <c r="B632" s="32">
        <v>3</v>
      </c>
      <c r="C632" s="36">
        <v>1208372</v>
      </c>
      <c r="D632" s="52">
        <v>46206</v>
      </c>
      <c r="E632" s="32" t="s">
        <v>15</v>
      </c>
      <c r="F632" s="32" t="str">
        <f t="shared" ref="F632:H632" si="420">F631</f>
        <v>M22</v>
      </c>
      <c r="G632" s="61" t="str">
        <f t="shared" si="420"/>
        <v>307</v>
      </c>
      <c r="H632" s="72" t="str">
        <f t="shared" si="420"/>
        <v>C6</v>
      </c>
      <c r="I632" s="72">
        <f>I631</f>
        <v>1</v>
      </c>
      <c r="J632" s="37" t="s">
        <v>36</v>
      </c>
      <c r="K632" s="37">
        <v>27</v>
      </c>
      <c r="L632" s="17">
        <v>1.45</v>
      </c>
      <c r="M632" s="19">
        <v>4.9000000000000004</v>
      </c>
      <c r="N632" s="18">
        <f t="shared" si="400"/>
        <v>3.45</v>
      </c>
      <c r="O632" s="20" t="str">
        <f t="shared" si="370"/>
        <v>OK</v>
      </c>
    </row>
    <row r="633" spans="1:15" ht="12" customHeight="1" x14ac:dyDescent="0.25">
      <c r="A633" s="91" t="s">
        <v>16</v>
      </c>
      <c r="B633" s="32">
        <v>3</v>
      </c>
      <c r="C633" s="36">
        <v>1208372</v>
      </c>
      <c r="D633" s="52">
        <v>46206</v>
      </c>
      <c r="E633" s="32" t="s">
        <v>15</v>
      </c>
      <c r="F633" s="32" t="str">
        <f t="shared" ref="F633:H633" si="421">F632</f>
        <v>M22</v>
      </c>
      <c r="G633" s="61" t="str">
        <f t="shared" si="421"/>
        <v>307</v>
      </c>
      <c r="H633" s="72" t="str">
        <f t="shared" si="421"/>
        <v>C6</v>
      </c>
      <c r="I633" s="72">
        <f>I632</f>
        <v>1</v>
      </c>
      <c r="J633" s="37" t="s">
        <v>37</v>
      </c>
      <c r="K633" s="37">
        <v>28</v>
      </c>
      <c r="L633" s="17">
        <v>1.77</v>
      </c>
      <c r="M633" s="19">
        <v>4.5199999999999996</v>
      </c>
      <c r="N633" s="18">
        <f t="shared" si="400"/>
        <v>2.7499999999999996</v>
      </c>
      <c r="O633" s="20" t="str">
        <f t="shared" si="370"/>
        <v>Reperfilado</v>
      </c>
    </row>
    <row r="634" spans="1:15" ht="12" customHeight="1" x14ac:dyDescent="0.25">
      <c r="A634" s="91" t="s">
        <v>16</v>
      </c>
      <c r="B634" s="32">
        <v>3</v>
      </c>
      <c r="C634" s="36">
        <v>1208372</v>
      </c>
      <c r="D634" s="52">
        <v>46206</v>
      </c>
      <c r="E634" s="32" t="s">
        <v>15</v>
      </c>
      <c r="F634" s="32" t="str">
        <f t="shared" ref="F634:H634" si="422">F633</f>
        <v>M22</v>
      </c>
      <c r="G634" s="61" t="str">
        <f t="shared" si="422"/>
        <v>307</v>
      </c>
      <c r="H634" s="72" t="str">
        <f t="shared" si="422"/>
        <v>C6</v>
      </c>
      <c r="I634" s="72">
        <f>I633</f>
        <v>1</v>
      </c>
      <c r="J634" s="37" t="s">
        <v>38</v>
      </c>
      <c r="K634" s="37">
        <v>28</v>
      </c>
      <c r="L634" s="17">
        <v>0.18</v>
      </c>
      <c r="M634" s="19">
        <v>3.36</v>
      </c>
      <c r="N634" s="18">
        <f t="shared" si="400"/>
        <v>3.1799999999999997</v>
      </c>
      <c r="O634" s="20" t="str">
        <f t="shared" si="370"/>
        <v>OK</v>
      </c>
    </row>
    <row r="635" spans="1:15" ht="12" customHeight="1" x14ac:dyDescent="0.25">
      <c r="A635" s="91" t="s">
        <v>16</v>
      </c>
      <c r="B635" s="32">
        <v>3</v>
      </c>
      <c r="C635" s="36">
        <v>1208372</v>
      </c>
      <c r="D635" s="52">
        <v>46206</v>
      </c>
      <c r="E635" s="32" t="s">
        <v>15</v>
      </c>
      <c r="F635" s="32" t="str">
        <f t="shared" ref="F635:G635" si="423">F634</f>
        <v>M22</v>
      </c>
      <c r="G635" s="61" t="str">
        <f t="shared" si="423"/>
        <v>307</v>
      </c>
      <c r="H635" s="72" t="s">
        <v>46</v>
      </c>
      <c r="I635" s="72">
        <v>2</v>
      </c>
      <c r="J635" s="37" t="s">
        <v>31</v>
      </c>
      <c r="K635" s="37">
        <v>29</v>
      </c>
      <c r="L635" s="17">
        <v>0.04</v>
      </c>
      <c r="M635" s="19">
        <v>2.4</v>
      </c>
      <c r="N635" s="18">
        <f t="shared" si="400"/>
        <v>2.36</v>
      </c>
      <c r="O635" s="20" t="str">
        <f t="shared" si="370"/>
        <v>OK</v>
      </c>
    </row>
    <row r="636" spans="1:15" ht="12" customHeight="1" x14ac:dyDescent="0.25">
      <c r="A636" s="91" t="s">
        <v>16</v>
      </c>
      <c r="B636" s="32">
        <v>3</v>
      </c>
      <c r="C636" s="36">
        <v>1208372</v>
      </c>
      <c r="D636" s="52">
        <v>46206</v>
      </c>
      <c r="E636" s="32" t="s">
        <v>15</v>
      </c>
      <c r="F636" s="32" t="str">
        <f t="shared" ref="F636:I636" si="424">F635</f>
        <v>M22</v>
      </c>
      <c r="G636" s="61" t="str">
        <f t="shared" si="424"/>
        <v>307</v>
      </c>
      <c r="H636" s="72" t="str">
        <f t="shared" si="424"/>
        <v>C5</v>
      </c>
      <c r="I636" s="72">
        <f t="shared" si="424"/>
        <v>2</v>
      </c>
      <c r="J636" s="37" t="s">
        <v>32</v>
      </c>
      <c r="K636" s="37">
        <v>29</v>
      </c>
      <c r="L636" s="17">
        <v>1.7</v>
      </c>
      <c r="M636" s="19">
        <v>4.33</v>
      </c>
      <c r="N636" s="18">
        <f t="shared" si="400"/>
        <v>2.63</v>
      </c>
      <c r="O636" s="20" t="str">
        <f t="shared" si="370"/>
        <v>Reperfilado</v>
      </c>
    </row>
    <row r="637" spans="1:15" ht="12" customHeight="1" x14ac:dyDescent="0.25">
      <c r="A637" s="91" t="s">
        <v>16</v>
      </c>
      <c r="B637" s="32">
        <v>3</v>
      </c>
      <c r="C637" s="36">
        <v>1208372</v>
      </c>
      <c r="D637" s="52">
        <v>46206</v>
      </c>
      <c r="E637" s="32" t="s">
        <v>15</v>
      </c>
      <c r="F637" s="32" t="str">
        <f t="shared" ref="F637:I637" si="425">F636</f>
        <v>M22</v>
      </c>
      <c r="G637" s="61" t="str">
        <f t="shared" si="425"/>
        <v>307</v>
      </c>
      <c r="H637" s="72" t="str">
        <f t="shared" si="425"/>
        <v>C5</v>
      </c>
      <c r="I637" s="72">
        <f t="shared" si="425"/>
        <v>2</v>
      </c>
      <c r="J637" s="37" t="s">
        <v>33</v>
      </c>
      <c r="K637" s="37">
        <v>30</v>
      </c>
      <c r="L637" s="17">
        <v>1.83</v>
      </c>
      <c r="M637" s="19">
        <v>4.4000000000000004</v>
      </c>
      <c r="N637" s="18">
        <f t="shared" si="400"/>
        <v>2.5700000000000003</v>
      </c>
      <c r="O637" s="20" t="str">
        <f t="shared" si="370"/>
        <v>Reperfilado</v>
      </c>
    </row>
    <row r="638" spans="1:15" ht="12" customHeight="1" x14ac:dyDescent="0.25">
      <c r="A638" s="91" t="s">
        <v>16</v>
      </c>
      <c r="B638" s="32">
        <v>3</v>
      </c>
      <c r="C638" s="36">
        <v>1208372</v>
      </c>
      <c r="D638" s="52">
        <v>46206</v>
      </c>
      <c r="E638" s="32" t="s">
        <v>15</v>
      </c>
      <c r="F638" s="32" t="str">
        <f t="shared" ref="F638:I638" si="426">F637</f>
        <v>M22</v>
      </c>
      <c r="G638" s="61" t="str">
        <f t="shared" si="426"/>
        <v>307</v>
      </c>
      <c r="H638" s="72" t="str">
        <f t="shared" si="426"/>
        <v>C5</v>
      </c>
      <c r="I638" s="72">
        <f t="shared" si="426"/>
        <v>2</v>
      </c>
      <c r="J638" s="37" t="s">
        <v>34</v>
      </c>
      <c r="K638" s="37">
        <v>30</v>
      </c>
      <c r="L638" s="17">
        <v>0.75</v>
      </c>
      <c r="M638" s="19">
        <v>1.63</v>
      </c>
      <c r="N638" s="18">
        <f t="shared" si="400"/>
        <v>0.87999999999999989</v>
      </c>
      <c r="O638" s="20" t="str">
        <f t="shared" si="370"/>
        <v>Seguimiento</v>
      </c>
    </row>
    <row r="639" spans="1:15" ht="12" customHeight="1" x14ac:dyDescent="0.25">
      <c r="A639" s="91" t="s">
        <v>16</v>
      </c>
      <c r="B639" s="32">
        <v>3</v>
      </c>
      <c r="C639" s="36">
        <v>1208372</v>
      </c>
      <c r="D639" s="52">
        <v>46206</v>
      </c>
      <c r="E639" s="32" t="s">
        <v>15</v>
      </c>
      <c r="F639" s="32" t="str">
        <f t="shared" ref="F639:G639" si="427">F638</f>
        <v>M22</v>
      </c>
      <c r="G639" s="61" t="str">
        <f t="shared" si="427"/>
        <v>307</v>
      </c>
      <c r="H639" s="72" t="str">
        <f>H638</f>
        <v>C5</v>
      </c>
      <c r="I639" s="72">
        <v>1</v>
      </c>
      <c r="J639" s="37" t="s">
        <v>35</v>
      </c>
      <c r="K639" s="37">
        <v>31</v>
      </c>
      <c r="L639" s="17">
        <v>0.22</v>
      </c>
      <c r="M639" s="19">
        <v>4.97</v>
      </c>
      <c r="N639" s="18">
        <f t="shared" si="400"/>
        <v>4.75</v>
      </c>
      <c r="O639" s="20" t="str">
        <f t="shared" si="370"/>
        <v>OK</v>
      </c>
    </row>
    <row r="640" spans="1:15" ht="12" customHeight="1" x14ac:dyDescent="0.25">
      <c r="A640" s="91" t="s">
        <v>16</v>
      </c>
      <c r="B640" s="32">
        <v>3</v>
      </c>
      <c r="C640" s="36">
        <v>1208372</v>
      </c>
      <c r="D640" s="52">
        <v>46206</v>
      </c>
      <c r="E640" s="32" t="s">
        <v>15</v>
      </c>
      <c r="F640" s="32" t="str">
        <f t="shared" ref="F640:G640" si="428">F639</f>
        <v>M22</v>
      </c>
      <c r="G640" s="61" t="str">
        <f t="shared" si="428"/>
        <v>307</v>
      </c>
      <c r="H640" s="72" t="str">
        <f>H639</f>
        <v>C5</v>
      </c>
      <c r="I640" s="72">
        <f>I639</f>
        <v>1</v>
      </c>
      <c r="J640" s="37" t="s">
        <v>36</v>
      </c>
      <c r="K640" s="37">
        <v>31</v>
      </c>
      <c r="L640" s="17">
        <v>0.08</v>
      </c>
      <c r="M640" s="19">
        <v>2.2400000000000002</v>
      </c>
      <c r="N640" s="18">
        <f t="shared" si="400"/>
        <v>2.16</v>
      </c>
      <c r="O640" s="20" t="str">
        <f t="shared" si="370"/>
        <v>OK</v>
      </c>
    </row>
    <row r="641" spans="1:15" ht="12" customHeight="1" x14ac:dyDescent="0.25">
      <c r="A641" s="91" t="s">
        <v>16</v>
      </c>
      <c r="B641" s="32">
        <v>3</v>
      </c>
      <c r="C641" s="36">
        <v>1208372</v>
      </c>
      <c r="D641" s="52">
        <v>46206</v>
      </c>
      <c r="E641" s="32" t="s">
        <v>15</v>
      </c>
      <c r="F641" s="32" t="str">
        <f t="shared" ref="F641:G641" si="429">F640</f>
        <v>M22</v>
      </c>
      <c r="G641" s="61" t="str">
        <f t="shared" si="429"/>
        <v>307</v>
      </c>
      <c r="H641" s="72" t="str">
        <f>H640</f>
        <v>C5</v>
      </c>
      <c r="I641" s="72">
        <f>I640</f>
        <v>1</v>
      </c>
      <c r="J641" s="37" t="s">
        <v>37</v>
      </c>
      <c r="K641" s="37">
        <v>32</v>
      </c>
      <c r="L641" s="17">
        <v>0.3</v>
      </c>
      <c r="M641" s="19">
        <v>1.3</v>
      </c>
      <c r="N641" s="18">
        <f t="shared" si="400"/>
        <v>1</v>
      </c>
      <c r="O641" s="20" t="str">
        <f t="shared" si="370"/>
        <v>Seguimiento</v>
      </c>
    </row>
    <row r="642" spans="1:15" ht="12" customHeight="1" x14ac:dyDescent="0.25">
      <c r="A642" s="91" t="s">
        <v>16</v>
      </c>
      <c r="B642" s="32">
        <v>3</v>
      </c>
      <c r="C642" s="36">
        <v>1208372</v>
      </c>
      <c r="D642" s="52">
        <v>46206</v>
      </c>
      <c r="E642" s="32" t="s">
        <v>15</v>
      </c>
      <c r="F642" s="32" t="str">
        <f t="shared" ref="F642:G642" si="430">F641</f>
        <v>M22</v>
      </c>
      <c r="G642" s="61" t="str">
        <f t="shared" si="430"/>
        <v>307</v>
      </c>
      <c r="H642" s="72" t="str">
        <f>H641</f>
        <v>C5</v>
      </c>
      <c r="I642" s="72">
        <f>I641</f>
        <v>1</v>
      </c>
      <c r="J642" s="37" t="s">
        <v>38</v>
      </c>
      <c r="K642" s="37">
        <v>32</v>
      </c>
      <c r="L642" s="17">
        <v>1.76</v>
      </c>
      <c r="M642" s="19">
        <v>3.54</v>
      </c>
      <c r="N642" s="18">
        <f t="shared" si="400"/>
        <v>1.78</v>
      </c>
      <c r="O642" s="20" t="str">
        <f t="shared" si="370"/>
        <v>Reperfilado</v>
      </c>
    </row>
    <row r="643" spans="1:15" ht="12" customHeight="1" x14ac:dyDescent="0.25">
      <c r="A643" s="91" t="s">
        <v>16</v>
      </c>
      <c r="B643" s="32">
        <v>3</v>
      </c>
      <c r="C643" s="36">
        <v>1208372</v>
      </c>
      <c r="D643" s="52">
        <v>46206</v>
      </c>
      <c r="E643" s="32" t="s">
        <v>15</v>
      </c>
      <c r="F643" s="32" t="s">
        <v>40</v>
      </c>
      <c r="G643" s="61" t="s">
        <v>60</v>
      </c>
      <c r="H643" s="72" t="s">
        <v>43</v>
      </c>
      <c r="I643" s="72">
        <v>2</v>
      </c>
      <c r="J643" s="37" t="s">
        <v>31</v>
      </c>
      <c r="K643" s="37">
        <v>33</v>
      </c>
      <c r="L643" s="17">
        <v>1.18</v>
      </c>
      <c r="M643" s="19">
        <v>3.43</v>
      </c>
      <c r="N643" s="18">
        <f t="shared" si="400"/>
        <v>2.25</v>
      </c>
      <c r="O643" s="20" t="str">
        <f t="shared" si="370"/>
        <v>OK</v>
      </c>
    </row>
    <row r="644" spans="1:15" ht="12" customHeight="1" x14ac:dyDescent="0.25">
      <c r="A644" s="91" t="s">
        <v>16</v>
      </c>
      <c r="B644" s="32">
        <v>3</v>
      </c>
      <c r="C644" s="36">
        <v>1208372</v>
      </c>
      <c r="D644" s="52">
        <v>46206</v>
      </c>
      <c r="E644" s="32" t="s">
        <v>15</v>
      </c>
      <c r="F644" s="32" t="str">
        <f t="shared" ref="F644:I644" si="431">F643</f>
        <v>M21</v>
      </c>
      <c r="G644" s="61" t="str">
        <f t="shared" si="431"/>
        <v>010</v>
      </c>
      <c r="H644" s="72" t="str">
        <f t="shared" si="431"/>
        <v>C4</v>
      </c>
      <c r="I644" s="72">
        <f t="shared" si="431"/>
        <v>2</v>
      </c>
      <c r="J644" s="37" t="s">
        <v>32</v>
      </c>
      <c r="K644" s="37">
        <v>33</v>
      </c>
      <c r="L644" s="17">
        <v>0.1</v>
      </c>
      <c r="M644" s="19">
        <v>2.44</v>
      </c>
      <c r="N644" s="18">
        <f t="shared" si="400"/>
        <v>2.34</v>
      </c>
      <c r="O644" s="20" t="str">
        <f t="shared" ref="O644:O674" si="432">IF(N644&lt;=0,"Critico",IF(N644&lt;=0.2,"Cambio",IF(N644&lt;=1,"Seguimiento",IF(L644&gt;=1.7,"Reperfilado","OK"))))</f>
        <v>OK</v>
      </c>
    </row>
    <row r="645" spans="1:15" ht="12" customHeight="1" x14ac:dyDescent="0.25">
      <c r="A645" s="91" t="s">
        <v>16</v>
      </c>
      <c r="B645" s="32">
        <v>3</v>
      </c>
      <c r="C645" s="36">
        <v>1208372</v>
      </c>
      <c r="D645" s="52">
        <v>46206</v>
      </c>
      <c r="E645" s="32" t="s">
        <v>15</v>
      </c>
      <c r="F645" s="32" t="str">
        <f t="shared" ref="F645:I645" si="433">F644</f>
        <v>M21</v>
      </c>
      <c r="G645" s="61" t="str">
        <f t="shared" si="433"/>
        <v>010</v>
      </c>
      <c r="H645" s="72" t="str">
        <f t="shared" si="433"/>
        <v>C4</v>
      </c>
      <c r="I645" s="72">
        <f t="shared" si="433"/>
        <v>2</v>
      </c>
      <c r="J645" s="37" t="s">
        <v>33</v>
      </c>
      <c r="K645" s="37">
        <v>34</v>
      </c>
      <c r="L645" s="17">
        <v>0.25</v>
      </c>
      <c r="M645" s="19">
        <v>2.69</v>
      </c>
      <c r="N645" s="18">
        <f t="shared" si="400"/>
        <v>2.44</v>
      </c>
      <c r="O645" s="20" t="str">
        <f t="shared" si="432"/>
        <v>OK</v>
      </c>
    </row>
    <row r="646" spans="1:15" ht="12" customHeight="1" x14ac:dyDescent="0.25">
      <c r="A646" s="91" t="s">
        <v>16</v>
      </c>
      <c r="B646" s="32">
        <v>3</v>
      </c>
      <c r="C646" s="36">
        <v>1208372</v>
      </c>
      <c r="D646" s="52">
        <v>46206</v>
      </c>
      <c r="E646" s="32" t="s">
        <v>15</v>
      </c>
      <c r="F646" s="32" t="str">
        <f t="shared" ref="F646:I646" si="434">F645</f>
        <v>M21</v>
      </c>
      <c r="G646" s="61" t="str">
        <f t="shared" si="434"/>
        <v>010</v>
      </c>
      <c r="H646" s="72" t="str">
        <f t="shared" si="434"/>
        <v>C4</v>
      </c>
      <c r="I646" s="72">
        <f t="shared" si="434"/>
        <v>2</v>
      </c>
      <c r="J646" s="37" t="s">
        <v>34</v>
      </c>
      <c r="K646" s="37">
        <v>34</v>
      </c>
      <c r="L646" s="17">
        <v>1.1200000000000001</v>
      </c>
      <c r="M646" s="19">
        <v>2.95</v>
      </c>
      <c r="N646" s="18">
        <f t="shared" si="400"/>
        <v>1.83</v>
      </c>
      <c r="O646" s="20" t="str">
        <f t="shared" si="432"/>
        <v>OK</v>
      </c>
    </row>
    <row r="647" spans="1:15" ht="12" customHeight="1" x14ac:dyDescent="0.25">
      <c r="A647" s="91" t="s">
        <v>16</v>
      </c>
      <c r="B647" s="32">
        <v>3</v>
      </c>
      <c r="C647" s="36">
        <v>1208372</v>
      </c>
      <c r="D647" s="52">
        <v>46206</v>
      </c>
      <c r="E647" s="32" t="s">
        <v>15</v>
      </c>
      <c r="F647" s="32" t="str">
        <f t="shared" ref="F647:H647" si="435">F646</f>
        <v>M21</v>
      </c>
      <c r="G647" s="61" t="str">
        <f t="shared" si="435"/>
        <v>010</v>
      </c>
      <c r="H647" s="72" t="str">
        <f t="shared" si="435"/>
        <v>C4</v>
      </c>
      <c r="I647" s="72">
        <v>1</v>
      </c>
      <c r="J647" s="37" t="s">
        <v>35</v>
      </c>
      <c r="K647" s="37">
        <v>35</v>
      </c>
      <c r="L647" s="17">
        <v>0.54</v>
      </c>
      <c r="M647" s="19">
        <v>2.11</v>
      </c>
      <c r="N647" s="18">
        <f t="shared" si="400"/>
        <v>1.5699999999999998</v>
      </c>
      <c r="O647" s="20" t="str">
        <f t="shared" si="432"/>
        <v>OK</v>
      </c>
    </row>
    <row r="648" spans="1:15" ht="12" customHeight="1" x14ac:dyDescent="0.25">
      <c r="A648" s="91" t="s">
        <v>16</v>
      </c>
      <c r="B648" s="32">
        <v>3</v>
      </c>
      <c r="C648" s="36">
        <v>1208372</v>
      </c>
      <c r="D648" s="52">
        <v>46206</v>
      </c>
      <c r="E648" s="32" t="s">
        <v>15</v>
      </c>
      <c r="F648" s="32" t="str">
        <f t="shared" ref="F648:H648" si="436">F647</f>
        <v>M21</v>
      </c>
      <c r="G648" s="61" t="str">
        <f t="shared" si="436"/>
        <v>010</v>
      </c>
      <c r="H648" s="72" t="str">
        <f t="shared" si="436"/>
        <v>C4</v>
      </c>
      <c r="I648" s="72">
        <f>I647</f>
        <v>1</v>
      </c>
      <c r="J648" s="37" t="s">
        <v>36</v>
      </c>
      <c r="K648" s="37">
        <v>35</v>
      </c>
      <c r="L648" s="17">
        <v>0.13</v>
      </c>
      <c r="M648" s="19">
        <v>3.89</v>
      </c>
      <c r="N648" s="18">
        <f t="shared" si="400"/>
        <v>3.7600000000000002</v>
      </c>
      <c r="O648" s="20" t="str">
        <f t="shared" si="432"/>
        <v>OK</v>
      </c>
    </row>
    <row r="649" spans="1:15" ht="12" customHeight="1" x14ac:dyDescent="0.25">
      <c r="A649" s="91" t="s">
        <v>16</v>
      </c>
      <c r="B649" s="32">
        <v>3</v>
      </c>
      <c r="C649" s="36">
        <v>1208372</v>
      </c>
      <c r="D649" s="52">
        <v>46206</v>
      </c>
      <c r="E649" s="32" t="s">
        <v>15</v>
      </c>
      <c r="F649" s="32" t="str">
        <f t="shared" ref="F649:H649" si="437">F648</f>
        <v>M21</v>
      </c>
      <c r="G649" s="61" t="str">
        <f t="shared" si="437"/>
        <v>010</v>
      </c>
      <c r="H649" s="72" t="str">
        <f t="shared" si="437"/>
        <v>C4</v>
      </c>
      <c r="I649" s="72">
        <f>I648</f>
        <v>1</v>
      </c>
      <c r="J649" s="37" t="s">
        <v>37</v>
      </c>
      <c r="K649" s="37">
        <v>36</v>
      </c>
      <c r="L649" s="17">
        <v>0.09</v>
      </c>
      <c r="M649" s="19">
        <v>1.9</v>
      </c>
      <c r="N649" s="18">
        <f t="shared" si="400"/>
        <v>1.8099999999999998</v>
      </c>
      <c r="O649" s="20" t="str">
        <f t="shared" si="432"/>
        <v>OK</v>
      </c>
    </row>
    <row r="650" spans="1:15" ht="12" customHeight="1" x14ac:dyDescent="0.25">
      <c r="A650" s="91" t="s">
        <v>16</v>
      </c>
      <c r="B650" s="32">
        <v>3</v>
      </c>
      <c r="C650" s="36">
        <v>1208372</v>
      </c>
      <c r="D650" s="52">
        <v>46206</v>
      </c>
      <c r="E650" s="32" t="s">
        <v>15</v>
      </c>
      <c r="F650" s="32" t="str">
        <f t="shared" ref="F650:H650" si="438">F649</f>
        <v>M21</v>
      </c>
      <c r="G650" s="61" t="str">
        <f t="shared" si="438"/>
        <v>010</v>
      </c>
      <c r="H650" s="72" t="str">
        <f t="shared" si="438"/>
        <v>C4</v>
      </c>
      <c r="I650" s="72">
        <f>I649</f>
        <v>1</v>
      </c>
      <c r="J650" s="37" t="s">
        <v>38</v>
      </c>
      <c r="K650" s="37">
        <v>36</v>
      </c>
      <c r="L650" s="17">
        <v>0.62</v>
      </c>
      <c r="M650" s="19">
        <v>3.65</v>
      </c>
      <c r="N650" s="18">
        <f t="shared" si="400"/>
        <v>3.03</v>
      </c>
      <c r="O650" s="20" t="str">
        <f t="shared" si="432"/>
        <v>OK</v>
      </c>
    </row>
    <row r="651" spans="1:15" ht="12" customHeight="1" x14ac:dyDescent="0.25">
      <c r="A651" s="91" t="s">
        <v>16</v>
      </c>
      <c r="B651" s="32">
        <v>3</v>
      </c>
      <c r="C651" s="36">
        <v>1208372</v>
      </c>
      <c r="D651" s="52">
        <v>46206</v>
      </c>
      <c r="E651" s="32" t="s">
        <v>15</v>
      </c>
      <c r="F651" s="32" t="str">
        <f t="shared" ref="F651:G651" si="439">F650</f>
        <v>M21</v>
      </c>
      <c r="G651" s="61" t="str">
        <f t="shared" si="439"/>
        <v>010</v>
      </c>
      <c r="H651" s="72" t="s">
        <v>42</v>
      </c>
      <c r="I651" s="72">
        <v>2</v>
      </c>
      <c r="J651" s="37" t="s">
        <v>31</v>
      </c>
      <c r="K651" s="37">
        <v>37</v>
      </c>
      <c r="L651" s="17">
        <v>0.74</v>
      </c>
      <c r="M651" s="19">
        <v>3.79</v>
      </c>
      <c r="N651" s="18">
        <f t="shared" si="400"/>
        <v>3.05</v>
      </c>
      <c r="O651" s="20" t="str">
        <f t="shared" si="432"/>
        <v>OK</v>
      </c>
    </row>
    <row r="652" spans="1:15" ht="12" customHeight="1" x14ac:dyDescent="0.25">
      <c r="A652" s="91" t="s">
        <v>16</v>
      </c>
      <c r="B652" s="32">
        <v>3</v>
      </c>
      <c r="C652" s="36">
        <v>1208372</v>
      </c>
      <c r="D652" s="52">
        <v>46206</v>
      </c>
      <c r="E652" s="32" t="s">
        <v>15</v>
      </c>
      <c r="F652" s="32" t="str">
        <f t="shared" ref="F652:I652" si="440">F651</f>
        <v>M21</v>
      </c>
      <c r="G652" s="61" t="str">
        <f t="shared" si="440"/>
        <v>010</v>
      </c>
      <c r="H652" s="72" t="str">
        <f t="shared" si="440"/>
        <v>C3</v>
      </c>
      <c r="I652" s="72">
        <f t="shared" si="440"/>
        <v>2</v>
      </c>
      <c r="J652" s="37" t="s">
        <v>32</v>
      </c>
      <c r="K652" s="37">
        <v>37</v>
      </c>
      <c r="L652" s="17">
        <v>0.52</v>
      </c>
      <c r="M652" s="19">
        <v>2.89</v>
      </c>
      <c r="N652" s="18">
        <f t="shared" si="400"/>
        <v>2.37</v>
      </c>
      <c r="O652" s="20" t="str">
        <f t="shared" si="432"/>
        <v>OK</v>
      </c>
    </row>
    <row r="653" spans="1:15" ht="12" customHeight="1" x14ac:dyDescent="0.25">
      <c r="A653" s="91" t="s">
        <v>16</v>
      </c>
      <c r="B653" s="32">
        <v>3</v>
      </c>
      <c r="C653" s="36">
        <v>1208372</v>
      </c>
      <c r="D653" s="52">
        <v>46206</v>
      </c>
      <c r="E653" s="32" t="s">
        <v>15</v>
      </c>
      <c r="F653" s="32" t="str">
        <f t="shared" ref="F653:I653" si="441">F652</f>
        <v>M21</v>
      </c>
      <c r="G653" s="61" t="str">
        <f t="shared" si="441"/>
        <v>010</v>
      </c>
      <c r="H653" s="72" t="str">
        <f t="shared" si="441"/>
        <v>C3</v>
      </c>
      <c r="I653" s="72">
        <f t="shared" si="441"/>
        <v>2</v>
      </c>
      <c r="J653" s="37" t="s">
        <v>33</v>
      </c>
      <c r="K653" s="37">
        <v>38</v>
      </c>
      <c r="L653" s="17">
        <v>0.38</v>
      </c>
      <c r="M653" s="19">
        <v>2.25</v>
      </c>
      <c r="N653" s="18">
        <f t="shared" si="400"/>
        <v>1.87</v>
      </c>
      <c r="O653" s="20" t="str">
        <f t="shared" si="432"/>
        <v>OK</v>
      </c>
    </row>
    <row r="654" spans="1:15" ht="12" customHeight="1" x14ac:dyDescent="0.25">
      <c r="A654" s="91" t="s">
        <v>16</v>
      </c>
      <c r="B654" s="32">
        <v>3</v>
      </c>
      <c r="C654" s="36">
        <v>1208372</v>
      </c>
      <c r="D654" s="52">
        <v>46206</v>
      </c>
      <c r="E654" s="32" t="s">
        <v>15</v>
      </c>
      <c r="F654" s="32" t="str">
        <f t="shared" ref="F654:I654" si="442">F653</f>
        <v>M21</v>
      </c>
      <c r="G654" s="61" t="str">
        <f t="shared" si="442"/>
        <v>010</v>
      </c>
      <c r="H654" s="72" t="str">
        <f t="shared" si="442"/>
        <v>C3</v>
      </c>
      <c r="I654" s="72">
        <f t="shared" si="442"/>
        <v>2</v>
      </c>
      <c r="J654" s="37" t="s">
        <v>34</v>
      </c>
      <c r="K654" s="37">
        <v>38</v>
      </c>
      <c r="L654" s="17">
        <v>0.2</v>
      </c>
      <c r="M654" s="19">
        <v>0.82</v>
      </c>
      <c r="N654" s="18">
        <f t="shared" si="400"/>
        <v>0.61999999999999988</v>
      </c>
      <c r="O654" s="20" t="str">
        <f t="shared" si="432"/>
        <v>Seguimiento</v>
      </c>
    </row>
    <row r="655" spans="1:15" ht="12" customHeight="1" x14ac:dyDescent="0.25">
      <c r="A655" s="91" t="s">
        <v>16</v>
      </c>
      <c r="B655" s="32">
        <v>3</v>
      </c>
      <c r="C655" s="36">
        <v>1208372</v>
      </c>
      <c r="D655" s="52">
        <v>46206</v>
      </c>
      <c r="E655" s="32" t="s">
        <v>15</v>
      </c>
      <c r="F655" s="32" t="str">
        <f t="shared" ref="F655:G655" si="443">F654</f>
        <v>M21</v>
      </c>
      <c r="G655" s="61" t="str">
        <f t="shared" si="443"/>
        <v>010</v>
      </c>
      <c r="H655" s="72" t="str">
        <f>H654</f>
        <v>C3</v>
      </c>
      <c r="I655" s="72">
        <v>1</v>
      </c>
      <c r="J655" s="37" t="s">
        <v>35</v>
      </c>
      <c r="K655" s="37">
        <v>39</v>
      </c>
      <c r="L655" s="17">
        <v>0.82</v>
      </c>
      <c r="M655" s="19">
        <v>3.69</v>
      </c>
      <c r="N655" s="18">
        <f t="shared" si="400"/>
        <v>2.87</v>
      </c>
      <c r="O655" s="20" t="str">
        <f t="shared" si="432"/>
        <v>OK</v>
      </c>
    </row>
    <row r="656" spans="1:15" ht="12" customHeight="1" x14ac:dyDescent="0.25">
      <c r="A656" s="91" t="s">
        <v>16</v>
      </c>
      <c r="B656" s="32">
        <v>3</v>
      </c>
      <c r="C656" s="36">
        <v>1208372</v>
      </c>
      <c r="D656" s="52">
        <v>46206</v>
      </c>
      <c r="E656" s="32" t="s">
        <v>15</v>
      </c>
      <c r="F656" s="32" t="str">
        <f t="shared" ref="F656:G656" si="444">F655</f>
        <v>M21</v>
      </c>
      <c r="G656" s="61" t="str">
        <f t="shared" si="444"/>
        <v>010</v>
      </c>
      <c r="H656" s="72" t="str">
        <f>H655</f>
        <v>C3</v>
      </c>
      <c r="I656" s="72">
        <f>I655</f>
        <v>1</v>
      </c>
      <c r="J656" s="37" t="s">
        <v>36</v>
      </c>
      <c r="K656" s="37">
        <v>39</v>
      </c>
      <c r="L656" s="17">
        <v>0.48</v>
      </c>
      <c r="M656" s="19">
        <v>3.69</v>
      </c>
      <c r="N656" s="18">
        <f t="shared" si="400"/>
        <v>3.21</v>
      </c>
      <c r="O656" s="20" t="str">
        <f t="shared" si="432"/>
        <v>OK</v>
      </c>
    </row>
    <row r="657" spans="1:15" ht="12" customHeight="1" x14ac:dyDescent="0.25">
      <c r="A657" s="91" t="s">
        <v>16</v>
      </c>
      <c r="B657" s="32">
        <v>3</v>
      </c>
      <c r="C657" s="36">
        <v>1208372</v>
      </c>
      <c r="D657" s="52">
        <v>46206</v>
      </c>
      <c r="E657" s="32" t="s">
        <v>15</v>
      </c>
      <c r="F657" s="32" t="str">
        <f t="shared" ref="F657:G657" si="445">F656</f>
        <v>M21</v>
      </c>
      <c r="G657" s="61" t="str">
        <f t="shared" si="445"/>
        <v>010</v>
      </c>
      <c r="H657" s="72" t="str">
        <f>H656</f>
        <v>C3</v>
      </c>
      <c r="I657" s="72">
        <f>I656</f>
        <v>1</v>
      </c>
      <c r="J657" s="37" t="s">
        <v>37</v>
      </c>
      <c r="K657" s="37">
        <v>40</v>
      </c>
      <c r="L657" s="17">
        <v>0.09</v>
      </c>
      <c r="M657" s="19">
        <v>2.8</v>
      </c>
      <c r="N657" s="18">
        <f t="shared" si="400"/>
        <v>2.71</v>
      </c>
      <c r="O657" s="20" t="str">
        <f t="shared" si="432"/>
        <v>OK</v>
      </c>
    </row>
    <row r="658" spans="1:15" ht="12" customHeight="1" x14ac:dyDescent="0.25">
      <c r="A658" s="91" t="s">
        <v>16</v>
      </c>
      <c r="B658" s="32">
        <v>3</v>
      </c>
      <c r="C658" s="36">
        <v>1208372</v>
      </c>
      <c r="D658" s="52">
        <v>46206</v>
      </c>
      <c r="E658" s="32" t="s">
        <v>15</v>
      </c>
      <c r="F658" s="32" t="str">
        <f t="shared" ref="F658:G658" si="446">F657</f>
        <v>M21</v>
      </c>
      <c r="G658" s="61" t="str">
        <f t="shared" si="446"/>
        <v>010</v>
      </c>
      <c r="H658" s="72" t="str">
        <f>H657</f>
        <v>C3</v>
      </c>
      <c r="I658" s="72">
        <f>I657</f>
        <v>1</v>
      </c>
      <c r="J658" s="37" t="s">
        <v>38</v>
      </c>
      <c r="K658" s="37">
        <v>40</v>
      </c>
      <c r="L658" s="17">
        <v>0.65</v>
      </c>
      <c r="M658" s="19">
        <v>1.1299999999999999</v>
      </c>
      <c r="N658" s="18">
        <f t="shared" si="400"/>
        <v>0.47999999999999987</v>
      </c>
      <c r="O658" s="20" t="str">
        <f t="shared" si="432"/>
        <v>Seguimiento</v>
      </c>
    </row>
    <row r="659" spans="1:15" ht="12" customHeight="1" x14ac:dyDescent="0.25">
      <c r="A659" s="91" t="s">
        <v>16</v>
      </c>
      <c r="B659" s="32">
        <v>3</v>
      </c>
      <c r="C659" s="36">
        <v>1208372</v>
      </c>
      <c r="D659" s="52">
        <v>46206</v>
      </c>
      <c r="E659" s="32" t="s">
        <v>15</v>
      </c>
      <c r="F659" s="32" t="s">
        <v>28</v>
      </c>
      <c r="G659" s="61" t="s">
        <v>59</v>
      </c>
      <c r="H659" s="72" t="s">
        <v>39</v>
      </c>
      <c r="I659" s="72">
        <v>2</v>
      </c>
      <c r="J659" s="37" t="s">
        <v>31</v>
      </c>
      <c r="K659" s="37">
        <v>41</v>
      </c>
      <c r="L659" s="17">
        <v>1.02</v>
      </c>
      <c r="M659" s="19">
        <v>2.3199999999999998</v>
      </c>
      <c r="N659" s="18">
        <f t="shared" si="400"/>
        <v>1.2999999999999998</v>
      </c>
      <c r="O659" s="20" t="str">
        <f t="shared" si="432"/>
        <v>OK</v>
      </c>
    </row>
    <row r="660" spans="1:15" ht="12" customHeight="1" x14ac:dyDescent="0.25">
      <c r="A660" s="91" t="s">
        <v>16</v>
      </c>
      <c r="B660" s="32">
        <v>3</v>
      </c>
      <c r="C660" s="36">
        <v>1208372</v>
      </c>
      <c r="D660" s="52">
        <v>46206</v>
      </c>
      <c r="E660" s="32" t="s">
        <v>15</v>
      </c>
      <c r="F660" s="32" t="str">
        <f t="shared" ref="F660:I660" si="447">F659</f>
        <v>M20</v>
      </c>
      <c r="G660" s="61" t="str">
        <f t="shared" si="447"/>
        <v>009</v>
      </c>
      <c r="H660" s="72" t="str">
        <f t="shared" si="447"/>
        <v>C2</v>
      </c>
      <c r="I660" s="72">
        <f t="shared" si="447"/>
        <v>2</v>
      </c>
      <c r="J660" s="37" t="s">
        <v>32</v>
      </c>
      <c r="K660" s="37">
        <v>41</v>
      </c>
      <c r="L660" s="17">
        <v>0.1</v>
      </c>
      <c r="M660" s="19">
        <v>1.19</v>
      </c>
      <c r="N660" s="18">
        <f t="shared" si="400"/>
        <v>1.0899999999999999</v>
      </c>
      <c r="O660" s="20" t="str">
        <f t="shared" si="432"/>
        <v>OK</v>
      </c>
    </row>
    <row r="661" spans="1:15" ht="12" customHeight="1" x14ac:dyDescent="0.25">
      <c r="A661" s="91" t="s">
        <v>16</v>
      </c>
      <c r="B661" s="32">
        <v>3</v>
      </c>
      <c r="C661" s="36">
        <v>1208372</v>
      </c>
      <c r="D661" s="52">
        <v>46206</v>
      </c>
      <c r="E661" s="32" t="s">
        <v>15</v>
      </c>
      <c r="F661" s="32" t="str">
        <f t="shared" ref="F661:I661" si="448">F660</f>
        <v>M20</v>
      </c>
      <c r="G661" s="61" t="str">
        <f t="shared" si="448"/>
        <v>009</v>
      </c>
      <c r="H661" s="72" t="str">
        <f t="shared" si="448"/>
        <v>C2</v>
      </c>
      <c r="I661" s="72">
        <f t="shared" si="448"/>
        <v>2</v>
      </c>
      <c r="J661" s="37" t="s">
        <v>33</v>
      </c>
      <c r="K661" s="37">
        <v>42</v>
      </c>
      <c r="L661" s="17">
        <v>0.17</v>
      </c>
      <c r="M661" s="19">
        <v>1.7</v>
      </c>
      <c r="N661" s="18">
        <f t="shared" si="400"/>
        <v>1.53</v>
      </c>
      <c r="O661" s="20" t="str">
        <f t="shared" si="432"/>
        <v>OK</v>
      </c>
    </row>
    <row r="662" spans="1:15" ht="12" customHeight="1" x14ac:dyDescent="0.25">
      <c r="A662" s="91" t="s">
        <v>16</v>
      </c>
      <c r="B662" s="32">
        <v>3</v>
      </c>
      <c r="C662" s="36">
        <v>1208372</v>
      </c>
      <c r="D662" s="52">
        <v>46206</v>
      </c>
      <c r="E662" s="32" t="s">
        <v>15</v>
      </c>
      <c r="F662" s="32" t="str">
        <f t="shared" ref="F662:I662" si="449">F661</f>
        <v>M20</v>
      </c>
      <c r="G662" s="61" t="str">
        <f t="shared" si="449"/>
        <v>009</v>
      </c>
      <c r="H662" s="72" t="str">
        <f t="shared" si="449"/>
        <v>C2</v>
      </c>
      <c r="I662" s="72">
        <f t="shared" si="449"/>
        <v>2</v>
      </c>
      <c r="J662" s="37" t="s">
        <v>34</v>
      </c>
      <c r="K662" s="37">
        <v>42</v>
      </c>
      <c r="L662" s="17">
        <v>0.18</v>
      </c>
      <c r="M662" s="19">
        <v>4.45</v>
      </c>
      <c r="N662" s="18">
        <f t="shared" si="400"/>
        <v>4.2700000000000005</v>
      </c>
      <c r="O662" s="20" t="str">
        <f t="shared" si="432"/>
        <v>OK</v>
      </c>
    </row>
    <row r="663" spans="1:15" ht="12" customHeight="1" x14ac:dyDescent="0.25">
      <c r="A663" s="91" t="s">
        <v>16</v>
      </c>
      <c r="B663" s="32">
        <v>3</v>
      </c>
      <c r="C663" s="36">
        <v>1208372</v>
      </c>
      <c r="D663" s="52">
        <v>46206</v>
      </c>
      <c r="E663" s="32" t="s">
        <v>15</v>
      </c>
      <c r="F663" s="32" t="str">
        <f t="shared" ref="F663:H663" si="450">F662</f>
        <v>M20</v>
      </c>
      <c r="G663" s="61" t="str">
        <f t="shared" si="450"/>
        <v>009</v>
      </c>
      <c r="H663" s="72" t="str">
        <f t="shared" si="450"/>
        <v>C2</v>
      </c>
      <c r="I663" s="72">
        <v>1</v>
      </c>
      <c r="J663" s="37" t="s">
        <v>35</v>
      </c>
      <c r="K663" s="37">
        <v>43</v>
      </c>
      <c r="L663" s="17">
        <v>0.44</v>
      </c>
      <c r="M663" s="19">
        <v>3.91</v>
      </c>
      <c r="N663" s="18">
        <f t="shared" si="400"/>
        <v>3.47</v>
      </c>
      <c r="O663" s="20" t="str">
        <f t="shared" si="432"/>
        <v>OK</v>
      </c>
    </row>
    <row r="664" spans="1:15" ht="12" customHeight="1" x14ac:dyDescent="0.25">
      <c r="A664" s="91" t="s">
        <v>16</v>
      </c>
      <c r="B664" s="32">
        <v>3</v>
      </c>
      <c r="C664" s="36">
        <v>1208372</v>
      </c>
      <c r="D664" s="52">
        <v>46206</v>
      </c>
      <c r="E664" s="32" t="s">
        <v>15</v>
      </c>
      <c r="F664" s="32" t="str">
        <f t="shared" ref="F664:H664" si="451">F663</f>
        <v>M20</v>
      </c>
      <c r="G664" s="61" t="str">
        <f t="shared" si="451"/>
        <v>009</v>
      </c>
      <c r="H664" s="72" t="str">
        <f t="shared" si="451"/>
        <v>C2</v>
      </c>
      <c r="I664" s="72">
        <f>I663</f>
        <v>1</v>
      </c>
      <c r="J664" s="37" t="s">
        <v>36</v>
      </c>
      <c r="K664" s="37">
        <v>43</v>
      </c>
      <c r="L664" s="17">
        <v>0.36</v>
      </c>
      <c r="M664" s="19">
        <v>2.1</v>
      </c>
      <c r="N664" s="18">
        <f t="shared" si="400"/>
        <v>1.7400000000000002</v>
      </c>
      <c r="O664" s="20" t="str">
        <f t="shared" si="432"/>
        <v>OK</v>
      </c>
    </row>
    <row r="665" spans="1:15" ht="12" customHeight="1" x14ac:dyDescent="0.25">
      <c r="A665" s="91" t="s">
        <v>16</v>
      </c>
      <c r="B665" s="32">
        <v>3</v>
      </c>
      <c r="C665" s="36">
        <v>1208372</v>
      </c>
      <c r="D665" s="52">
        <v>46206</v>
      </c>
      <c r="E665" s="32" t="s">
        <v>15</v>
      </c>
      <c r="F665" s="32" t="str">
        <f t="shared" ref="F665:H665" si="452">F664</f>
        <v>M20</v>
      </c>
      <c r="G665" s="61" t="str">
        <f t="shared" si="452"/>
        <v>009</v>
      </c>
      <c r="H665" s="72" t="str">
        <f t="shared" si="452"/>
        <v>C2</v>
      </c>
      <c r="I665" s="72">
        <f>I664</f>
        <v>1</v>
      </c>
      <c r="J665" s="37" t="s">
        <v>37</v>
      </c>
      <c r="K665" s="37">
        <v>44</v>
      </c>
      <c r="L665" s="17">
        <v>0.32</v>
      </c>
      <c r="M665" s="19">
        <v>2.36</v>
      </c>
      <c r="N665" s="18">
        <f t="shared" si="400"/>
        <v>2.04</v>
      </c>
      <c r="O665" s="20" t="str">
        <f t="shared" si="432"/>
        <v>OK</v>
      </c>
    </row>
    <row r="666" spans="1:15" ht="12" customHeight="1" x14ac:dyDescent="0.25">
      <c r="A666" s="91" t="s">
        <v>16</v>
      </c>
      <c r="B666" s="32">
        <v>3</v>
      </c>
      <c r="C666" s="36">
        <v>1208372</v>
      </c>
      <c r="D666" s="52">
        <v>46206</v>
      </c>
      <c r="E666" s="32" t="s">
        <v>15</v>
      </c>
      <c r="F666" s="32" t="str">
        <f t="shared" ref="F666:H666" si="453">F665</f>
        <v>M20</v>
      </c>
      <c r="G666" s="61" t="str">
        <f t="shared" si="453"/>
        <v>009</v>
      </c>
      <c r="H666" s="72" t="str">
        <f t="shared" si="453"/>
        <v>C2</v>
      </c>
      <c r="I666" s="72">
        <f>I665</f>
        <v>1</v>
      </c>
      <c r="J666" s="37" t="s">
        <v>38</v>
      </c>
      <c r="K666" s="37">
        <v>44</v>
      </c>
      <c r="L666" s="17">
        <v>0.4</v>
      </c>
      <c r="M666" s="19">
        <v>2.46</v>
      </c>
      <c r="N666" s="18">
        <f t="shared" si="400"/>
        <v>2.06</v>
      </c>
      <c r="O666" s="20" t="str">
        <f t="shared" si="432"/>
        <v>OK</v>
      </c>
    </row>
    <row r="667" spans="1:15" ht="12" customHeight="1" x14ac:dyDescent="0.25">
      <c r="A667" s="91" t="s">
        <v>16</v>
      </c>
      <c r="B667" s="32">
        <v>3</v>
      </c>
      <c r="C667" s="36">
        <v>1208372</v>
      </c>
      <c r="D667" s="52">
        <v>46206</v>
      </c>
      <c r="E667" s="32" t="s">
        <v>15</v>
      </c>
      <c r="F667" s="32" t="str">
        <f t="shared" ref="F667:G667" si="454">F666</f>
        <v>M20</v>
      </c>
      <c r="G667" s="61" t="str">
        <f t="shared" si="454"/>
        <v>009</v>
      </c>
      <c r="H667" s="72" t="s">
        <v>30</v>
      </c>
      <c r="I667" s="72">
        <v>2</v>
      </c>
      <c r="J667" s="37" t="s">
        <v>31</v>
      </c>
      <c r="K667" s="37">
        <v>45</v>
      </c>
      <c r="L667" s="17">
        <v>0.48</v>
      </c>
      <c r="M667" s="19">
        <v>4.26</v>
      </c>
      <c r="N667" s="18">
        <f t="shared" si="400"/>
        <v>3.78</v>
      </c>
      <c r="O667" s="20" t="str">
        <f t="shared" si="432"/>
        <v>OK</v>
      </c>
    </row>
    <row r="668" spans="1:15" ht="12" customHeight="1" x14ac:dyDescent="0.25">
      <c r="A668" s="91" t="s">
        <v>16</v>
      </c>
      <c r="B668" s="32">
        <v>3</v>
      </c>
      <c r="C668" s="36">
        <v>1208372</v>
      </c>
      <c r="D668" s="52">
        <v>46206</v>
      </c>
      <c r="E668" s="32" t="s">
        <v>15</v>
      </c>
      <c r="F668" s="32" t="str">
        <f t="shared" ref="F668:I668" si="455">F667</f>
        <v>M20</v>
      </c>
      <c r="G668" s="61" t="str">
        <f t="shared" si="455"/>
        <v>009</v>
      </c>
      <c r="H668" s="72" t="str">
        <f t="shared" si="455"/>
        <v>C1</v>
      </c>
      <c r="I668" s="72">
        <f t="shared" si="455"/>
        <v>2</v>
      </c>
      <c r="J668" s="37" t="s">
        <v>32</v>
      </c>
      <c r="K668" s="37">
        <v>45</v>
      </c>
      <c r="L668" s="17">
        <v>0.14000000000000001</v>
      </c>
      <c r="M668" s="19">
        <v>5.03</v>
      </c>
      <c r="N668" s="18">
        <f t="shared" si="400"/>
        <v>4.8900000000000006</v>
      </c>
      <c r="O668" s="20" t="str">
        <f t="shared" si="432"/>
        <v>OK</v>
      </c>
    </row>
    <row r="669" spans="1:15" ht="12" customHeight="1" x14ac:dyDescent="0.25">
      <c r="A669" s="91" t="s">
        <v>16</v>
      </c>
      <c r="B669" s="32">
        <v>3</v>
      </c>
      <c r="C669" s="36">
        <v>1208372</v>
      </c>
      <c r="D669" s="52">
        <v>46206</v>
      </c>
      <c r="E669" s="32" t="s">
        <v>15</v>
      </c>
      <c r="F669" s="32" t="str">
        <f t="shared" ref="F669:I669" si="456">F668</f>
        <v>M20</v>
      </c>
      <c r="G669" s="61" t="str">
        <f t="shared" si="456"/>
        <v>009</v>
      </c>
      <c r="H669" s="72" t="str">
        <f t="shared" si="456"/>
        <v>C1</v>
      </c>
      <c r="I669" s="72">
        <f t="shared" si="456"/>
        <v>2</v>
      </c>
      <c r="J669" s="37" t="s">
        <v>33</v>
      </c>
      <c r="K669" s="37">
        <v>46</v>
      </c>
      <c r="L669" s="17">
        <v>0.74</v>
      </c>
      <c r="M669" s="19">
        <v>2.6</v>
      </c>
      <c r="N669" s="18">
        <f t="shared" si="400"/>
        <v>1.86</v>
      </c>
      <c r="O669" s="20" t="str">
        <f t="shared" si="432"/>
        <v>OK</v>
      </c>
    </row>
    <row r="670" spans="1:15" ht="12" customHeight="1" x14ac:dyDescent="0.25">
      <c r="A670" s="91" t="s">
        <v>16</v>
      </c>
      <c r="B670" s="32">
        <v>3</v>
      </c>
      <c r="C670" s="36">
        <v>1208372</v>
      </c>
      <c r="D670" s="52">
        <v>46206</v>
      </c>
      <c r="E670" s="32" t="s">
        <v>15</v>
      </c>
      <c r="F670" s="32" t="str">
        <f t="shared" ref="F670:I670" si="457">F669</f>
        <v>M20</v>
      </c>
      <c r="G670" s="61" t="str">
        <f t="shared" si="457"/>
        <v>009</v>
      </c>
      <c r="H670" s="72" t="str">
        <f t="shared" si="457"/>
        <v>C1</v>
      </c>
      <c r="I670" s="72">
        <f t="shared" si="457"/>
        <v>2</v>
      </c>
      <c r="J670" s="37" t="s">
        <v>34</v>
      </c>
      <c r="K670" s="37">
        <v>46</v>
      </c>
      <c r="L670" s="17">
        <v>1.1299999999999999</v>
      </c>
      <c r="M670" s="19">
        <v>2.98</v>
      </c>
      <c r="N670" s="18">
        <f t="shared" si="400"/>
        <v>1.85</v>
      </c>
      <c r="O670" s="20" t="str">
        <f t="shared" si="432"/>
        <v>OK</v>
      </c>
    </row>
    <row r="671" spans="1:15" ht="12" customHeight="1" x14ac:dyDescent="0.25">
      <c r="A671" s="91" t="s">
        <v>16</v>
      </c>
      <c r="B671" s="32">
        <v>3</v>
      </c>
      <c r="C671" s="36">
        <v>1208372</v>
      </c>
      <c r="D671" s="52">
        <v>46206</v>
      </c>
      <c r="E671" s="32" t="s">
        <v>15</v>
      </c>
      <c r="F671" s="32" t="str">
        <f t="shared" ref="F671:G671" si="458">F670</f>
        <v>M20</v>
      </c>
      <c r="G671" s="61" t="str">
        <f t="shared" si="458"/>
        <v>009</v>
      </c>
      <c r="H671" s="72" t="str">
        <f>H670</f>
        <v>C1</v>
      </c>
      <c r="I671" s="72">
        <v>1</v>
      </c>
      <c r="J671" s="37" t="s">
        <v>35</v>
      </c>
      <c r="K671" s="37">
        <v>47</v>
      </c>
      <c r="L671" s="17">
        <v>0.12</v>
      </c>
      <c r="M671" s="19">
        <v>4.82</v>
      </c>
      <c r="N671" s="18">
        <f t="shared" si="400"/>
        <v>4.7</v>
      </c>
      <c r="O671" s="20" t="str">
        <f t="shared" si="432"/>
        <v>OK</v>
      </c>
    </row>
    <row r="672" spans="1:15" ht="12" customHeight="1" x14ac:dyDescent="0.25">
      <c r="A672" s="91" t="s">
        <v>16</v>
      </c>
      <c r="B672" s="32">
        <v>3</v>
      </c>
      <c r="C672" s="36">
        <v>1208372</v>
      </c>
      <c r="D672" s="52">
        <v>46206</v>
      </c>
      <c r="E672" s="32" t="s">
        <v>15</v>
      </c>
      <c r="F672" s="32" t="str">
        <f t="shared" ref="F672:G672" si="459">F671</f>
        <v>M20</v>
      </c>
      <c r="G672" s="61" t="str">
        <f t="shared" si="459"/>
        <v>009</v>
      </c>
      <c r="H672" s="72" t="str">
        <f>H671</f>
        <v>C1</v>
      </c>
      <c r="I672" s="72">
        <f>I671</f>
        <v>1</v>
      </c>
      <c r="J672" s="37" t="s">
        <v>36</v>
      </c>
      <c r="K672" s="37">
        <v>47</v>
      </c>
      <c r="L672" s="17">
        <v>0.08</v>
      </c>
      <c r="M672" s="19">
        <v>3.18</v>
      </c>
      <c r="N672" s="18">
        <f t="shared" si="400"/>
        <v>3.1</v>
      </c>
      <c r="O672" s="20" t="str">
        <f t="shared" si="432"/>
        <v>OK</v>
      </c>
    </row>
    <row r="673" spans="1:15" ht="12" customHeight="1" x14ac:dyDescent="0.25">
      <c r="A673" s="91" t="s">
        <v>16</v>
      </c>
      <c r="B673" s="32">
        <v>3</v>
      </c>
      <c r="C673" s="36">
        <v>1208372</v>
      </c>
      <c r="D673" s="52">
        <v>46206</v>
      </c>
      <c r="E673" s="32" t="s">
        <v>15</v>
      </c>
      <c r="F673" s="32" t="str">
        <f t="shared" ref="F673:G673" si="460">F672</f>
        <v>M20</v>
      </c>
      <c r="G673" s="61" t="str">
        <f t="shared" si="460"/>
        <v>009</v>
      </c>
      <c r="H673" s="72" t="str">
        <f>H672</f>
        <v>C1</v>
      </c>
      <c r="I673" s="72">
        <f>I672</f>
        <v>1</v>
      </c>
      <c r="J673" s="37" t="s">
        <v>37</v>
      </c>
      <c r="K673" s="46">
        <v>48</v>
      </c>
      <c r="L673" s="17">
        <v>0.23</v>
      </c>
      <c r="M673" s="24">
        <v>3.62</v>
      </c>
      <c r="N673" s="18">
        <f t="shared" si="400"/>
        <v>3.39</v>
      </c>
      <c r="O673" s="20" t="str">
        <f t="shared" si="432"/>
        <v>OK</v>
      </c>
    </row>
    <row r="674" spans="1:15" ht="12" customHeight="1" x14ac:dyDescent="0.25">
      <c r="A674" s="111" t="s">
        <v>16</v>
      </c>
      <c r="B674" s="43">
        <v>3</v>
      </c>
      <c r="C674" s="36">
        <v>1208372</v>
      </c>
      <c r="D674" s="52">
        <v>46206</v>
      </c>
      <c r="E674" s="43" t="s">
        <v>15</v>
      </c>
      <c r="F674" s="43" t="str">
        <f t="shared" ref="F674:G674" si="461">F673</f>
        <v>M20</v>
      </c>
      <c r="G674" s="112" t="str">
        <f t="shared" si="461"/>
        <v>009</v>
      </c>
      <c r="H674" s="113" t="str">
        <f>H673</f>
        <v>C1</v>
      </c>
      <c r="I674" s="113">
        <f>I673</f>
        <v>1</v>
      </c>
      <c r="J674" s="46" t="s">
        <v>38</v>
      </c>
      <c r="K674" s="46">
        <v>48</v>
      </c>
      <c r="L674" s="23">
        <v>0.69</v>
      </c>
      <c r="M674" s="121">
        <v>3.44</v>
      </c>
      <c r="N674" s="47">
        <f t="shared" si="400"/>
        <v>2.75</v>
      </c>
      <c r="O674" s="20" t="str">
        <f t="shared" si="432"/>
        <v>OK</v>
      </c>
    </row>
  </sheetData>
  <conditionalFormatting sqref="L3:L674">
    <cfRule type="cellIs" dxfId="100" priority="7" operator="greaterThan">
      <formula>1.7</formula>
    </cfRule>
  </conditionalFormatting>
  <conditionalFormatting sqref="N3:N674">
    <cfRule type="cellIs" dxfId="99" priority="6" operator="lessThan">
      <formula>1</formula>
    </cfRule>
  </conditionalFormatting>
  <conditionalFormatting sqref="O3:O674">
    <cfRule type="cellIs" dxfId="98" priority="1" operator="equal">
      <formula>"OK"</formula>
    </cfRule>
    <cfRule type="cellIs" dxfId="97" priority="2" operator="equal">
      <formula>"Cambio"</formula>
    </cfRule>
    <cfRule type="cellIs" dxfId="96" priority="3" operator="equal">
      <formula>"Reperfilado"</formula>
    </cfRule>
    <cfRule type="cellIs" dxfId="95" priority="4" operator="equal">
      <formula>"Seguimiento"</formula>
    </cfRule>
    <cfRule type="cellIs" dxfId="94" priority="5" operator="equal">
      <formula>"Critico"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BA9B3-78B1-4CB6-B953-95EBBFA00CC9}">
  <sheetPr codeName="Hoja8">
    <tabColor rgb="FFFF0000"/>
  </sheetPr>
  <dimension ref="A1:O290"/>
  <sheetViews>
    <sheetView workbookViewId="0">
      <pane ySplit="2" topLeftCell="A263" activePane="bottomLeft" state="frozen"/>
      <selection activeCell="R368" sqref="R368"/>
      <selection pane="bottomLeft" activeCell="R368" sqref="R368"/>
    </sheetView>
  </sheetViews>
  <sheetFormatPr baseColWidth="10" defaultColWidth="9.140625" defaultRowHeight="15" x14ac:dyDescent="0.25"/>
  <cols>
    <col min="1" max="1" width="19.28515625" bestFit="1" customWidth="1"/>
    <col min="2" max="2" width="9.28515625" bestFit="1" customWidth="1"/>
    <col min="3" max="3" width="14.85546875" bestFit="1" customWidth="1"/>
    <col min="4" max="4" width="10.42578125" bestFit="1" customWidth="1"/>
    <col min="5" max="5" width="10.85546875" bestFit="1" customWidth="1"/>
    <col min="6" max="6" width="10.7109375" bestFit="1" customWidth="1"/>
    <col min="7" max="7" width="13" bestFit="1" customWidth="1"/>
    <col min="8" max="8" width="10.140625" bestFit="1" customWidth="1"/>
    <col min="9" max="9" width="8" bestFit="1" customWidth="1"/>
    <col min="10" max="10" width="17.85546875" bestFit="1" customWidth="1"/>
    <col min="11" max="11" width="10.42578125" bestFit="1" customWidth="1"/>
    <col min="12" max="12" width="6.5703125" customWidth="1"/>
    <col min="13" max="13" width="6.5703125" bestFit="1" customWidth="1"/>
    <col min="14" max="14" width="8.140625" bestFit="1" customWidth="1"/>
    <col min="15" max="15" width="11.85546875" bestFit="1" customWidth="1"/>
  </cols>
  <sheetData>
    <row r="1" spans="1:15" ht="24.95" customHeight="1" x14ac:dyDescent="0.25"/>
    <row r="2" spans="1:15" x14ac:dyDescent="0.25">
      <c r="A2" s="89" t="s">
        <v>0</v>
      </c>
      <c r="B2" s="90" t="s">
        <v>1</v>
      </c>
      <c r="C2" s="90" t="s">
        <v>2</v>
      </c>
      <c r="D2" s="90" t="s">
        <v>3</v>
      </c>
      <c r="E2" s="90" t="s">
        <v>4</v>
      </c>
      <c r="F2" s="90" t="s">
        <v>5</v>
      </c>
      <c r="G2" s="90" t="s">
        <v>6</v>
      </c>
      <c r="H2" s="90" t="s">
        <v>7</v>
      </c>
      <c r="I2" s="90" t="s">
        <v>8</v>
      </c>
      <c r="J2" s="90" t="s">
        <v>9</v>
      </c>
      <c r="K2" s="90" t="s">
        <v>10</v>
      </c>
      <c r="L2" s="103" t="s">
        <v>11</v>
      </c>
      <c r="M2" s="103" t="s">
        <v>12</v>
      </c>
      <c r="N2" s="103" t="s">
        <v>13</v>
      </c>
      <c r="O2" s="60" t="s">
        <v>14</v>
      </c>
    </row>
    <row r="3" spans="1:15" x14ac:dyDescent="0.25">
      <c r="A3" s="54"/>
      <c r="B3" s="32">
        <v>4</v>
      </c>
      <c r="C3" s="32">
        <v>1052566</v>
      </c>
      <c r="D3" s="39">
        <v>45758</v>
      </c>
      <c r="E3" s="32" t="s">
        <v>15</v>
      </c>
      <c r="F3" s="32" t="s">
        <v>28</v>
      </c>
      <c r="G3" s="61" t="s">
        <v>65</v>
      </c>
      <c r="H3" s="72" t="s">
        <v>30</v>
      </c>
      <c r="I3" s="72">
        <v>1</v>
      </c>
      <c r="J3" s="37" t="s">
        <v>31</v>
      </c>
      <c r="K3" s="37">
        <v>1</v>
      </c>
      <c r="L3" s="26">
        <v>1.1100000000000001</v>
      </c>
      <c r="M3" s="26">
        <v>3.25</v>
      </c>
      <c r="N3" s="29">
        <f>+M3-L3</f>
        <v>2.1399999999999997</v>
      </c>
      <c r="O3" s="58" t="str">
        <f>IF(N3&lt;=0,"Critico",IF(N3&lt;=0.2,"Cambio",IF(N3&lt;=1,"Seguimiento",IF(L3&gt;=1.7,"Reperfilado","OK"))))</f>
        <v>OK</v>
      </c>
    </row>
    <row r="4" spans="1:15" x14ac:dyDescent="0.25">
      <c r="A4" s="54"/>
      <c r="B4" s="32">
        <v>4</v>
      </c>
      <c r="C4" s="32">
        <v>1052566</v>
      </c>
      <c r="D4" s="39">
        <v>45758</v>
      </c>
      <c r="E4" s="32" t="s">
        <v>15</v>
      </c>
      <c r="F4" s="32" t="str">
        <f t="shared" ref="F4:F18" si="0">F3</f>
        <v>M20</v>
      </c>
      <c r="G4" s="61" t="str">
        <f t="shared" ref="G4:G18" si="1">G3</f>
        <v>013</v>
      </c>
      <c r="H4" s="72" t="str">
        <f t="shared" ref="H4:H10" si="2">H3</f>
        <v>C1</v>
      </c>
      <c r="I4" s="72">
        <f t="shared" ref="I4:I6" si="3">I3</f>
        <v>1</v>
      </c>
      <c r="J4" s="37" t="s">
        <v>32</v>
      </c>
      <c r="K4" s="37">
        <v>1</v>
      </c>
      <c r="L4" s="26">
        <v>0.14000000000000001</v>
      </c>
      <c r="M4" s="26">
        <v>3.44</v>
      </c>
      <c r="N4" s="29">
        <f t="shared" ref="N4:N67" si="4">+M4-L4</f>
        <v>3.3</v>
      </c>
      <c r="O4" s="58" t="str">
        <f t="shared" ref="O4:O67" si="5">IF(N4&lt;=0,"Critico",IF(N4&lt;=0.2,"Cambio",IF(N4&lt;=1,"Seguimiento",IF(L4&gt;=1.7,"Reperfilado","OK"))))</f>
        <v>OK</v>
      </c>
    </row>
    <row r="5" spans="1:15" x14ac:dyDescent="0.25">
      <c r="A5" s="54"/>
      <c r="B5" s="32">
        <v>4</v>
      </c>
      <c r="C5" s="32">
        <v>1052566</v>
      </c>
      <c r="D5" s="39">
        <v>45758</v>
      </c>
      <c r="E5" s="32" t="s">
        <v>15</v>
      </c>
      <c r="F5" s="32" t="str">
        <f t="shared" si="0"/>
        <v>M20</v>
      </c>
      <c r="G5" s="61" t="str">
        <f t="shared" si="1"/>
        <v>013</v>
      </c>
      <c r="H5" s="72" t="str">
        <f t="shared" si="2"/>
        <v>C1</v>
      </c>
      <c r="I5" s="72">
        <f t="shared" si="3"/>
        <v>1</v>
      </c>
      <c r="J5" s="37" t="s">
        <v>33</v>
      </c>
      <c r="K5" s="37">
        <v>2</v>
      </c>
      <c r="L5" s="26">
        <v>0.11</v>
      </c>
      <c r="M5" s="26">
        <v>4.29</v>
      </c>
      <c r="N5" s="29">
        <f t="shared" si="4"/>
        <v>4.18</v>
      </c>
      <c r="O5" s="58" t="str">
        <f t="shared" si="5"/>
        <v>OK</v>
      </c>
    </row>
    <row r="6" spans="1:15" x14ac:dyDescent="0.25">
      <c r="A6" s="54"/>
      <c r="B6" s="32">
        <v>4</v>
      </c>
      <c r="C6" s="32">
        <v>1052566</v>
      </c>
      <c r="D6" s="39">
        <v>45758</v>
      </c>
      <c r="E6" s="32" t="s">
        <v>15</v>
      </c>
      <c r="F6" s="32" t="str">
        <f t="shared" si="0"/>
        <v>M20</v>
      </c>
      <c r="G6" s="61" t="str">
        <f t="shared" si="1"/>
        <v>013</v>
      </c>
      <c r="H6" s="72" t="str">
        <f t="shared" si="2"/>
        <v>C1</v>
      </c>
      <c r="I6" s="72">
        <f t="shared" si="3"/>
        <v>1</v>
      </c>
      <c r="J6" s="37" t="s">
        <v>34</v>
      </c>
      <c r="K6" s="37">
        <v>2</v>
      </c>
      <c r="L6" s="26">
        <v>0.56000000000000005</v>
      </c>
      <c r="M6" s="26">
        <v>3.4</v>
      </c>
      <c r="N6" s="29">
        <f t="shared" si="4"/>
        <v>2.84</v>
      </c>
      <c r="O6" s="58" t="str">
        <f t="shared" si="5"/>
        <v>OK</v>
      </c>
    </row>
    <row r="7" spans="1:15" x14ac:dyDescent="0.25">
      <c r="A7" s="54"/>
      <c r="B7" s="32">
        <v>4</v>
      </c>
      <c r="C7" s="32">
        <v>1052566</v>
      </c>
      <c r="D7" s="39">
        <v>45758</v>
      </c>
      <c r="E7" s="32" t="s">
        <v>15</v>
      </c>
      <c r="F7" s="32" t="str">
        <f t="shared" si="0"/>
        <v>M20</v>
      </c>
      <c r="G7" s="61" t="str">
        <f t="shared" si="1"/>
        <v>013</v>
      </c>
      <c r="H7" s="72" t="str">
        <f t="shared" si="2"/>
        <v>C1</v>
      </c>
      <c r="I7" s="72">
        <v>2</v>
      </c>
      <c r="J7" s="37" t="s">
        <v>35</v>
      </c>
      <c r="K7" s="37">
        <v>3</v>
      </c>
      <c r="L7" s="26">
        <v>1.22</v>
      </c>
      <c r="M7" s="26">
        <v>2.5099999999999998</v>
      </c>
      <c r="N7" s="29">
        <f t="shared" si="4"/>
        <v>1.2899999999999998</v>
      </c>
      <c r="O7" s="58" t="str">
        <f t="shared" si="5"/>
        <v>OK</v>
      </c>
    </row>
    <row r="8" spans="1:15" x14ac:dyDescent="0.25">
      <c r="A8" s="54"/>
      <c r="B8" s="32">
        <v>4</v>
      </c>
      <c r="C8" s="32">
        <v>1052566</v>
      </c>
      <c r="D8" s="39">
        <v>45758</v>
      </c>
      <c r="E8" s="32" t="s">
        <v>15</v>
      </c>
      <c r="F8" s="32" t="str">
        <f t="shared" si="0"/>
        <v>M20</v>
      </c>
      <c r="G8" s="61" t="str">
        <f t="shared" si="1"/>
        <v>013</v>
      </c>
      <c r="H8" s="72" t="str">
        <f t="shared" si="2"/>
        <v>C1</v>
      </c>
      <c r="I8" s="72">
        <f t="shared" ref="I8:I10" si="6">I7</f>
        <v>2</v>
      </c>
      <c r="J8" s="37" t="s">
        <v>36</v>
      </c>
      <c r="K8" s="37">
        <v>3</v>
      </c>
      <c r="L8" s="26">
        <v>0.06</v>
      </c>
      <c r="M8" s="26">
        <v>3.84</v>
      </c>
      <c r="N8" s="29">
        <f t="shared" si="4"/>
        <v>3.78</v>
      </c>
      <c r="O8" s="58" t="str">
        <f t="shared" si="5"/>
        <v>OK</v>
      </c>
    </row>
    <row r="9" spans="1:15" x14ac:dyDescent="0.25">
      <c r="A9" s="54"/>
      <c r="B9" s="32">
        <v>4</v>
      </c>
      <c r="C9" s="32">
        <v>1052566</v>
      </c>
      <c r="D9" s="39">
        <v>45758</v>
      </c>
      <c r="E9" s="32" t="s">
        <v>15</v>
      </c>
      <c r="F9" s="32" t="str">
        <f t="shared" si="0"/>
        <v>M20</v>
      </c>
      <c r="G9" s="61" t="str">
        <f t="shared" si="1"/>
        <v>013</v>
      </c>
      <c r="H9" s="72" t="str">
        <f t="shared" si="2"/>
        <v>C1</v>
      </c>
      <c r="I9" s="72">
        <f t="shared" si="6"/>
        <v>2</v>
      </c>
      <c r="J9" s="37" t="s">
        <v>37</v>
      </c>
      <c r="K9" s="37">
        <v>4</v>
      </c>
      <c r="L9" s="26">
        <v>0.17</v>
      </c>
      <c r="M9" s="26">
        <v>4.63</v>
      </c>
      <c r="N9" s="29">
        <f t="shared" si="4"/>
        <v>4.46</v>
      </c>
      <c r="O9" s="58" t="str">
        <f t="shared" si="5"/>
        <v>OK</v>
      </c>
    </row>
    <row r="10" spans="1:15" x14ac:dyDescent="0.25">
      <c r="A10" s="54"/>
      <c r="B10" s="32">
        <v>4</v>
      </c>
      <c r="C10" s="32">
        <v>1052566</v>
      </c>
      <c r="D10" s="39">
        <v>45758</v>
      </c>
      <c r="E10" s="32" t="s">
        <v>15</v>
      </c>
      <c r="F10" s="32" t="str">
        <f t="shared" si="0"/>
        <v>M20</v>
      </c>
      <c r="G10" s="61" t="str">
        <f t="shared" si="1"/>
        <v>013</v>
      </c>
      <c r="H10" s="72" t="str">
        <f t="shared" si="2"/>
        <v>C1</v>
      </c>
      <c r="I10" s="72">
        <f t="shared" si="6"/>
        <v>2</v>
      </c>
      <c r="J10" s="37" t="s">
        <v>38</v>
      </c>
      <c r="K10" s="37">
        <v>4</v>
      </c>
      <c r="L10" s="26">
        <v>0.7</v>
      </c>
      <c r="M10" s="26">
        <v>3.6</v>
      </c>
      <c r="N10" s="29">
        <f t="shared" si="4"/>
        <v>2.9000000000000004</v>
      </c>
      <c r="O10" s="58" t="str">
        <f t="shared" si="5"/>
        <v>OK</v>
      </c>
    </row>
    <row r="11" spans="1:15" x14ac:dyDescent="0.25">
      <c r="A11" s="54"/>
      <c r="B11" s="32">
        <v>4</v>
      </c>
      <c r="C11" s="32">
        <v>1052566</v>
      </c>
      <c r="D11" s="39">
        <v>45758</v>
      </c>
      <c r="E11" s="32" t="s">
        <v>15</v>
      </c>
      <c r="F11" s="32" t="str">
        <f t="shared" si="0"/>
        <v>M20</v>
      </c>
      <c r="G11" s="61" t="str">
        <f t="shared" si="1"/>
        <v>013</v>
      </c>
      <c r="H11" s="72" t="s">
        <v>39</v>
      </c>
      <c r="I11" s="72">
        <v>1</v>
      </c>
      <c r="J11" s="37" t="s">
        <v>31</v>
      </c>
      <c r="K11" s="37">
        <v>5</v>
      </c>
      <c r="L11" s="26">
        <v>0.26</v>
      </c>
      <c r="M11" s="26">
        <v>1.6</v>
      </c>
      <c r="N11" s="29">
        <f t="shared" si="4"/>
        <v>1.34</v>
      </c>
      <c r="O11" s="58" t="str">
        <f t="shared" si="5"/>
        <v>OK</v>
      </c>
    </row>
    <row r="12" spans="1:15" x14ac:dyDescent="0.25">
      <c r="A12" s="54"/>
      <c r="B12" s="32">
        <v>4</v>
      </c>
      <c r="C12" s="32">
        <v>1052566</v>
      </c>
      <c r="D12" s="39">
        <v>45758</v>
      </c>
      <c r="E12" s="32" t="s">
        <v>15</v>
      </c>
      <c r="F12" s="32" t="str">
        <f t="shared" si="0"/>
        <v>M20</v>
      </c>
      <c r="G12" s="61" t="str">
        <f t="shared" si="1"/>
        <v>013</v>
      </c>
      <c r="H12" s="72" t="str">
        <f t="shared" ref="H12:H18" si="7">H11</f>
        <v>C2</v>
      </c>
      <c r="I12" s="72">
        <f t="shared" ref="I12:I14" si="8">I11</f>
        <v>1</v>
      </c>
      <c r="J12" s="37" t="s">
        <v>32</v>
      </c>
      <c r="K12" s="37">
        <v>5</v>
      </c>
      <c r="L12" s="26">
        <v>0.41</v>
      </c>
      <c r="M12" s="26">
        <v>1.61</v>
      </c>
      <c r="N12" s="29">
        <f t="shared" si="4"/>
        <v>1.2000000000000002</v>
      </c>
      <c r="O12" s="58" t="str">
        <f t="shared" si="5"/>
        <v>OK</v>
      </c>
    </row>
    <row r="13" spans="1:15" x14ac:dyDescent="0.25">
      <c r="A13" s="54"/>
      <c r="B13" s="32">
        <v>4</v>
      </c>
      <c r="C13" s="32">
        <v>1052566</v>
      </c>
      <c r="D13" s="39">
        <v>45758</v>
      </c>
      <c r="E13" s="32" t="s">
        <v>15</v>
      </c>
      <c r="F13" s="32" t="str">
        <f t="shared" si="0"/>
        <v>M20</v>
      </c>
      <c r="G13" s="61" t="str">
        <f t="shared" si="1"/>
        <v>013</v>
      </c>
      <c r="H13" s="72" t="str">
        <f t="shared" si="7"/>
        <v>C2</v>
      </c>
      <c r="I13" s="72">
        <f t="shared" si="8"/>
        <v>1</v>
      </c>
      <c r="J13" s="37" t="s">
        <v>33</v>
      </c>
      <c r="K13" s="37">
        <v>6</v>
      </c>
      <c r="L13" s="26">
        <v>0.63</v>
      </c>
      <c r="M13" s="26">
        <v>4.5</v>
      </c>
      <c r="N13" s="29">
        <f t="shared" si="4"/>
        <v>3.87</v>
      </c>
      <c r="O13" s="58" t="str">
        <f t="shared" si="5"/>
        <v>OK</v>
      </c>
    </row>
    <row r="14" spans="1:15" x14ac:dyDescent="0.25">
      <c r="A14" s="54"/>
      <c r="B14" s="32">
        <v>4</v>
      </c>
      <c r="C14" s="32">
        <v>1052566</v>
      </c>
      <c r="D14" s="39">
        <v>45758</v>
      </c>
      <c r="E14" s="32" t="s">
        <v>15</v>
      </c>
      <c r="F14" s="32" t="str">
        <f t="shared" si="0"/>
        <v>M20</v>
      </c>
      <c r="G14" s="61" t="str">
        <f t="shared" si="1"/>
        <v>013</v>
      </c>
      <c r="H14" s="72" t="str">
        <f t="shared" si="7"/>
        <v>C2</v>
      </c>
      <c r="I14" s="72">
        <f t="shared" si="8"/>
        <v>1</v>
      </c>
      <c r="J14" s="37" t="s">
        <v>34</v>
      </c>
      <c r="K14" s="37">
        <v>6</v>
      </c>
      <c r="L14" s="26">
        <v>0.26</v>
      </c>
      <c r="M14" s="26">
        <v>2.39</v>
      </c>
      <c r="N14" s="29">
        <f t="shared" si="4"/>
        <v>2.13</v>
      </c>
      <c r="O14" s="58" t="str">
        <f t="shared" si="5"/>
        <v>OK</v>
      </c>
    </row>
    <row r="15" spans="1:15" x14ac:dyDescent="0.25">
      <c r="A15" s="54"/>
      <c r="B15" s="32">
        <v>4</v>
      </c>
      <c r="C15" s="32">
        <v>1052566</v>
      </c>
      <c r="D15" s="39">
        <v>45758</v>
      </c>
      <c r="E15" s="32" t="s">
        <v>15</v>
      </c>
      <c r="F15" s="32" t="str">
        <f t="shared" si="0"/>
        <v>M20</v>
      </c>
      <c r="G15" s="61" t="str">
        <f t="shared" si="1"/>
        <v>013</v>
      </c>
      <c r="H15" s="72" t="str">
        <f t="shared" si="7"/>
        <v>C2</v>
      </c>
      <c r="I15" s="72">
        <v>2</v>
      </c>
      <c r="J15" s="37" t="s">
        <v>35</v>
      </c>
      <c r="K15" s="37">
        <v>7</v>
      </c>
      <c r="L15" s="26">
        <v>0.22</v>
      </c>
      <c r="M15" s="26">
        <v>4.38</v>
      </c>
      <c r="N15" s="29">
        <f t="shared" si="4"/>
        <v>4.16</v>
      </c>
      <c r="O15" s="58" t="str">
        <f t="shared" si="5"/>
        <v>OK</v>
      </c>
    </row>
    <row r="16" spans="1:15" x14ac:dyDescent="0.25">
      <c r="A16" s="54"/>
      <c r="B16" s="32">
        <v>4</v>
      </c>
      <c r="C16" s="32">
        <v>1052566</v>
      </c>
      <c r="D16" s="39">
        <v>45758</v>
      </c>
      <c r="E16" s="32" t="s">
        <v>15</v>
      </c>
      <c r="F16" s="32" t="str">
        <f t="shared" si="0"/>
        <v>M20</v>
      </c>
      <c r="G16" s="61" t="str">
        <f t="shared" si="1"/>
        <v>013</v>
      </c>
      <c r="H16" s="72" t="str">
        <f t="shared" si="7"/>
        <v>C2</v>
      </c>
      <c r="I16" s="72">
        <f t="shared" ref="I16:I18" si="9">I15</f>
        <v>2</v>
      </c>
      <c r="J16" s="37" t="s">
        <v>36</v>
      </c>
      <c r="K16" s="37">
        <v>7</v>
      </c>
      <c r="L16" s="26">
        <v>1.1000000000000001</v>
      </c>
      <c r="M16" s="26">
        <v>3.9</v>
      </c>
      <c r="N16" s="29">
        <f t="shared" si="4"/>
        <v>2.8</v>
      </c>
      <c r="O16" s="58" t="str">
        <f t="shared" si="5"/>
        <v>OK</v>
      </c>
    </row>
    <row r="17" spans="1:15" x14ac:dyDescent="0.25">
      <c r="A17" s="54"/>
      <c r="B17" s="32">
        <v>4</v>
      </c>
      <c r="C17" s="32">
        <v>1052566</v>
      </c>
      <c r="D17" s="39">
        <v>45758</v>
      </c>
      <c r="E17" s="32" t="s">
        <v>15</v>
      </c>
      <c r="F17" s="32" t="str">
        <f t="shared" si="0"/>
        <v>M20</v>
      </c>
      <c r="G17" s="61" t="str">
        <f t="shared" si="1"/>
        <v>013</v>
      </c>
      <c r="H17" s="72" t="str">
        <f t="shared" si="7"/>
        <v>C2</v>
      </c>
      <c r="I17" s="72">
        <f t="shared" si="9"/>
        <v>2</v>
      </c>
      <c r="J17" s="37" t="s">
        <v>37</v>
      </c>
      <c r="K17" s="37">
        <v>8</v>
      </c>
      <c r="L17" s="26">
        <v>7.0000000000000007E-2</v>
      </c>
      <c r="M17" s="26">
        <v>5</v>
      </c>
      <c r="N17" s="29">
        <f t="shared" si="4"/>
        <v>4.93</v>
      </c>
      <c r="O17" s="58" t="str">
        <f t="shared" si="5"/>
        <v>OK</v>
      </c>
    </row>
    <row r="18" spans="1:15" x14ac:dyDescent="0.25">
      <c r="A18" s="54"/>
      <c r="B18" s="32">
        <v>4</v>
      </c>
      <c r="C18" s="32">
        <v>1052566</v>
      </c>
      <c r="D18" s="39">
        <v>45758</v>
      </c>
      <c r="E18" s="32" t="s">
        <v>15</v>
      </c>
      <c r="F18" s="32" t="str">
        <f t="shared" si="0"/>
        <v>M20</v>
      </c>
      <c r="G18" s="61" t="str">
        <f t="shared" si="1"/>
        <v>013</v>
      </c>
      <c r="H18" s="72" t="str">
        <f t="shared" si="7"/>
        <v>C2</v>
      </c>
      <c r="I18" s="72">
        <f t="shared" si="9"/>
        <v>2</v>
      </c>
      <c r="J18" s="37" t="s">
        <v>38</v>
      </c>
      <c r="K18" s="37">
        <v>8</v>
      </c>
      <c r="L18" s="26">
        <v>0.28999999999999998</v>
      </c>
      <c r="M18" s="26">
        <v>1.55</v>
      </c>
      <c r="N18" s="29">
        <f t="shared" si="4"/>
        <v>1.26</v>
      </c>
      <c r="O18" s="58" t="str">
        <f t="shared" si="5"/>
        <v>OK</v>
      </c>
    </row>
    <row r="19" spans="1:15" x14ac:dyDescent="0.25">
      <c r="A19" s="54"/>
      <c r="B19" s="32">
        <v>4</v>
      </c>
      <c r="C19" s="32">
        <v>1052566</v>
      </c>
      <c r="D19" s="39">
        <v>45758</v>
      </c>
      <c r="E19" s="32" t="s">
        <v>15</v>
      </c>
      <c r="F19" s="32" t="s">
        <v>40</v>
      </c>
      <c r="G19" s="61" t="s">
        <v>66</v>
      </c>
      <c r="H19" s="72" t="s">
        <v>42</v>
      </c>
      <c r="I19" s="72">
        <v>1</v>
      </c>
      <c r="J19" s="37" t="s">
        <v>31</v>
      </c>
      <c r="K19" s="37">
        <v>9</v>
      </c>
      <c r="L19" s="26">
        <v>0.16</v>
      </c>
      <c r="M19" s="26">
        <v>4.74</v>
      </c>
      <c r="N19" s="29">
        <f t="shared" si="4"/>
        <v>4.58</v>
      </c>
      <c r="O19" s="58" t="str">
        <f t="shared" si="5"/>
        <v>OK</v>
      </c>
    </row>
    <row r="20" spans="1:15" x14ac:dyDescent="0.25">
      <c r="A20" s="54"/>
      <c r="B20" s="32">
        <v>4</v>
      </c>
      <c r="C20" s="32">
        <v>1052566</v>
      </c>
      <c r="D20" s="39">
        <v>45758</v>
      </c>
      <c r="E20" s="32" t="s">
        <v>15</v>
      </c>
      <c r="F20" s="32" t="str">
        <f t="shared" ref="F20:F34" si="10">F19</f>
        <v>M21</v>
      </c>
      <c r="G20" s="61" t="str">
        <f t="shared" ref="G20:G34" si="11">G19</f>
        <v>014</v>
      </c>
      <c r="H20" s="72" t="str">
        <f t="shared" ref="H20:H26" si="12">H19</f>
        <v>C3</v>
      </c>
      <c r="I20" s="72">
        <f t="shared" ref="I20:I22" si="13">I19</f>
        <v>1</v>
      </c>
      <c r="J20" s="37" t="s">
        <v>32</v>
      </c>
      <c r="K20" s="37">
        <v>9</v>
      </c>
      <c r="L20" s="26">
        <v>0.37</v>
      </c>
      <c r="M20" s="26">
        <v>2.59</v>
      </c>
      <c r="N20" s="29">
        <f t="shared" si="4"/>
        <v>2.2199999999999998</v>
      </c>
      <c r="O20" s="58" t="str">
        <f t="shared" si="5"/>
        <v>OK</v>
      </c>
    </row>
    <row r="21" spans="1:15" x14ac:dyDescent="0.25">
      <c r="A21" s="54"/>
      <c r="B21" s="32">
        <v>4</v>
      </c>
      <c r="C21" s="32">
        <v>1052566</v>
      </c>
      <c r="D21" s="39">
        <v>45758</v>
      </c>
      <c r="E21" s="32" t="s">
        <v>15</v>
      </c>
      <c r="F21" s="32" t="str">
        <f t="shared" si="10"/>
        <v>M21</v>
      </c>
      <c r="G21" s="61" t="str">
        <f t="shared" si="11"/>
        <v>014</v>
      </c>
      <c r="H21" s="72" t="str">
        <f t="shared" si="12"/>
        <v>C3</v>
      </c>
      <c r="I21" s="72">
        <f t="shared" si="13"/>
        <v>1</v>
      </c>
      <c r="J21" s="37" t="s">
        <v>33</v>
      </c>
      <c r="K21" s="37">
        <v>10</v>
      </c>
      <c r="L21" s="26">
        <v>0.69</v>
      </c>
      <c r="M21" s="26">
        <v>2.04</v>
      </c>
      <c r="N21" s="29">
        <f t="shared" si="4"/>
        <v>1.35</v>
      </c>
      <c r="O21" s="58" t="str">
        <f t="shared" si="5"/>
        <v>OK</v>
      </c>
    </row>
    <row r="22" spans="1:15" x14ac:dyDescent="0.25">
      <c r="A22" s="54"/>
      <c r="B22" s="32">
        <v>4</v>
      </c>
      <c r="C22" s="32">
        <v>1052566</v>
      </c>
      <c r="D22" s="39">
        <v>45758</v>
      </c>
      <c r="E22" s="32" t="s">
        <v>15</v>
      </c>
      <c r="F22" s="32" t="str">
        <f t="shared" si="10"/>
        <v>M21</v>
      </c>
      <c r="G22" s="61" t="str">
        <f t="shared" si="11"/>
        <v>014</v>
      </c>
      <c r="H22" s="72" t="str">
        <f t="shared" si="12"/>
        <v>C3</v>
      </c>
      <c r="I22" s="72">
        <f t="shared" si="13"/>
        <v>1</v>
      </c>
      <c r="J22" s="37" t="s">
        <v>34</v>
      </c>
      <c r="K22" s="37">
        <v>10</v>
      </c>
      <c r="L22" s="26">
        <v>0.57999999999999996</v>
      </c>
      <c r="M22" s="26">
        <v>1</v>
      </c>
      <c r="N22" s="29">
        <f t="shared" si="4"/>
        <v>0.42000000000000004</v>
      </c>
      <c r="O22" s="58" t="str">
        <f t="shared" si="5"/>
        <v>Seguimiento</v>
      </c>
    </row>
    <row r="23" spans="1:15" x14ac:dyDescent="0.25">
      <c r="A23" s="54"/>
      <c r="B23" s="32">
        <v>4</v>
      </c>
      <c r="C23" s="32">
        <v>1052566</v>
      </c>
      <c r="D23" s="39">
        <v>45758</v>
      </c>
      <c r="E23" s="32" t="s">
        <v>15</v>
      </c>
      <c r="F23" s="32" t="str">
        <f t="shared" si="10"/>
        <v>M21</v>
      </c>
      <c r="G23" s="61" t="str">
        <f t="shared" si="11"/>
        <v>014</v>
      </c>
      <c r="H23" s="72" t="str">
        <f t="shared" si="12"/>
        <v>C3</v>
      </c>
      <c r="I23" s="72">
        <v>2</v>
      </c>
      <c r="J23" s="37" t="s">
        <v>35</v>
      </c>
      <c r="K23" s="37">
        <v>11</v>
      </c>
      <c r="L23" s="26">
        <v>7.0000000000000007E-2</v>
      </c>
      <c r="M23" s="26">
        <v>4.79</v>
      </c>
      <c r="N23" s="29">
        <f t="shared" si="4"/>
        <v>4.72</v>
      </c>
      <c r="O23" s="58" t="str">
        <f t="shared" si="5"/>
        <v>OK</v>
      </c>
    </row>
    <row r="24" spans="1:15" x14ac:dyDescent="0.25">
      <c r="A24" s="54"/>
      <c r="B24" s="32">
        <v>4</v>
      </c>
      <c r="C24" s="32">
        <v>1052566</v>
      </c>
      <c r="D24" s="39">
        <v>45758</v>
      </c>
      <c r="E24" s="32" t="s">
        <v>15</v>
      </c>
      <c r="F24" s="32" t="str">
        <f t="shared" si="10"/>
        <v>M21</v>
      </c>
      <c r="G24" s="61" t="str">
        <f t="shared" si="11"/>
        <v>014</v>
      </c>
      <c r="H24" s="72" t="str">
        <f t="shared" si="12"/>
        <v>C3</v>
      </c>
      <c r="I24" s="72">
        <f t="shared" ref="I24:I26" si="14">I23</f>
        <v>2</v>
      </c>
      <c r="J24" s="37" t="s">
        <v>36</v>
      </c>
      <c r="K24" s="37">
        <v>11</v>
      </c>
      <c r="L24" s="26">
        <v>0.05</v>
      </c>
      <c r="M24" s="26">
        <v>4.5599999999999996</v>
      </c>
      <c r="N24" s="29">
        <f t="shared" si="4"/>
        <v>4.51</v>
      </c>
      <c r="O24" s="58" t="str">
        <f t="shared" si="5"/>
        <v>OK</v>
      </c>
    </row>
    <row r="25" spans="1:15" x14ac:dyDescent="0.25">
      <c r="A25" s="54"/>
      <c r="B25" s="32">
        <v>4</v>
      </c>
      <c r="C25" s="32">
        <v>1052566</v>
      </c>
      <c r="D25" s="39">
        <v>45758</v>
      </c>
      <c r="E25" s="32" t="s">
        <v>15</v>
      </c>
      <c r="F25" s="32" t="str">
        <f t="shared" si="10"/>
        <v>M21</v>
      </c>
      <c r="G25" s="61" t="str">
        <f t="shared" si="11"/>
        <v>014</v>
      </c>
      <c r="H25" s="72" t="str">
        <f t="shared" si="12"/>
        <v>C3</v>
      </c>
      <c r="I25" s="72">
        <f t="shared" si="14"/>
        <v>2</v>
      </c>
      <c r="J25" s="37" t="s">
        <v>37</v>
      </c>
      <c r="K25" s="37">
        <v>12</v>
      </c>
      <c r="L25" s="26">
        <v>0.11</v>
      </c>
      <c r="M25" s="26">
        <v>4.22</v>
      </c>
      <c r="N25" s="29">
        <f t="shared" si="4"/>
        <v>4.1099999999999994</v>
      </c>
      <c r="O25" s="58" t="str">
        <f t="shared" si="5"/>
        <v>OK</v>
      </c>
    </row>
    <row r="26" spans="1:15" x14ac:dyDescent="0.25">
      <c r="A26" s="54"/>
      <c r="B26" s="32">
        <v>4</v>
      </c>
      <c r="C26" s="32">
        <v>1052566</v>
      </c>
      <c r="D26" s="39">
        <v>45758</v>
      </c>
      <c r="E26" s="32" t="s">
        <v>15</v>
      </c>
      <c r="F26" s="32" t="str">
        <f t="shared" si="10"/>
        <v>M21</v>
      </c>
      <c r="G26" s="61" t="str">
        <f t="shared" si="11"/>
        <v>014</v>
      </c>
      <c r="H26" s="72" t="str">
        <f t="shared" si="12"/>
        <v>C3</v>
      </c>
      <c r="I26" s="72">
        <f t="shared" si="14"/>
        <v>2</v>
      </c>
      <c r="J26" s="37" t="s">
        <v>38</v>
      </c>
      <c r="K26" s="37">
        <v>12</v>
      </c>
      <c r="L26" s="26">
        <v>0.41</v>
      </c>
      <c r="M26" s="26">
        <v>1.54</v>
      </c>
      <c r="N26" s="29">
        <f t="shared" si="4"/>
        <v>1.1300000000000001</v>
      </c>
      <c r="O26" s="58" t="str">
        <f t="shared" si="5"/>
        <v>OK</v>
      </c>
    </row>
    <row r="27" spans="1:15" x14ac:dyDescent="0.25">
      <c r="A27" s="54"/>
      <c r="B27" s="32">
        <v>4</v>
      </c>
      <c r="C27" s="32">
        <v>1052566</v>
      </c>
      <c r="D27" s="39">
        <v>45758</v>
      </c>
      <c r="E27" s="32" t="s">
        <v>15</v>
      </c>
      <c r="F27" s="32" t="str">
        <f t="shared" si="10"/>
        <v>M21</v>
      </c>
      <c r="G27" s="61" t="str">
        <f t="shared" si="11"/>
        <v>014</v>
      </c>
      <c r="H27" s="72" t="s">
        <v>43</v>
      </c>
      <c r="I27" s="72">
        <v>1</v>
      </c>
      <c r="J27" s="37" t="s">
        <v>31</v>
      </c>
      <c r="K27" s="37">
        <v>13</v>
      </c>
      <c r="L27" s="26">
        <v>0.86</v>
      </c>
      <c r="M27" s="26">
        <v>3.29</v>
      </c>
      <c r="N27" s="29">
        <f t="shared" si="4"/>
        <v>2.4300000000000002</v>
      </c>
      <c r="O27" s="58" t="str">
        <f t="shared" si="5"/>
        <v>OK</v>
      </c>
    </row>
    <row r="28" spans="1:15" x14ac:dyDescent="0.25">
      <c r="A28" s="54"/>
      <c r="B28" s="32">
        <v>4</v>
      </c>
      <c r="C28" s="32">
        <v>1052566</v>
      </c>
      <c r="D28" s="39">
        <v>45758</v>
      </c>
      <c r="E28" s="32" t="s">
        <v>15</v>
      </c>
      <c r="F28" s="32" t="str">
        <f t="shared" si="10"/>
        <v>M21</v>
      </c>
      <c r="G28" s="61" t="str">
        <f t="shared" si="11"/>
        <v>014</v>
      </c>
      <c r="H28" s="72" t="str">
        <f t="shared" ref="H28:H34" si="15">H27</f>
        <v>C4</v>
      </c>
      <c r="I28" s="72">
        <f t="shared" ref="I28:I30" si="16">I27</f>
        <v>1</v>
      </c>
      <c r="J28" s="37" t="s">
        <v>32</v>
      </c>
      <c r="K28" s="37">
        <v>13</v>
      </c>
      <c r="L28" s="26">
        <v>0.53</v>
      </c>
      <c r="M28" s="26">
        <v>3.36</v>
      </c>
      <c r="N28" s="29">
        <f t="shared" si="4"/>
        <v>2.83</v>
      </c>
      <c r="O28" s="58" t="str">
        <f t="shared" si="5"/>
        <v>OK</v>
      </c>
    </row>
    <row r="29" spans="1:15" x14ac:dyDescent="0.25">
      <c r="A29" s="54"/>
      <c r="B29" s="32">
        <v>4</v>
      </c>
      <c r="C29" s="32">
        <v>1052566</v>
      </c>
      <c r="D29" s="39">
        <v>45758</v>
      </c>
      <c r="E29" s="32" t="s">
        <v>15</v>
      </c>
      <c r="F29" s="32" t="str">
        <f t="shared" si="10"/>
        <v>M21</v>
      </c>
      <c r="G29" s="61" t="str">
        <f t="shared" si="11"/>
        <v>014</v>
      </c>
      <c r="H29" s="72" t="str">
        <f t="shared" si="15"/>
        <v>C4</v>
      </c>
      <c r="I29" s="72">
        <f t="shared" si="16"/>
        <v>1</v>
      </c>
      <c r="J29" s="37" t="s">
        <v>33</v>
      </c>
      <c r="K29" s="37">
        <v>14</v>
      </c>
      <c r="L29" s="26">
        <v>0.16</v>
      </c>
      <c r="M29" s="26">
        <v>1.57</v>
      </c>
      <c r="N29" s="29">
        <f t="shared" si="4"/>
        <v>1.4100000000000001</v>
      </c>
      <c r="O29" s="58" t="str">
        <f t="shared" si="5"/>
        <v>OK</v>
      </c>
    </row>
    <row r="30" spans="1:15" x14ac:dyDescent="0.25">
      <c r="A30" s="54"/>
      <c r="B30" s="32">
        <v>4</v>
      </c>
      <c r="C30" s="32">
        <v>1052566</v>
      </c>
      <c r="D30" s="39">
        <v>45758</v>
      </c>
      <c r="E30" s="32" t="s">
        <v>15</v>
      </c>
      <c r="F30" s="32" t="str">
        <f t="shared" si="10"/>
        <v>M21</v>
      </c>
      <c r="G30" s="61" t="str">
        <f t="shared" si="11"/>
        <v>014</v>
      </c>
      <c r="H30" s="72" t="str">
        <f t="shared" si="15"/>
        <v>C4</v>
      </c>
      <c r="I30" s="72">
        <f t="shared" si="16"/>
        <v>1</v>
      </c>
      <c r="J30" s="37" t="s">
        <v>34</v>
      </c>
      <c r="K30" s="37">
        <v>14</v>
      </c>
      <c r="L30" s="26">
        <v>0.22</v>
      </c>
      <c r="M30" s="26">
        <v>2.39</v>
      </c>
      <c r="N30" s="29">
        <f t="shared" si="4"/>
        <v>2.17</v>
      </c>
      <c r="O30" s="58" t="str">
        <f t="shared" si="5"/>
        <v>OK</v>
      </c>
    </row>
    <row r="31" spans="1:15" x14ac:dyDescent="0.25">
      <c r="A31" s="54"/>
      <c r="B31" s="32">
        <v>4</v>
      </c>
      <c r="C31" s="32">
        <v>1052566</v>
      </c>
      <c r="D31" s="39">
        <v>45758</v>
      </c>
      <c r="E31" s="32" t="s">
        <v>15</v>
      </c>
      <c r="F31" s="32" t="str">
        <f t="shared" si="10"/>
        <v>M21</v>
      </c>
      <c r="G31" s="61" t="str">
        <f t="shared" si="11"/>
        <v>014</v>
      </c>
      <c r="H31" s="72" t="str">
        <f t="shared" si="15"/>
        <v>C4</v>
      </c>
      <c r="I31" s="72">
        <v>2</v>
      </c>
      <c r="J31" s="37" t="s">
        <v>35</v>
      </c>
      <c r="K31" s="37">
        <v>15</v>
      </c>
      <c r="L31" s="26">
        <v>0.19</v>
      </c>
      <c r="M31" s="26">
        <v>1.65</v>
      </c>
      <c r="N31" s="29">
        <f t="shared" si="4"/>
        <v>1.46</v>
      </c>
      <c r="O31" s="58" t="str">
        <f t="shared" si="5"/>
        <v>OK</v>
      </c>
    </row>
    <row r="32" spans="1:15" x14ac:dyDescent="0.25">
      <c r="A32" s="54"/>
      <c r="B32" s="32">
        <v>4</v>
      </c>
      <c r="C32" s="32">
        <v>1052566</v>
      </c>
      <c r="D32" s="39">
        <v>45758</v>
      </c>
      <c r="E32" s="32" t="s">
        <v>15</v>
      </c>
      <c r="F32" s="32" t="str">
        <f t="shared" si="10"/>
        <v>M21</v>
      </c>
      <c r="G32" s="61" t="str">
        <f t="shared" si="11"/>
        <v>014</v>
      </c>
      <c r="H32" s="72" t="str">
        <f t="shared" si="15"/>
        <v>C4</v>
      </c>
      <c r="I32" s="72">
        <f t="shared" ref="I32:I34" si="17">I31</f>
        <v>2</v>
      </c>
      <c r="J32" s="37" t="s">
        <v>36</v>
      </c>
      <c r="K32" s="37">
        <v>15</v>
      </c>
      <c r="L32" s="26">
        <v>0.63</v>
      </c>
      <c r="M32" s="26">
        <v>2.76</v>
      </c>
      <c r="N32" s="29">
        <f t="shared" si="4"/>
        <v>2.13</v>
      </c>
      <c r="O32" s="58" t="str">
        <f t="shared" si="5"/>
        <v>OK</v>
      </c>
    </row>
    <row r="33" spans="1:15" x14ac:dyDescent="0.25">
      <c r="A33" s="54"/>
      <c r="B33" s="32">
        <v>4</v>
      </c>
      <c r="C33" s="32">
        <v>1052566</v>
      </c>
      <c r="D33" s="39">
        <v>45758</v>
      </c>
      <c r="E33" s="32" t="s">
        <v>15</v>
      </c>
      <c r="F33" s="32" t="str">
        <f t="shared" si="10"/>
        <v>M21</v>
      </c>
      <c r="G33" s="61" t="str">
        <f t="shared" si="11"/>
        <v>014</v>
      </c>
      <c r="H33" s="72" t="str">
        <f t="shared" si="15"/>
        <v>C4</v>
      </c>
      <c r="I33" s="72">
        <f t="shared" si="17"/>
        <v>2</v>
      </c>
      <c r="J33" s="37" t="s">
        <v>37</v>
      </c>
      <c r="K33" s="37">
        <v>16</v>
      </c>
      <c r="L33" s="26">
        <v>0.65</v>
      </c>
      <c r="M33" s="26">
        <v>2.7</v>
      </c>
      <c r="N33" s="29">
        <f t="shared" si="4"/>
        <v>2.0500000000000003</v>
      </c>
      <c r="O33" s="58" t="str">
        <f t="shared" si="5"/>
        <v>OK</v>
      </c>
    </row>
    <row r="34" spans="1:15" x14ac:dyDescent="0.25">
      <c r="A34" s="54"/>
      <c r="B34" s="32">
        <v>4</v>
      </c>
      <c r="C34" s="32">
        <v>1052566</v>
      </c>
      <c r="D34" s="39">
        <v>45758</v>
      </c>
      <c r="E34" s="32" t="s">
        <v>15</v>
      </c>
      <c r="F34" s="32" t="str">
        <f t="shared" si="10"/>
        <v>M21</v>
      </c>
      <c r="G34" s="61" t="str">
        <f t="shared" si="11"/>
        <v>014</v>
      </c>
      <c r="H34" s="72" t="str">
        <f t="shared" si="15"/>
        <v>C4</v>
      </c>
      <c r="I34" s="72">
        <f t="shared" si="17"/>
        <v>2</v>
      </c>
      <c r="J34" s="37" t="s">
        <v>38</v>
      </c>
      <c r="K34" s="37">
        <v>16</v>
      </c>
      <c r="L34" s="26">
        <v>0.91</v>
      </c>
      <c r="M34" s="26">
        <v>3.5</v>
      </c>
      <c r="N34" s="29">
        <f t="shared" si="4"/>
        <v>2.59</v>
      </c>
      <c r="O34" s="58" t="str">
        <f t="shared" si="5"/>
        <v>OK</v>
      </c>
    </row>
    <row r="35" spans="1:15" x14ac:dyDescent="0.25">
      <c r="A35" s="54"/>
      <c r="B35" s="32">
        <v>4</v>
      </c>
      <c r="C35" s="32">
        <v>1052566</v>
      </c>
      <c r="D35" s="39">
        <v>45758</v>
      </c>
      <c r="E35" s="32" t="s">
        <v>15</v>
      </c>
      <c r="F35" s="32" t="s">
        <v>44</v>
      </c>
      <c r="G35" s="61" t="s">
        <v>67</v>
      </c>
      <c r="H35" s="72" t="s">
        <v>46</v>
      </c>
      <c r="I35" s="72">
        <v>1</v>
      </c>
      <c r="J35" s="37" t="s">
        <v>31</v>
      </c>
      <c r="K35" s="37">
        <v>17</v>
      </c>
      <c r="L35" s="26">
        <v>0.45</v>
      </c>
      <c r="M35" s="26">
        <v>5.0599999999999996</v>
      </c>
      <c r="N35" s="29">
        <f t="shared" si="4"/>
        <v>4.6099999999999994</v>
      </c>
      <c r="O35" s="58" t="str">
        <f t="shared" si="5"/>
        <v>OK</v>
      </c>
    </row>
    <row r="36" spans="1:15" x14ac:dyDescent="0.25">
      <c r="A36" s="54"/>
      <c r="B36" s="32">
        <v>4</v>
      </c>
      <c r="C36" s="32">
        <v>1052566</v>
      </c>
      <c r="D36" s="39">
        <v>45758</v>
      </c>
      <c r="E36" s="32" t="s">
        <v>15</v>
      </c>
      <c r="F36" s="32" t="str">
        <f t="shared" ref="F36:F50" si="18">F35</f>
        <v>M22</v>
      </c>
      <c r="G36" s="61" t="str">
        <f t="shared" ref="G36:G50" si="19">G35</f>
        <v>308</v>
      </c>
      <c r="H36" s="72" t="str">
        <f t="shared" ref="H36:H42" si="20">H35</f>
        <v>C5</v>
      </c>
      <c r="I36" s="72">
        <f t="shared" ref="I36:I38" si="21">I35</f>
        <v>1</v>
      </c>
      <c r="J36" s="37" t="s">
        <v>32</v>
      </c>
      <c r="K36" s="37">
        <v>17</v>
      </c>
      <c r="L36" s="26">
        <v>0.4</v>
      </c>
      <c r="M36" s="26">
        <v>4.9000000000000004</v>
      </c>
      <c r="N36" s="29">
        <f t="shared" si="4"/>
        <v>4.5</v>
      </c>
      <c r="O36" s="58" t="str">
        <f t="shared" si="5"/>
        <v>OK</v>
      </c>
    </row>
    <row r="37" spans="1:15" x14ac:dyDescent="0.25">
      <c r="A37" s="54"/>
      <c r="B37" s="32">
        <v>4</v>
      </c>
      <c r="C37" s="32">
        <v>1052566</v>
      </c>
      <c r="D37" s="39">
        <v>45758</v>
      </c>
      <c r="E37" s="32" t="s">
        <v>15</v>
      </c>
      <c r="F37" s="32" t="str">
        <f t="shared" si="18"/>
        <v>M22</v>
      </c>
      <c r="G37" s="61" t="str">
        <f t="shared" si="19"/>
        <v>308</v>
      </c>
      <c r="H37" s="72" t="str">
        <f t="shared" si="20"/>
        <v>C5</v>
      </c>
      <c r="I37" s="72">
        <f t="shared" si="21"/>
        <v>1</v>
      </c>
      <c r="J37" s="37" t="s">
        <v>33</v>
      </c>
      <c r="K37" s="37">
        <v>18</v>
      </c>
      <c r="L37" s="26">
        <v>0.39</v>
      </c>
      <c r="M37" s="26">
        <v>4.9000000000000004</v>
      </c>
      <c r="N37" s="29">
        <f t="shared" si="4"/>
        <v>4.5100000000000007</v>
      </c>
      <c r="O37" s="58" t="str">
        <f t="shared" si="5"/>
        <v>OK</v>
      </c>
    </row>
    <row r="38" spans="1:15" x14ac:dyDescent="0.25">
      <c r="A38" s="54"/>
      <c r="B38" s="32">
        <v>4</v>
      </c>
      <c r="C38" s="32">
        <v>1052566</v>
      </c>
      <c r="D38" s="39">
        <v>45758</v>
      </c>
      <c r="E38" s="32" t="s">
        <v>15</v>
      </c>
      <c r="F38" s="32" t="str">
        <f t="shared" si="18"/>
        <v>M22</v>
      </c>
      <c r="G38" s="61" t="str">
        <f t="shared" si="19"/>
        <v>308</v>
      </c>
      <c r="H38" s="72" t="str">
        <f t="shared" si="20"/>
        <v>C5</v>
      </c>
      <c r="I38" s="72">
        <f t="shared" si="21"/>
        <v>1</v>
      </c>
      <c r="J38" s="37" t="s">
        <v>34</v>
      </c>
      <c r="K38" s="37">
        <v>18</v>
      </c>
      <c r="L38" s="26">
        <v>1.01</v>
      </c>
      <c r="M38" s="26">
        <v>4.91</v>
      </c>
      <c r="N38" s="29">
        <f t="shared" si="4"/>
        <v>3.9000000000000004</v>
      </c>
      <c r="O38" s="58" t="str">
        <f t="shared" si="5"/>
        <v>OK</v>
      </c>
    </row>
    <row r="39" spans="1:15" x14ac:dyDescent="0.25">
      <c r="A39" s="54"/>
      <c r="B39" s="32">
        <v>4</v>
      </c>
      <c r="C39" s="32">
        <v>1052566</v>
      </c>
      <c r="D39" s="39">
        <v>45758</v>
      </c>
      <c r="E39" s="32" t="s">
        <v>15</v>
      </c>
      <c r="F39" s="32" t="str">
        <f t="shared" si="18"/>
        <v>M22</v>
      </c>
      <c r="G39" s="61" t="str">
        <f t="shared" si="19"/>
        <v>308</v>
      </c>
      <c r="H39" s="72" t="str">
        <f t="shared" si="20"/>
        <v>C5</v>
      </c>
      <c r="I39" s="72">
        <v>2</v>
      </c>
      <c r="J39" s="37" t="s">
        <v>35</v>
      </c>
      <c r="K39" s="37">
        <v>19</v>
      </c>
      <c r="L39" s="26">
        <v>0.4</v>
      </c>
      <c r="M39" s="26">
        <v>5.09</v>
      </c>
      <c r="N39" s="29">
        <f t="shared" si="4"/>
        <v>4.6899999999999995</v>
      </c>
      <c r="O39" s="58" t="str">
        <f t="shared" si="5"/>
        <v>OK</v>
      </c>
    </row>
    <row r="40" spans="1:15" x14ac:dyDescent="0.25">
      <c r="A40" s="54"/>
      <c r="B40" s="32">
        <v>4</v>
      </c>
      <c r="C40" s="32">
        <v>1052566</v>
      </c>
      <c r="D40" s="39">
        <v>45758</v>
      </c>
      <c r="E40" s="32" t="s">
        <v>15</v>
      </c>
      <c r="F40" s="32" t="str">
        <f t="shared" si="18"/>
        <v>M22</v>
      </c>
      <c r="G40" s="61" t="str">
        <f t="shared" si="19"/>
        <v>308</v>
      </c>
      <c r="H40" s="72" t="str">
        <f t="shared" si="20"/>
        <v>C5</v>
      </c>
      <c r="I40" s="72">
        <f t="shared" ref="I40:I42" si="22">I39</f>
        <v>2</v>
      </c>
      <c r="J40" s="37" t="s">
        <v>36</v>
      </c>
      <c r="K40" s="37">
        <v>19</v>
      </c>
      <c r="L40" s="26">
        <v>0.86</v>
      </c>
      <c r="M40" s="26">
        <v>1.62</v>
      </c>
      <c r="N40" s="29">
        <f t="shared" si="4"/>
        <v>0.76000000000000012</v>
      </c>
      <c r="O40" s="58" t="str">
        <f t="shared" si="5"/>
        <v>Seguimiento</v>
      </c>
    </row>
    <row r="41" spans="1:15" x14ac:dyDescent="0.25">
      <c r="A41" s="54"/>
      <c r="B41" s="32">
        <v>4</v>
      </c>
      <c r="C41" s="32">
        <v>1052566</v>
      </c>
      <c r="D41" s="39">
        <v>45758</v>
      </c>
      <c r="E41" s="32" t="s">
        <v>15</v>
      </c>
      <c r="F41" s="32" t="str">
        <f t="shared" si="18"/>
        <v>M22</v>
      </c>
      <c r="G41" s="61" t="str">
        <f t="shared" si="19"/>
        <v>308</v>
      </c>
      <c r="H41" s="72" t="str">
        <f t="shared" si="20"/>
        <v>C5</v>
      </c>
      <c r="I41" s="72">
        <f t="shared" si="22"/>
        <v>2</v>
      </c>
      <c r="J41" s="37" t="s">
        <v>37</v>
      </c>
      <c r="K41" s="37">
        <v>20</v>
      </c>
      <c r="L41" s="26">
        <v>0.54</v>
      </c>
      <c r="M41" s="26">
        <v>2.2200000000000002</v>
      </c>
      <c r="N41" s="29">
        <f t="shared" si="4"/>
        <v>1.6800000000000002</v>
      </c>
      <c r="O41" s="58" t="str">
        <f t="shared" si="5"/>
        <v>OK</v>
      </c>
    </row>
    <row r="42" spans="1:15" x14ac:dyDescent="0.25">
      <c r="A42" s="54"/>
      <c r="B42" s="32">
        <v>4</v>
      </c>
      <c r="C42" s="32">
        <v>1052566</v>
      </c>
      <c r="D42" s="39">
        <v>45758</v>
      </c>
      <c r="E42" s="32" t="s">
        <v>15</v>
      </c>
      <c r="F42" s="32" t="str">
        <f t="shared" si="18"/>
        <v>M22</v>
      </c>
      <c r="G42" s="61" t="str">
        <f t="shared" si="19"/>
        <v>308</v>
      </c>
      <c r="H42" s="72" t="str">
        <f t="shared" si="20"/>
        <v>C5</v>
      </c>
      <c r="I42" s="72">
        <f t="shared" si="22"/>
        <v>2</v>
      </c>
      <c r="J42" s="37" t="s">
        <v>38</v>
      </c>
      <c r="K42" s="37">
        <v>20</v>
      </c>
      <c r="L42" s="26">
        <v>0.3</v>
      </c>
      <c r="M42" s="26">
        <v>4.67</v>
      </c>
      <c r="N42" s="29">
        <f t="shared" si="4"/>
        <v>4.37</v>
      </c>
      <c r="O42" s="58" t="str">
        <f t="shared" si="5"/>
        <v>OK</v>
      </c>
    </row>
    <row r="43" spans="1:15" x14ac:dyDescent="0.25">
      <c r="A43" s="54"/>
      <c r="B43" s="32">
        <v>4</v>
      </c>
      <c r="C43" s="32">
        <v>1052566</v>
      </c>
      <c r="D43" s="39">
        <v>45758</v>
      </c>
      <c r="E43" s="32" t="s">
        <v>15</v>
      </c>
      <c r="F43" s="32" t="str">
        <f t="shared" si="18"/>
        <v>M22</v>
      </c>
      <c r="G43" s="61" t="str">
        <f t="shared" si="19"/>
        <v>308</v>
      </c>
      <c r="H43" s="72" t="s">
        <v>47</v>
      </c>
      <c r="I43" s="72">
        <v>1</v>
      </c>
      <c r="J43" s="37" t="s">
        <v>31</v>
      </c>
      <c r="K43" s="37">
        <v>21</v>
      </c>
      <c r="L43" s="26">
        <v>0.43</v>
      </c>
      <c r="M43" s="26">
        <v>5.0999999999999996</v>
      </c>
      <c r="N43" s="29">
        <f t="shared" si="4"/>
        <v>4.67</v>
      </c>
      <c r="O43" s="58" t="str">
        <f t="shared" si="5"/>
        <v>OK</v>
      </c>
    </row>
    <row r="44" spans="1:15" x14ac:dyDescent="0.25">
      <c r="A44" s="54"/>
      <c r="B44" s="32">
        <v>4</v>
      </c>
      <c r="C44" s="32">
        <v>1052566</v>
      </c>
      <c r="D44" s="39">
        <v>45758</v>
      </c>
      <c r="E44" s="32" t="s">
        <v>15</v>
      </c>
      <c r="F44" s="32" t="str">
        <f t="shared" si="18"/>
        <v>M22</v>
      </c>
      <c r="G44" s="61" t="str">
        <f t="shared" si="19"/>
        <v>308</v>
      </c>
      <c r="H44" s="72" t="str">
        <f t="shared" ref="H44:H50" si="23">H43</f>
        <v>C6</v>
      </c>
      <c r="I44" s="72">
        <f t="shared" ref="I44:I46" si="24">I43</f>
        <v>1</v>
      </c>
      <c r="J44" s="37" t="s">
        <v>32</v>
      </c>
      <c r="K44" s="37">
        <v>21</v>
      </c>
      <c r="L44" s="26">
        <v>0.14000000000000001</v>
      </c>
      <c r="M44" s="26">
        <v>5.09</v>
      </c>
      <c r="N44" s="29">
        <f t="shared" si="4"/>
        <v>4.95</v>
      </c>
      <c r="O44" s="58" t="str">
        <f t="shared" si="5"/>
        <v>OK</v>
      </c>
    </row>
    <row r="45" spans="1:15" x14ac:dyDescent="0.25">
      <c r="A45" s="54"/>
      <c r="B45" s="32">
        <v>4</v>
      </c>
      <c r="C45" s="32">
        <v>1052566</v>
      </c>
      <c r="D45" s="39">
        <v>45758</v>
      </c>
      <c r="E45" s="32" t="s">
        <v>15</v>
      </c>
      <c r="F45" s="32" t="str">
        <f t="shared" si="18"/>
        <v>M22</v>
      </c>
      <c r="G45" s="61" t="str">
        <f t="shared" si="19"/>
        <v>308</v>
      </c>
      <c r="H45" s="72" t="str">
        <f t="shared" si="23"/>
        <v>C6</v>
      </c>
      <c r="I45" s="72">
        <f t="shared" si="24"/>
        <v>1</v>
      </c>
      <c r="J45" s="37" t="s">
        <v>33</v>
      </c>
      <c r="K45" s="37">
        <v>22</v>
      </c>
      <c r="L45" s="26">
        <v>1.69</v>
      </c>
      <c r="M45" s="26">
        <v>4.82</v>
      </c>
      <c r="N45" s="29">
        <f t="shared" si="4"/>
        <v>3.1300000000000003</v>
      </c>
      <c r="O45" s="58" t="str">
        <f t="shared" si="5"/>
        <v>OK</v>
      </c>
    </row>
    <row r="46" spans="1:15" x14ac:dyDescent="0.25">
      <c r="A46" s="54"/>
      <c r="B46" s="32">
        <v>4</v>
      </c>
      <c r="C46" s="32">
        <v>1052566</v>
      </c>
      <c r="D46" s="39">
        <v>45758</v>
      </c>
      <c r="E46" s="32" t="s">
        <v>15</v>
      </c>
      <c r="F46" s="32" t="str">
        <f t="shared" si="18"/>
        <v>M22</v>
      </c>
      <c r="G46" s="61" t="str">
        <f t="shared" si="19"/>
        <v>308</v>
      </c>
      <c r="H46" s="72" t="str">
        <f t="shared" si="23"/>
        <v>C6</v>
      </c>
      <c r="I46" s="72">
        <f t="shared" si="24"/>
        <v>1</v>
      </c>
      <c r="J46" s="37" t="s">
        <v>34</v>
      </c>
      <c r="K46" s="37">
        <v>22</v>
      </c>
      <c r="L46" s="26">
        <v>1.1000000000000001</v>
      </c>
      <c r="M46" s="26">
        <v>1.75</v>
      </c>
      <c r="N46" s="29">
        <f t="shared" si="4"/>
        <v>0.64999999999999991</v>
      </c>
      <c r="O46" s="58" t="str">
        <f t="shared" si="5"/>
        <v>Seguimiento</v>
      </c>
    </row>
    <row r="47" spans="1:15" x14ac:dyDescent="0.25">
      <c r="A47" s="54"/>
      <c r="B47" s="32">
        <v>4</v>
      </c>
      <c r="C47" s="32">
        <v>1052566</v>
      </c>
      <c r="D47" s="39">
        <v>45758</v>
      </c>
      <c r="E47" s="32" t="s">
        <v>15</v>
      </c>
      <c r="F47" s="32" t="str">
        <f t="shared" si="18"/>
        <v>M22</v>
      </c>
      <c r="G47" s="61" t="str">
        <f t="shared" si="19"/>
        <v>308</v>
      </c>
      <c r="H47" s="72" t="str">
        <f t="shared" si="23"/>
        <v>C6</v>
      </c>
      <c r="I47" s="72">
        <v>2</v>
      </c>
      <c r="J47" s="37" t="s">
        <v>35</v>
      </c>
      <c r="K47" s="37">
        <v>23</v>
      </c>
      <c r="L47" s="26">
        <v>1.58</v>
      </c>
      <c r="M47" s="26">
        <v>2.21</v>
      </c>
      <c r="N47" s="29">
        <f t="shared" si="4"/>
        <v>0.62999999999999989</v>
      </c>
      <c r="O47" s="58" t="str">
        <f t="shared" si="5"/>
        <v>Seguimiento</v>
      </c>
    </row>
    <row r="48" spans="1:15" x14ac:dyDescent="0.25">
      <c r="A48" s="54"/>
      <c r="B48" s="32">
        <v>4</v>
      </c>
      <c r="C48" s="32">
        <v>1052566</v>
      </c>
      <c r="D48" s="39">
        <v>45758</v>
      </c>
      <c r="E48" s="32" t="s">
        <v>15</v>
      </c>
      <c r="F48" s="32" t="str">
        <f t="shared" si="18"/>
        <v>M22</v>
      </c>
      <c r="G48" s="61" t="str">
        <f t="shared" si="19"/>
        <v>308</v>
      </c>
      <c r="H48" s="72" t="str">
        <f t="shared" si="23"/>
        <v>C6</v>
      </c>
      <c r="I48" s="72">
        <f t="shared" ref="I48:I50" si="25">I47</f>
        <v>2</v>
      </c>
      <c r="J48" s="37" t="s">
        <v>36</v>
      </c>
      <c r="K48" s="37">
        <v>23</v>
      </c>
      <c r="L48" s="26">
        <v>0.49</v>
      </c>
      <c r="M48" s="26">
        <v>4.79</v>
      </c>
      <c r="N48" s="29">
        <f t="shared" si="4"/>
        <v>4.3</v>
      </c>
      <c r="O48" s="58" t="str">
        <f t="shared" si="5"/>
        <v>OK</v>
      </c>
    </row>
    <row r="49" spans="1:15" x14ac:dyDescent="0.25">
      <c r="A49" s="54"/>
      <c r="B49" s="32">
        <v>4</v>
      </c>
      <c r="C49" s="32">
        <v>1052566</v>
      </c>
      <c r="D49" s="39">
        <v>45758</v>
      </c>
      <c r="E49" s="32" t="s">
        <v>15</v>
      </c>
      <c r="F49" s="32" t="str">
        <f t="shared" si="18"/>
        <v>M22</v>
      </c>
      <c r="G49" s="61" t="str">
        <f t="shared" si="19"/>
        <v>308</v>
      </c>
      <c r="H49" s="72" t="str">
        <f t="shared" si="23"/>
        <v>C6</v>
      </c>
      <c r="I49" s="72">
        <f t="shared" si="25"/>
        <v>2</v>
      </c>
      <c r="J49" s="37" t="s">
        <v>37</v>
      </c>
      <c r="K49" s="37">
        <v>24</v>
      </c>
      <c r="L49" s="26">
        <v>0.12</v>
      </c>
      <c r="M49" s="26">
        <v>5.04</v>
      </c>
      <c r="N49" s="29">
        <f t="shared" si="4"/>
        <v>4.92</v>
      </c>
      <c r="O49" s="58" t="str">
        <f t="shared" si="5"/>
        <v>OK</v>
      </c>
    </row>
    <row r="50" spans="1:15" x14ac:dyDescent="0.25">
      <c r="A50" s="54"/>
      <c r="B50" s="32">
        <v>4</v>
      </c>
      <c r="C50" s="32">
        <v>1052566</v>
      </c>
      <c r="D50" s="39">
        <v>45758</v>
      </c>
      <c r="E50" s="32" t="s">
        <v>15</v>
      </c>
      <c r="F50" s="32" t="str">
        <f t="shared" si="18"/>
        <v>M22</v>
      </c>
      <c r="G50" s="61" t="str">
        <f t="shared" si="19"/>
        <v>308</v>
      </c>
      <c r="H50" s="72" t="str">
        <f t="shared" si="23"/>
        <v>C6</v>
      </c>
      <c r="I50" s="72">
        <f t="shared" si="25"/>
        <v>2</v>
      </c>
      <c r="J50" s="37" t="s">
        <v>38</v>
      </c>
      <c r="K50" s="37">
        <v>24</v>
      </c>
      <c r="L50" s="26">
        <v>0.4</v>
      </c>
      <c r="M50" s="26">
        <v>4.7</v>
      </c>
      <c r="N50" s="29">
        <f t="shared" si="4"/>
        <v>4.3</v>
      </c>
      <c r="O50" s="58" t="str">
        <f t="shared" si="5"/>
        <v>OK</v>
      </c>
    </row>
    <row r="51" spans="1:15" x14ac:dyDescent="0.25">
      <c r="A51" s="54"/>
      <c r="B51" s="32">
        <v>4</v>
      </c>
      <c r="C51" s="32">
        <v>1052566</v>
      </c>
      <c r="D51" s="39">
        <v>45758</v>
      </c>
      <c r="E51" s="32" t="s">
        <v>15</v>
      </c>
      <c r="F51" s="32" t="s">
        <v>44</v>
      </c>
      <c r="G51" s="61" t="s">
        <v>68</v>
      </c>
      <c r="H51" s="72" t="s">
        <v>47</v>
      </c>
      <c r="I51" s="72">
        <v>2</v>
      </c>
      <c r="J51" s="37" t="s">
        <v>31</v>
      </c>
      <c r="K51" s="37">
        <v>25</v>
      </c>
      <c r="L51" s="26">
        <v>0.37</v>
      </c>
      <c r="M51" s="26">
        <v>2.35</v>
      </c>
      <c r="N51" s="29">
        <f t="shared" si="4"/>
        <v>1.98</v>
      </c>
      <c r="O51" s="58" t="str">
        <f t="shared" si="5"/>
        <v>OK</v>
      </c>
    </row>
    <row r="52" spans="1:15" x14ac:dyDescent="0.25">
      <c r="A52" s="54"/>
      <c r="B52" s="32">
        <v>4</v>
      </c>
      <c r="C52" s="32">
        <v>1052566</v>
      </c>
      <c r="D52" s="39">
        <v>45758</v>
      </c>
      <c r="E52" s="32" t="s">
        <v>15</v>
      </c>
      <c r="F52" s="32" t="str">
        <f t="shared" ref="F52:F66" si="26">F51</f>
        <v>M22</v>
      </c>
      <c r="G52" s="61" t="str">
        <f t="shared" ref="G52:G66" si="27">G51</f>
        <v>309</v>
      </c>
      <c r="H52" s="72" t="str">
        <f t="shared" ref="H52:H58" si="28">H51</f>
        <v>C6</v>
      </c>
      <c r="I52" s="72">
        <f t="shared" ref="I52:I54" si="29">I51</f>
        <v>2</v>
      </c>
      <c r="J52" s="37" t="s">
        <v>32</v>
      </c>
      <c r="K52" s="37">
        <v>25</v>
      </c>
      <c r="L52" s="26">
        <v>0.52</v>
      </c>
      <c r="M52" s="26">
        <v>4.93</v>
      </c>
      <c r="N52" s="29">
        <f t="shared" si="4"/>
        <v>4.41</v>
      </c>
      <c r="O52" s="58" t="str">
        <f t="shared" si="5"/>
        <v>OK</v>
      </c>
    </row>
    <row r="53" spans="1:15" x14ac:dyDescent="0.25">
      <c r="A53" s="54"/>
      <c r="B53" s="32">
        <v>4</v>
      </c>
      <c r="C53" s="32">
        <v>1052566</v>
      </c>
      <c r="D53" s="39">
        <v>45758</v>
      </c>
      <c r="E53" s="32" t="s">
        <v>15</v>
      </c>
      <c r="F53" s="32" t="str">
        <f t="shared" si="26"/>
        <v>M22</v>
      </c>
      <c r="G53" s="61" t="str">
        <f t="shared" si="27"/>
        <v>309</v>
      </c>
      <c r="H53" s="72" t="str">
        <f t="shared" si="28"/>
        <v>C6</v>
      </c>
      <c r="I53" s="72">
        <f t="shared" si="29"/>
        <v>2</v>
      </c>
      <c r="J53" s="37" t="s">
        <v>33</v>
      </c>
      <c r="K53" s="37">
        <v>26</v>
      </c>
      <c r="L53" s="26">
        <v>0.69</v>
      </c>
      <c r="M53" s="26">
        <v>5.09</v>
      </c>
      <c r="N53" s="29">
        <f t="shared" si="4"/>
        <v>4.4000000000000004</v>
      </c>
      <c r="O53" s="58" t="str">
        <f t="shared" si="5"/>
        <v>OK</v>
      </c>
    </row>
    <row r="54" spans="1:15" x14ac:dyDescent="0.25">
      <c r="A54" s="54"/>
      <c r="B54" s="32">
        <v>4</v>
      </c>
      <c r="C54" s="32">
        <v>1052566</v>
      </c>
      <c r="D54" s="39">
        <v>45758</v>
      </c>
      <c r="E54" s="32" t="s">
        <v>15</v>
      </c>
      <c r="F54" s="32" t="str">
        <f t="shared" si="26"/>
        <v>M22</v>
      </c>
      <c r="G54" s="61" t="str">
        <f t="shared" si="27"/>
        <v>309</v>
      </c>
      <c r="H54" s="72" t="str">
        <f t="shared" si="28"/>
        <v>C6</v>
      </c>
      <c r="I54" s="72">
        <f t="shared" si="29"/>
        <v>2</v>
      </c>
      <c r="J54" s="37" t="s">
        <v>34</v>
      </c>
      <c r="K54" s="37">
        <v>26</v>
      </c>
      <c r="L54" s="26">
        <v>0.97</v>
      </c>
      <c r="M54" s="26">
        <v>4</v>
      </c>
      <c r="N54" s="29">
        <f t="shared" si="4"/>
        <v>3.0300000000000002</v>
      </c>
      <c r="O54" s="58" t="str">
        <f t="shared" si="5"/>
        <v>OK</v>
      </c>
    </row>
    <row r="55" spans="1:15" x14ac:dyDescent="0.25">
      <c r="A55" s="54"/>
      <c r="B55" s="32">
        <v>4</v>
      </c>
      <c r="C55" s="32">
        <v>1052566</v>
      </c>
      <c r="D55" s="39">
        <v>45758</v>
      </c>
      <c r="E55" s="32" t="s">
        <v>15</v>
      </c>
      <c r="F55" s="32" t="str">
        <f t="shared" si="26"/>
        <v>M22</v>
      </c>
      <c r="G55" s="61" t="str">
        <f t="shared" si="27"/>
        <v>309</v>
      </c>
      <c r="H55" s="72" t="str">
        <f t="shared" si="28"/>
        <v>C6</v>
      </c>
      <c r="I55" s="72">
        <v>1</v>
      </c>
      <c r="J55" s="37" t="s">
        <v>35</v>
      </c>
      <c r="K55" s="37">
        <v>27</v>
      </c>
      <c r="L55" s="26">
        <v>1.86</v>
      </c>
      <c r="M55" s="26">
        <v>3.48</v>
      </c>
      <c r="N55" s="29">
        <f t="shared" si="4"/>
        <v>1.6199999999999999</v>
      </c>
      <c r="O55" s="58" t="str">
        <f t="shared" si="5"/>
        <v>Reperfilado</v>
      </c>
    </row>
    <row r="56" spans="1:15" x14ac:dyDescent="0.25">
      <c r="A56" s="54"/>
      <c r="B56" s="32">
        <v>4</v>
      </c>
      <c r="C56" s="32">
        <v>1052566</v>
      </c>
      <c r="D56" s="39">
        <v>45758</v>
      </c>
      <c r="E56" s="32" t="s">
        <v>15</v>
      </c>
      <c r="F56" s="32" t="str">
        <f t="shared" si="26"/>
        <v>M22</v>
      </c>
      <c r="G56" s="61" t="str">
        <f t="shared" si="27"/>
        <v>309</v>
      </c>
      <c r="H56" s="72" t="str">
        <f t="shared" si="28"/>
        <v>C6</v>
      </c>
      <c r="I56" s="72">
        <f t="shared" ref="I56:I58" si="30">I55</f>
        <v>1</v>
      </c>
      <c r="J56" s="37" t="s">
        <v>36</v>
      </c>
      <c r="K56" s="37">
        <v>27</v>
      </c>
      <c r="L56" s="26">
        <v>1.1299999999999999</v>
      </c>
      <c r="M56" s="26">
        <v>3.08</v>
      </c>
      <c r="N56" s="29">
        <f t="shared" si="4"/>
        <v>1.9500000000000002</v>
      </c>
      <c r="O56" s="58" t="str">
        <f t="shared" si="5"/>
        <v>OK</v>
      </c>
    </row>
    <row r="57" spans="1:15" x14ac:dyDescent="0.25">
      <c r="A57" s="54"/>
      <c r="B57" s="32">
        <v>4</v>
      </c>
      <c r="C57" s="32">
        <v>1052566</v>
      </c>
      <c r="D57" s="39">
        <v>45758</v>
      </c>
      <c r="E57" s="32" t="s">
        <v>15</v>
      </c>
      <c r="F57" s="32" t="str">
        <f t="shared" si="26"/>
        <v>M22</v>
      </c>
      <c r="G57" s="61" t="str">
        <f t="shared" si="27"/>
        <v>309</v>
      </c>
      <c r="H57" s="72" t="str">
        <f t="shared" si="28"/>
        <v>C6</v>
      </c>
      <c r="I57" s="72">
        <f t="shared" si="30"/>
        <v>1</v>
      </c>
      <c r="J57" s="37" t="s">
        <v>37</v>
      </c>
      <c r="K57" s="37">
        <v>28</v>
      </c>
      <c r="L57" s="26">
        <v>0.93</v>
      </c>
      <c r="M57" s="26">
        <v>3.34</v>
      </c>
      <c r="N57" s="29">
        <f t="shared" si="4"/>
        <v>2.4099999999999997</v>
      </c>
      <c r="O57" s="58" t="str">
        <f t="shared" si="5"/>
        <v>OK</v>
      </c>
    </row>
    <row r="58" spans="1:15" x14ac:dyDescent="0.25">
      <c r="A58" s="54"/>
      <c r="B58" s="32">
        <v>4</v>
      </c>
      <c r="C58" s="32">
        <v>1052566</v>
      </c>
      <c r="D58" s="39">
        <v>45758</v>
      </c>
      <c r="E58" s="32" t="s">
        <v>15</v>
      </c>
      <c r="F58" s="32" t="str">
        <f t="shared" si="26"/>
        <v>M22</v>
      </c>
      <c r="G58" s="61" t="str">
        <f t="shared" si="27"/>
        <v>309</v>
      </c>
      <c r="H58" s="72" t="str">
        <f t="shared" si="28"/>
        <v>C6</v>
      </c>
      <c r="I58" s="72">
        <f t="shared" si="30"/>
        <v>1</v>
      </c>
      <c r="J58" s="37" t="s">
        <v>38</v>
      </c>
      <c r="K58" s="37">
        <v>28</v>
      </c>
      <c r="L58" s="26">
        <v>0.95</v>
      </c>
      <c r="M58" s="26">
        <v>3.91</v>
      </c>
      <c r="N58" s="29">
        <f t="shared" si="4"/>
        <v>2.96</v>
      </c>
      <c r="O58" s="58" t="str">
        <f t="shared" si="5"/>
        <v>OK</v>
      </c>
    </row>
    <row r="59" spans="1:15" x14ac:dyDescent="0.25">
      <c r="A59" s="54"/>
      <c r="B59" s="32">
        <v>4</v>
      </c>
      <c r="C59" s="32">
        <v>1052566</v>
      </c>
      <c r="D59" s="39">
        <v>45758</v>
      </c>
      <c r="E59" s="32" t="s">
        <v>15</v>
      </c>
      <c r="F59" s="32" t="str">
        <f t="shared" si="26"/>
        <v>M22</v>
      </c>
      <c r="G59" s="61" t="str">
        <f t="shared" si="27"/>
        <v>309</v>
      </c>
      <c r="H59" s="72" t="s">
        <v>46</v>
      </c>
      <c r="I59" s="72">
        <v>2</v>
      </c>
      <c r="J59" s="37" t="s">
        <v>31</v>
      </c>
      <c r="K59" s="37">
        <v>29</v>
      </c>
      <c r="L59" s="26">
        <v>1.1299999999999999</v>
      </c>
      <c r="M59" s="26">
        <v>2.04</v>
      </c>
      <c r="N59" s="29">
        <f t="shared" si="4"/>
        <v>0.91000000000000014</v>
      </c>
      <c r="O59" s="58" t="str">
        <f t="shared" si="5"/>
        <v>Seguimiento</v>
      </c>
    </row>
    <row r="60" spans="1:15" x14ac:dyDescent="0.25">
      <c r="A60" s="54"/>
      <c r="B60" s="32">
        <v>4</v>
      </c>
      <c r="C60" s="32">
        <v>1052566</v>
      </c>
      <c r="D60" s="39">
        <v>45758</v>
      </c>
      <c r="E60" s="32" t="s">
        <v>15</v>
      </c>
      <c r="F60" s="32" t="str">
        <f t="shared" si="26"/>
        <v>M22</v>
      </c>
      <c r="G60" s="61" t="str">
        <f t="shared" si="27"/>
        <v>309</v>
      </c>
      <c r="H60" s="72" t="str">
        <f t="shared" ref="H60:H66" si="31">H59</f>
        <v>C5</v>
      </c>
      <c r="I60" s="72">
        <f t="shared" ref="I60:I62" si="32">I59</f>
        <v>2</v>
      </c>
      <c r="J60" s="37" t="s">
        <v>32</v>
      </c>
      <c r="K60" s="37">
        <v>29</v>
      </c>
      <c r="L60" s="26">
        <v>0.55000000000000004</v>
      </c>
      <c r="M60" s="26">
        <v>1.51</v>
      </c>
      <c r="N60" s="29">
        <f t="shared" si="4"/>
        <v>0.96</v>
      </c>
      <c r="O60" s="58" t="str">
        <f t="shared" si="5"/>
        <v>Seguimiento</v>
      </c>
    </row>
    <row r="61" spans="1:15" x14ac:dyDescent="0.25">
      <c r="A61" s="54"/>
      <c r="B61" s="32">
        <v>4</v>
      </c>
      <c r="C61" s="32">
        <v>1052566</v>
      </c>
      <c r="D61" s="39">
        <v>45758</v>
      </c>
      <c r="E61" s="32" t="s">
        <v>15</v>
      </c>
      <c r="F61" s="32" t="str">
        <f t="shared" si="26"/>
        <v>M22</v>
      </c>
      <c r="G61" s="61" t="str">
        <f t="shared" si="27"/>
        <v>309</v>
      </c>
      <c r="H61" s="72" t="str">
        <f t="shared" si="31"/>
        <v>C5</v>
      </c>
      <c r="I61" s="72">
        <f t="shared" si="32"/>
        <v>2</v>
      </c>
      <c r="J61" s="37" t="s">
        <v>33</v>
      </c>
      <c r="K61" s="37">
        <v>30</v>
      </c>
      <c r="L61" s="26">
        <v>0.59</v>
      </c>
      <c r="M61" s="26">
        <v>5</v>
      </c>
      <c r="N61" s="29">
        <f t="shared" si="4"/>
        <v>4.41</v>
      </c>
      <c r="O61" s="58" t="str">
        <f t="shared" si="5"/>
        <v>OK</v>
      </c>
    </row>
    <row r="62" spans="1:15" x14ac:dyDescent="0.25">
      <c r="A62" s="54"/>
      <c r="B62" s="32">
        <v>4</v>
      </c>
      <c r="C62" s="32">
        <v>1052566</v>
      </c>
      <c r="D62" s="39">
        <v>45758</v>
      </c>
      <c r="E62" s="32" t="s">
        <v>15</v>
      </c>
      <c r="F62" s="32" t="str">
        <f t="shared" si="26"/>
        <v>M22</v>
      </c>
      <c r="G62" s="61" t="str">
        <f t="shared" si="27"/>
        <v>309</v>
      </c>
      <c r="H62" s="72" t="str">
        <f t="shared" si="31"/>
        <v>C5</v>
      </c>
      <c r="I62" s="72">
        <f t="shared" si="32"/>
        <v>2</v>
      </c>
      <c r="J62" s="37" t="s">
        <v>34</v>
      </c>
      <c r="K62" s="37">
        <v>30</v>
      </c>
      <c r="L62" s="26">
        <v>0.44</v>
      </c>
      <c r="M62" s="26">
        <v>4.91</v>
      </c>
      <c r="N62" s="29">
        <f t="shared" si="4"/>
        <v>4.47</v>
      </c>
      <c r="O62" s="58" t="str">
        <f t="shared" si="5"/>
        <v>OK</v>
      </c>
    </row>
    <row r="63" spans="1:15" x14ac:dyDescent="0.25">
      <c r="A63" s="54"/>
      <c r="B63" s="32">
        <v>4</v>
      </c>
      <c r="C63" s="32">
        <v>1052566</v>
      </c>
      <c r="D63" s="39">
        <v>45758</v>
      </c>
      <c r="E63" s="32" t="s">
        <v>15</v>
      </c>
      <c r="F63" s="32" t="str">
        <f t="shared" si="26"/>
        <v>M22</v>
      </c>
      <c r="G63" s="61" t="str">
        <f t="shared" si="27"/>
        <v>309</v>
      </c>
      <c r="H63" s="72" t="str">
        <f t="shared" si="31"/>
        <v>C5</v>
      </c>
      <c r="I63" s="72">
        <v>1</v>
      </c>
      <c r="J63" s="37" t="s">
        <v>35</v>
      </c>
      <c r="K63" s="37">
        <v>31</v>
      </c>
      <c r="L63" s="26">
        <v>1.46</v>
      </c>
      <c r="M63" s="26">
        <v>4.72</v>
      </c>
      <c r="N63" s="29">
        <f t="shared" si="4"/>
        <v>3.26</v>
      </c>
      <c r="O63" s="58" t="str">
        <f t="shared" si="5"/>
        <v>OK</v>
      </c>
    </row>
    <row r="64" spans="1:15" x14ac:dyDescent="0.25">
      <c r="A64" s="54"/>
      <c r="B64" s="32">
        <v>4</v>
      </c>
      <c r="C64" s="32">
        <v>1052566</v>
      </c>
      <c r="D64" s="39">
        <v>45758</v>
      </c>
      <c r="E64" s="32" t="s">
        <v>15</v>
      </c>
      <c r="F64" s="32" t="str">
        <f t="shared" si="26"/>
        <v>M22</v>
      </c>
      <c r="G64" s="61" t="str">
        <f t="shared" si="27"/>
        <v>309</v>
      </c>
      <c r="H64" s="72" t="str">
        <f t="shared" si="31"/>
        <v>C5</v>
      </c>
      <c r="I64" s="72">
        <f t="shared" ref="I64:I66" si="33">I63</f>
        <v>1</v>
      </c>
      <c r="J64" s="37" t="s">
        <v>36</v>
      </c>
      <c r="K64" s="37">
        <v>31</v>
      </c>
      <c r="L64" s="26">
        <v>0.71</v>
      </c>
      <c r="M64" s="26">
        <v>4.9000000000000004</v>
      </c>
      <c r="N64" s="29">
        <f t="shared" si="4"/>
        <v>4.1900000000000004</v>
      </c>
      <c r="O64" s="58" t="str">
        <f t="shared" si="5"/>
        <v>OK</v>
      </c>
    </row>
    <row r="65" spans="1:15" x14ac:dyDescent="0.25">
      <c r="A65" s="54"/>
      <c r="B65" s="32">
        <v>4</v>
      </c>
      <c r="C65" s="32">
        <v>1052566</v>
      </c>
      <c r="D65" s="39">
        <v>45758</v>
      </c>
      <c r="E65" s="32" t="s">
        <v>15</v>
      </c>
      <c r="F65" s="32" t="str">
        <f t="shared" si="26"/>
        <v>M22</v>
      </c>
      <c r="G65" s="61" t="str">
        <f t="shared" si="27"/>
        <v>309</v>
      </c>
      <c r="H65" s="72" t="str">
        <f t="shared" si="31"/>
        <v>C5</v>
      </c>
      <c r="I65" s="72">
        <f t="shared" si="33"/>
        <v>1</v>
      </c>
      <c r="J65" s="37" t="s">
        <v>37</v>
      </c>
      <c r="K65" s="37">
        <v>32</v>
      </c>
      <c r="L65" s="26">
        <v>0.44</v>
      </c>
      <c r="M65" s="26">
        <v>5.12</v>
      </c>
      <c r="N65" s="29">
        <f t="shared" si="4"/>
        <v>4.68</v>
      </c>
      <c r="O65" s="58" t="str">
        <f t="shared" si="5"/>
        <v>OK</v>
      </c>
    </row>
    <row r="66" spans="1:15" x14ac:dyDescent="0.25">
      <c r="A66" s="54"/>
      <c r="B66" s="32">
        <v>4</v>
      </c>
      <c r="C66" s="32">
        <v>1052566</v>
      </c>
      <c r="D66" s="39">
        <v>45758</v>
      </c>
      <c r="E66" s="32" t="s">
        <v>15</v>
      </c>
      <c r="F66" s="32" t="str">
        <f t="shared" si="26"/>
        <v>M22</v>
      </c>
      <c r="G66" s="61" t="str">
        <f t="shared" si="27"/>
        <v>309</v>
      </c>
      <c r="H66" s="72" t="str">
        <f t="shared" si="31"/>
        <v>C5</v>
      </c>
      <c r="I66" s="72">
        <f t="shared" si="33"/>
        <v>1</v>
      </c>
      <c r="J66" s="37" t="s">
        <v>38</v>
      </c>
      <c r="K66" s="37">
        <v>32</v>
      </c>
      <c r="L66" s="26">
        <v>0.83</v>
      </c>
      <c r="M66" s="26">
        <v>1.21</v>
      </c>
      <c r="N66" s="29">
        <f t="shared" si="4"/>
        <v>0.38</v>
      </c>
      <c r="O66" s="58" t="str">
        <f t="shared" si="5"/>
        <v>Seguimiento</v>
      </c>
    </row>
    <row r="67" spans="1:15" x14ac:dyDescent="0.25">
      <c r="A67" s="54"/>
      <c r="B67" s="32">
        <v>4</v>
      </c>
      <c r="C67" s="32">
        <v>1052566</v>
      </c>
      <c r="D67" s="39">
        <v>45758</v>
      </c>
      <c r="E67" s="32" t="s">
        <v>15</v>
      </c>
      <c r="F67" s="32" t="s">
        <v>40</v>
      </c>
      <c r="G67" s="61" t="s">
        <v>69</v>
      </c>
      <c r="H67" s="72" t="s">
        <v>43</v>
      </c>
      <c r="I67" s="72">
        <v>2</v>
      </c>
      <c r="J67" s="37" t="s">
        <v>31</v>
      </c>
      <c r="K67" s="37">
        <v>33</v>
      </c>
      <c r="L67" s="26">
        <v>0.1</v>
      </c>
      <c r="M67" s="26">
        <v>4.83</v>
      </c>
      <c r="N67" s="29">
        <f t="shared" si="4"/>
        <v>4.7300000000000004</v>
      </c>
      <c r="O67" s="58" t="str">
        <f t="shared" si="5"/>
        <v>OK</v>
      </c>
    </row>
    <row r="68" spans="1:15" x14ac:dyDescent="0.25">
      <c r="A68" s="54"/>
      <c r="B68" s="32">
        <v>4</v>
      </c>
      <c r="C68" s="32">
        <v>1052566</v>
      </c>
      <c r="D68" s="39">
        <v>45758</v>
      </c>
      <c r="E68" s="32" t="s">
        <v>15</v>
      </c>
      <c r="F68" s="32" t="str">
        <f t="shared" ref="F68:F82" si="34">F67</f>
        <v>M21</v>
      </c>
      <c r="G68" s="61" t="str">
        <f t="shared" ref="G68:G82" si="35">G67</f>
        <v>016</v>
      </c>
      <c r="H68" s="72" t="str">
        <f t="shared" ref="H68:H74" si="36">H67</f>
        <v>C4</v>
      </c>
      <c r="I68" s="72">
        <f t="shared" ref="I68:I70" si="37">I67</f>
        <v>2</v>
      </c>
      <c r="J68" s="37" t="s">
        <v>32</v>
      </c>
      <c r="K68" s="37">
        <v>33</v>
      </c>
      <c r="L68" s="26">
        <v>0.74</v>
      </c>
      <c r="M68" s="26">
        <v>2.0699999999999998</v>
      </c>
      <c r="N68" s="29">
        <f t="shared" ref="N68:N98" si="38">+M68-L68</f>
        <v>1.3299999999999998</v>
      </c>
      <c r="O68" s="58" t="str">
        <f t="shared" ref="O68:O131" si="39">IF(N68&lt;=0,"Critico",IF(N68&lt;=0.2,"Cambio",IF(N68&lt;=1,"Seguimiento",IF(L68&gt;=1.7,"Reperfilado","OK"))))</f>
        <v>OK</v>
      </c>
    </row>
    <row r="69" spans="1:15" x14ac:dyDescent="0.25">
      <c r="A69" s="54"/>
      <c r="B69" s="32">
        <v>4</v>
      </c>
      <c r="C69" s="32">
        <v>1052566</v>
      </c>
      <c r="D69" s="39">
        <v>45758</v>
      </c>
      <c r="E69" s="32" t="s">
        <v>15</v>
      </c>
      <c r="F69" s="32" t="str">
        <f t="shared" si="34"/>
        <v>M21</v>
      </c>
      <c r="G69" s="61" t="str">
        <f t="shared" si="35"/>
        <v>016</v>
      </c>
      <c r="H69" s="72" t="str">
        <f t="shared" si="36"/>
        <v>C4</v>
      </c>
      <c r="I69" s="72">
        <f t="shared" si="37"/>
        <v>2</v>
      </c>
      <c r="J69" s="37" t="s">
        <v>33</v>
      </c>
      <c r="K69" s="37">
        <v>34</v>
      </c>
      <c r="L69" s="26">
        <v>0.13</v>
      </c>
      <c r="M69" s="26">
        <v>2.33</v>
      </c>
      <c r="N69" s="29">
        <f t="shared" si="38"/>
        <v>2.2000000000000002</v>
      </c>
      <c r="O69" s="58" t="str">
        <f t="shared" si="39"/>
        <v>OK</v>
      </c>
    </row>
    <row r="70" spans="1:15" x14ac:dyDescent="0.25">
      <c r="A70" s="54"/>
      <c r="B70" s="32">
        <v>4</v>
      </c>
      <c r="C70" s="32">
        <v>1052566</v>
      </c>
      <c r="D70" s="39">
        <v>45758</v>
      </c>
      <c r="E70" s="32" t="s">
        <v>15</v>
      </c>
      <c r="F70" s="32" t="str">
        <f t="shared" si="34"/>
        <v>M21</v>
      </c>
      <c r="G70" s="61" t="str">
        <f t="shared" si="35"/>
        <v>016</v>
      </c>
      <c r="H70" s="72" t="str">
        <f t="shared" si="36"/>
        <v>C4</v>
      </c>
      <c r="I70" s="72">
        <f t="shared" si="37"/>
        <v>2</v>
      </c>
      <c r="J70" s="37" t="s">
        <v>34</v>
      </c>
      <c r="K70" s="37">
        <v>34</v>
      </c>
      <c r="L70" s="26">
        <v>0.4</v>
      </c>
      <c r="M70" s="26">
        <v>1.72</v>
      </c>
      <c r="N70" s="29">
        <f t="shared" si="38"/>
        <v>1.3199999999999998</v>
      </c>
      <c r="O70" s="58" t="str">
        <f t="shared" si="39"/>
        <v>OK</v>
      </c>
    </row>
    <row r="71" spans="1:15" x14ac:dyDescent="0.25">
      <c r="A71" s="54"/>
      <c r="B71" s="32">
        <v>4</v>
      </c>
      <c r="C71" s="32">
        <v>1052566</v>
      </c>
      <c r="D71" s="39">
        <v>45758</v>
      </c>
      <c r="E71" s="32" t="s">
        <v>15</v>
      </c>
      <c r="F71" s="32" t="str">
        <f t="shared" si="34"/>
        <v>M21</v>
      </c>
      <c r="G71" s="61" t="str">
        <f t="shared" si="35"/>
        <v>016</v>
      </c>
      <c r="H71" s="72" t="str">
        <f t="shared" si="36"/>
        <v>C4</v>
      </c>
      <c r="I71" s="72">
        <v>1</v>
      </c>
      <c r="J71" s="37" t="s">
        <v>35</v>
      </c>
      <c r="K71" s="37">
        <v>35</v>
      </c>
      <c r="L71" s="26">
        <v>0.11</v>
      </c>
      <c r="M71" s="26">
        <v>4.8600000000000003</v>
      </c>
      <c r="N71" s="29">
        <f t="shared" si="38"/>
        <v>4.75</v>
      </c>
      <c r="O71" s="58" t="str">
        <f t="shared" si="39"/>
        <v>OK</v>
      </c>
    </row>
    <row r="72" spans="1:15" x14ac:dyDescent="0.25">
      <c r="A72" s="54"/>
      <c r="B72" s="32">
        <v>4</v>
      </c>
      <c r="C72" s="32">
        <v>1052566</v>
      </c>
      <c r="D72" s="39">
        <v>45758</v>
      </c>
      <c r="E72" s="32" t="s">
        <v>15</v>
      </c>
      <c r="F72" s="32" t="str">
        <f t="shared" si="34"/>
        <v>M21</v>
      </c>
      <c r="G72" s="61" t="str">
        <f t="shared" si="35"/>
        <v>016</v>
      </c>
      <c r="H72" s="72" t="str">
        <f t="shared" si="36"/>
        <v>C4</v>
      </c>
      <c r="I72" s="72">
        <f t="shared" ref="I72:I74" si="40">I71</f>
        <v>1</v>
      </c>
      <c r="J72" s="37" t="s">
        <v>36</v>
      </c>
      <c r="K72" s="37">
        <v>35</v>
      </c>
      <c r="L72" s="26">
        <v>0.33</v>
      </c>
      <c r="M72" s="26">
        <v>2.4500000000000002</v>
      </c>
      <c r="N72" s="29">
        <f t="shared" si="38"/>
        <v>2.12</v>
      </c>
      <c r="O72" s="58" t="str">
        <f t="shared" si="39"/>
        <v>OK</v>
      </c>
    </row>
    <row r="73" spans="1:15" x14ac:dyDescent="0.25">
      <c r="A73" s="54"/>
      <c r="B73" s="32">
        <v>4</v>
      </c>
      <c r="C73" s="32">
        <v>1052566</v>
      </c>
      <c r="D73" s="39">
        <v>45758</v>
      </c>
      <c r="E73" s="32" t="s">
        <v>15</v>
      </c>
      <c r="F73" s="32" t="str">
        <f t="shared" si="34"/>
        <v>M21</v>
      </c>
      <c r="G73" s="61" t="str">
        <f t="shared" si="35"/>
        <v>016</v>
      </c>
      <c r="H73" s="72" t="str">
        <f t="shared" si="36"/>
        <v>C4</v>
      </c>
      <c r="I73" s="72">
        <f t="shared" si="40"/>
        <v>1</v>
      </c>
      <c r="J73" s="37" t="s">
        <v>37</v>
      </c>
      <c r="K73" s="37">
        <v>36</v>
      </c>
      <c r="L73" s="26">
        <v>0.86</v>
      </c>
      <c r="M73" s="26">
        <v>2.61</v>
      </c>
      <c r="N73" s="29">
        <f t="shared" si="38"/>
        <v>1.75</v>
      </c>
      <c r="O73" s="58" t="str">
        <f t="shared" si="39"/>
        <v>OK</v>
      </c>
    </row>
    <row r="74" spans="1:15" x14ac:dyDescent="0.25">
      <c r="A74" s="54"/>
      <c r="B74" s="32">
        <v>4</v>
      </c>
      <c r="C74" s="32">
        <v>1052566</v>
      </c>
      <c r="D74" s="39">
        <v>45758</v>
      </c>
      <c r="E74" s="32" t="s">
        <v>15</v>
      </c>
      <c r="F74" s="32" t="str">
        <f t="shared" si="34"/>
        <v>M21</v>
      </c>
      <c r="G74" s="61" t="str">
        <f t="shared" si="35"/>
        <v>016</v>
      </c>
      <c r="H74" s="72" t="str">
        <f t="shared" si="36"/>
        <v>C4</v>
      </c>
      <c r="I74" s="72">
        <f t="shared" si="40"/>
        <v>1</v>
      </c>
      <c r="J74" s="37" t="s">
        <v>38</v>
      </c>
      <c r="K74" s="37">
        <v>36</v>
      </c>
      <c r="L74" s="26">
        <v>0.06</v>
      </c>
      <c r="M74" s="26">
        <v>4.88</v>
      </c>
      <c r="N74" s="29">
        <f t="shared" si="38"/>
        <v>4.82</v>
      </c>
      <c r="O74" s="58" t="str">
        <f t="shared" si="39"/>
        <v>OK</v>
      </c>
    </row>
    <row r="75" spans="1:15" x14ac:dyDescent="0.25">
      <c r="A75" s="54"/>
      <c r="B75" s="32">
        <v>4</v>
      </c>
      <c r="C75" s="32">
        <v>1052566</v>
      </c>
      <c r="D75" s="39">
        <v>45758</v>
      </c>
      <c r="E75" s="32" t="s">
        <v>15</v>
      </c>
      <c r="F75" s="32" t="str">
        <f t="shared" si="34"/>
        <v>M21</v>
      </c>
      <c r="G75" s="61" t="str">
        <f t="shared" si="35"/>
        <v>016</v>
      </c>
      <c r="H75" s="72" t="s">
        <v>42</v>
      </c>
      <c r="I75" s="72">
        <v>2</v>
      </c>
      <c r="J75" s="37" t="s">
        <v>31</v>
      </c>
      <c r="K75" s="37">
        <v>37</v>
      </c>
      <c r="L75" s="26">
        <v>0.11</v>
      </c>
      <c r="M75" s="26">
        <v>4.8600000000000003</v>
      </c>
      <c r="N75" s="29">
        <f t="shared" si="38"/>
        <v>4.75</v>
      </c>
      <c r="O75" s="58" t="str">
        <f t="shared" si="39"/>
        <v>OK</v>
      </c>
    </row>
    <row r="76" spans="1:15" x14ac:dyDescent="0.25">
      <c r="A76" s="54"/>
      <c r="B76" s="32">
        <v>4</v>
      </c>
      <c r="C76" s="32">
        <v>1052566</v>
      </c>
      <c r="D76" s="39">
        <v>45758</v>
      </c>
      <c r="E76" s="32" t="s">
        <v>15</v>
      </c>
      <c r="F76" s="32" t="str">
        <f t="shared" si="34"/>
        <v>M21</v>
      </c>
      <c r="G76" s="61" t="str">
        <f t="shared" si="35"/>
        <v>016</v>
      </c>
      <c r="H76" s="72" t="str">
        <f t="shared" ref="H76:H82" si="41">H75</f>
        <v>C3</v>
      </c>
      <c r="I76" s="72">
        <f t="shared" ref="I76:I78" si="42">I75</f>
        <v>2</v>
      </c>
      <c r="J76" s="37" t="s">
        <v>32</v>
      </c>
      <c r="K76" s="37">
        <v>37</v>
      </c>
      <c r="L76" s="26">
        <v>0.11</v>
      </c>
      <c r="M76" s="26">
        <v>2.1</v>
      </c>
      <c r="N76" s="29">
        <f t="shared" si="38"/>
        <v>1.99</v>
      </c>
      <c r="O76" s="58" t="str">
        <f t="shared" si="39"/>
        <v>OK</v>
      </c>
    </row>
    <row r="77" spans="1:15" x14ac:dyDescent="0.25">
      <c r="A77" s="54"/>
      <c r="B77" s="32">
        <v>4</v>
      </c>
      <c r="C77" s="32">
        <v>1052566</v>
      </c>
      <c r="D77" s="39">
        <v>45758</v>
      </c>
      <c r="E77" s="32" t="s">
        <v>15</v>
      </c>
      <c r="F77" s="32" t="str">
        <f t="shared" si="34"/>
        <v>M21</v>
      </c>
      <c r="G77" s="61" t="str">
        <f t="shared" si="35"/>
        <v>016</v>
      </c>
      <c r="H77" s="72" t="str">
        <f t="shared" si="41"/>
        <v>C3</v>
      </c>
      <c r="I77" s="72">
        <f t="shared" si="42"/>
        <v>2</v>
      </c>
      <c r="J77" s="37" t="s">
        <v>33</v>
      </c>
      <c r="K77" s="37">
        <v>38</v>
      </c>
      <c r="L77" s="26">
        <v>0.43</v>
      </c>
      <c r="M77" s="26">
        <v>1.44</v>
      </c>
      <c r="N77" s="29">
        <f t="shared" si="38"/>
        <v>1.01</v>
      </c>
      <c r="O77" s="58" t="str">
        <f t="shared" si="39"/>
        <v>OK</v>
      </c>
    </row>
    <row r="78" spans="1:15" x14ac:dyDescent="0.25">
      <c r="A78" s="54"/>
      <c r="B78" s="32">
        <v>4</v>
      </c>
      <c r="C78" s="32">
        <v>1052566</v>
      </c>
      <c r="D78" s="39">
        <v>45758</v>
      </c>
      <c r="E78" s="32" t="s">
        <v>15</v>
      </c>
      <c r="F78" s="32" t="str">
        <f t="shared" si="34"/>
        <v>M21</v>
      </c>
      <c r="G78" s="61" t="str">
        <f t="shared" si="35"/>
        <v>016</v>
      </c>
      <c r="H78" s="72" t="str">
        <f t="shared" si="41"/>
        <v>C3</v>
      </c>
      <c r="I78" s="72">
        <f t="shared" si="42"/>
        <v>2</v>
      </c>
      <c r="J78" s="37" t="s">
        <v>34</v>
      </c>
      <c r="K78" s="37">
        <v>38</v>
      </c>
      <c r="L78" s="26">
        <v>0.12</v>
      </c>
      <c r="M78" s="26">
        <v>4.8600000000000003</v>
      </c>
      <c r="N78" s="29">
        <f t="shared" si="38"/>
        <v>4.74</v>
      </c>
      <c r="O78" s="58" t="str">
        <f t="shared" si="39"/>
        <v>OK</v>
      </c>
    </row>
    <row r="79" spans="1:15" x14ac:dyDescent="0.25">
      <c r="A79" s="54"/>
      <c r="B79" s="32">
        <v>4</v>
      </c>
      <c r="C79" s="32">
        <v>1052566</v>
      </c>
      <c r="D79" s="39">
        <v>45758</v>
      </c>
      <c r="E79" s="32" t="s">
        <v>15</v>
      </c>
      <c r="F79" s="32" t="str">
        <f t="shared" si="34"/>
        <v>M21</v>
      </c>
      <c r="G79" s="61" t="str">
        <f t="shared" si="35"/>
        <v>016</v>
      </c>
      <c r="H79" s="72" t="str">
        <f t="shared" si="41"/>
        <v>C3</v>
      </c>
      <c r="I79" s="72">
        <v>1</v>
      </c>
      <c r="J79" s="37" t="s">
        <v>35</v>
      </c>
      <c r="K79" s="37">
        <v>39</v>
      </c>
      <c r="L79" s="26">
        <v>0.13</v>
      </c>
      <c r="M79" s="26">
        <v>4.82</v>
      </c>
      <c r="N79" s="29">
        <f t="shared" si="38"/>
        <v>4.6900000000000004</v>
      </c>
      <c r="O79" s="58" t="str">
        <f t="shared" si="39"/>
        <v>OK</v>
      </c>
    </row>
    <row r="80" spans="1:15" x14ac:dyDescent="0.25">
      <c r="A80" s="54"/>
      <c r="B80" s="32">
        <v>4</v>
      </c>
      <c r="C80" s="32">
        <v>1052566</v>
      </c>
      <c r="D80" s="39">
        <v>45758</v>
      </c>
      <c r="E80" s="32" t="s">
        <v>15</v>
      </c>
      <c r="F80" s="32" t="str">
        <f t="shared" si="34"/>
        <v>M21</v>
      </c>
      <c r="G80" s="61" t="str">
        <f t="shared" si="35"/>
        <v>016</v>
      </c>
      <c r="H80" s="72" t="str">
        <f t="shared" si="41"/>
        <v>C3</v>
      </c>
      <c r="I80" s="72">
        <f t="shared" ref="I80:I82" si="43">I79</f>
        <v>1</v>
      </c>
      <c r="J80" s="37" t="s">
        <v>36</v>
      </c>
      <c r="K80" s="37">
        <v>39</v>
      </c>
      <c r="L80" s="26">
        <v>0.13</v>
      </c>
      <c r="M80" s="26">
        <v>1.9</v>
      </c>
      <c r="N80" s="29">
        <f t="shared" si="38"/>
        <v>1.77</v>
      </c>
      <c r="O80" s="58" t="str">
        <f t="shared" si="39"/>
        <v>OK</v>
      </c>
    </row>
    <row r="81" spans="1:15" x14ac:dyDescent="0.25">
      <c r="A81" s="54"/>
      <c r="B81" s="32">
        <v>4</v>
      </c>
      <c r="C81" s="32">
        <v>1052566</v>
      </c>
      <c r="D81" s="39">
        <v>45758</v>
      </c>
      <c r="E81" s="32" t="s">
        <v>15</v>
      </c>
      <c r="F81" s="32" t="str">
        <f t="shared" si="34"/>
        <v>M21</v>
      </c>
      <c r="G81" s="61" t="str">
        <f t="shared" si="35"/>
        <v>016</v>
      </c>
      <c r="H81" s="72" t="str">
        <f t="shared" si="41"/>
        <v>C3</v>
      </c>
      <c r="I81" s="72">
        <f t="shared" si="43"/>
        <v>1</v>
      </c>
      <c r="J81" s="37" t="s">
        <v>37</v>
      </c>
      <c r="K81" s="37">
        <v>40</v>
      </c>
      <c r="L81" s="26">
        <v>0.16</v>
      </c>
      <c r="M81" s="26">
        <v>1.84</v>
      </c>
      <c r="N81" s="29">
        <f t="shared" si="38"/>
        <v>1.6800000000000002</v>
      </c>
      <c r="O81" s="58" t="str">
        <f t="shared" si="39"/>
        <v>OK</v>
      </c>
    </row>
    <row r="82" spans="1:15" x14ac:dyDescent="0.25">
      <c r="A82" s="54"/>
      <c r="B82" s="32">
        <v>4</v>
      </c>
      <c r="C82" s="32">
        <v>1052566</v>
      </c>
      <c r="D82" s="39">
        <v>45758</v>
      </c>
      <c r="E82" s="32" t="s">
        <v>15</v>
      </c>
      <c r="F82" s="32" t="str">
        <f t="shared" si="34"/>
        <v>M21</v>
      </c>
      <c r="G82" s="61" t="str">
        <f t="shared" si="35"/>
        <v>016</v>
      </c>
      <c r="H82" s="72" t="str">
        <f t="shared" si="41"/>
        <v>C3</v>
      </c>
      <c r="I82" s="72">
        <f t="shared" si="43"/>
        <v>1</v>
      </c>
      <c r="J82" s="37" t="s">
        <v>38</v>
      </c>
      <c r="K82" s="37">
        <v>40</v>
      </c>
      <c r="L82" s="26">
        <v>0.18</v>
      </c>
      <c r="M82" s="26">
        <v>4.79</v>
      </c>
      <c r="N82" s="29">
        <f t="shared" si="38"/>
        <v>4.6100000000000003</v>
      </c>
      <c r="O82" s="58" t="str">
        <f t="shared" si="39"/>
        <v>OK</v>
      </c>
    </row>
    <row r="83" spans="1:15" x14ac:dyDescent="0.25">
      <c r="A83" s="54"/>
      <c r="B83" s="32">
        <v>4</v>
      </c>
      <c r="C83" s="32">
        <v>1052566</v>
      </c>
      <c r="D83" s="39">
        <v>45758</v>
      </c>
      <c r="E83" s="32" t="s">
        <v>15</v>
      </c>
      <c r="F83" s="32" t="s">
        <v>28</v>
      </c>
      <c r="G83" s="61" t="s">
        <v>70</v>
      </c>
      <c r="H83" s="72" t="s">
        <v>39</v>
      </c>
      <c r="I83" s="72">
        <v>2</v>
      </c>
      <c r="J83" s="37" t="s">
        <v>31</v>
      </c>
      <c r="K83" s="37">
        <v>41</v>
      </c>
      <c r="L83" s="26">
        <v>0.78</v>
      </c>
      <c r="M83" s="26">
        <v>2.2999999999999998</v>
      </c>
      <c r="N83" s="29">
        <f t="shared" si="38"/>
        <v>1.5199999999999998</v>
      </c>
      <c r="O83" s="58" t="str">
        <f t="shared" si="39"/>
        <v>OK</v>
      </c>
    </row>
    <row r="84" spans="1:15" x14ac:dyDescent="0.25">
      <c r="A84" s="54"/>
      <c r="B84" s="32">
        <v>4</v>
      </c>
      <c r="C84" s="32">
        <v>1052566</v>
      </c>
      <c r="D84" s="39">
        <v>45758</v>
      </c>
      <c r="E84" s="32" t="s">
        <v>15</v>
      </c>
      <c r="F84" s="32" t="str">
        <f t="shared" ref="F84:F98" si="44">F83</f>
        <v>M20</v>
      </c>
      <c r="G84" s="61" t="str">
        <f t="shared" ref="G84:G98" si="45">G83</f>
        <v>015</v>
      </c>
      <c r="H84" s="72" t="str">
        <f t="shared" ref="H84:H90" si="46">H83</f>
        <v>C2</v>
      </c>
      <c r="I84" s="72">
        <f t="shared" ref="I84:I86" si="47">I83</f>
        <v>2</v>
      </c>
      <c r="J84" s="37" t="s">
        <v>32</v>
      </c>
      <c r="K84" s="37">
        <v>41</v>
      </c>
      <c r="L84" s="26">
        <v>0.38</v>
      </c>
      <c r="M84" s="26">
        <v>1.59</v>
      </c>
      <c r="N84" s="29">
        <f t="shared" si="38"/>
        <v>1.21</v>
      </c>
      <c r="O84" s="58" t="str">
        <f t="shared" si="39"/>
        <v>OK</v>
      </c>
    </row>
    <row r="85" spans="1:15" x14ac:dyDescent="0.25">
      <c r="A85" s="54"/>
      <c r="B85" s="32">
        <v>4</v>
      </c>
      <c r="C85" s="32">
        <v>1052566</v>
      </c>
      <c r="D85" s="39">
        <v>45758</v>
      </c>
      <c r="E85" s="32" t="s">
        <v>15</v>
      </c>
      <c r="F85" s="32" t="str">
        <f t="shared" si="44"/>
        <v>M20</v>
      </c>
      <c r="G85" s="61" t="str">
        <f t="shared" si="45"/>
        <v>015</v>
      </c>
      <c r="H85" s="72" t="str">
        <f t="shared" si="46"/>
        <v>C2</v>
      </c>
      <c r="I85" s="72">
        <f t="shared" si="47"/>
        <v>2</v>
      </c>
      <c r="J85" s="37" t="s">
        <v>33</v>
      </c>
      <c r="K85" s="37">
        <v>42</v>
      </c>
      <c r="L85" s="26">
        <v>1.49</v>
      </c>
      <c r="M85" s="26">
        <v>4.16</v>
      </c>
      <c r="N85" s="29">
        <f t="shared" si="38"/>
        <v>2.67</v>
      </c>
      <c r="O85" s="58" t="str">
        <f t="shared" si="39"/>
        <v>OK</v>
      </c>
    </row>
    <row r="86" spans="1:15" x14ac:dyDescent="0.25">
      <c r="A86" s="54"/>
      <c r="B86" s="32">
        <v>4</v>
      </c>
      <c r="C86" s="32">
        <v>1052566</v>
      </c>
      <c r="D86" s="39">
        <v>45758</v>
      </c>
      <c r="E86" s="32" t="s">
        <v>15</v>
      </c>
      <c r="F86" s="32" t="str">
        <f t="shared" si="44"/>
        <v>M20</v>
      </c>
      <c r="G86" s="61" t="str">
        <f t="shared" si="45"/>
        <v>015</v>
      </c>
      <c r="H86" s="72" t="str">
        <f t="shared" si="46"/>
        <v>C2</v>
      </c>
      <c r="I86" s="72">
        <f t="shared" si="47"/>
        <v>2</v>
      </c>
      <c r="J86" s="37" t="s">
        <v>34</v>
      </c>
      <c r="K86" s="37">
        <v>42</v>
      </c>
      <c r="L86" s="26">
        <v>0.19</v>
      </c>
      <c r="M86" s="26">
        <v>4.5599999999999996</v>
      </c>
      <c r="N86" s="29">
        <f t="shared" si="38"/>
        <v>4.3699999999999992</v>
      </c>
      <c r="O86" s="58" t="str">
        <f t="shared" si="39"/>
        <v>OK</v>
      </c>
    </row>
    <row r="87" spans="1:15" x14ac:dyDescent="0.25">
      <c r="A87" s="54"/>
      <c r="B87" s="32">
        <v>4</v>
      </c>
      <c r="C87" s="32">
        <v>1052566</v>
      </c>
      <c r="D87" s="39">
        <v>45758</v>
      </c>
      <c r="E87" s="32" t="s">
        <v>15</v>
      </c>
      <c r="F87" s="32" t="str">
        <f t="shared" si="44"/>
        <v>M20</v>
      </c>
      <c r="G87" s="61" t="str">
        <f t="shared" si="45"/>
        <v>015</v>
      </c>
      <c r="H87" s="72" t="str">
        <f t="shared" si="46"/>
        <v>C2</v>
      </c>
      <c r="I87" s="72">
        <v>1</v>
      </c>
      <c r="J87" s="37" t="s">
        <v>35</v>
      </c>
      <c r="K87" s="37">
        <v>43</v>
      </c>
      <c r="L87" s="26">
        <v>0.21</v>
      </c>
      <c r="M87" s="26">
        <v>4.63</v>
      </c>
      <c r="N87" s="29">
        <f t="shared" si="38"/>
        <v>4.42</v>
      </c>
      <c r="O87" s="58" t="str">
        <f t="shared" si="39"/>
        <v>OK</v>
      </c>
    </row>
    <row r="88" spans="1:15" x14ac:dyDescent="0.25">
      <c r="A88" s="54"/>
      <c r="B88" s="32">
        <v>4</v>
      </c>
      <c r="C88" s="32">
        <v>1052566</v>
      </c>
      <c r="D88" s="39">
        <v>45758</v>
      </c>
      <c r="E88" s="32" t="s">
        <v>15</v>
      </c>
      <c r="F88" s="32" t="str">
        <f t="shared" si="44"/>
        <v>M20</v>
      </c>
      <c r="G88" s="61" t="str">
        <f t="shared" si="45"/>
        <v>015</v>
      </c>
      <c r="H88" s="72" t="str">
        <f t="shared" si="46"/>
        <v>C2</v>
      </c>
      <c r="I88" s="72">
        <f t="shared" ref="I88:I90" si="48">I87</f>
        <v>1</v>
      </c>
      <c r="J88" s="37" t="s">
        <v>36</v>
      </c>
      <c r="K88" s="37">
        <v>43</v>
      </c>
      <c r="L88" s="26">
        <v>0.61</v>
      </c>
      <c r="M88" s="26">
        <v>3.35</v>
      </c>
      <c r="N88" s="29">
        <f t="shared" si="38"/>
        <v>2.74</v>
      </c>
      <c r="O88" s="58" t="str">
        <f t="shared" si="39"/>
        <v>OK</v>
      </c>
    </row>
    <row r="89" spans="1:15" x14ac:dyDescent="0.25">
      <c r="A89" s="54"/>
      <c r="B89" s="32">
        <v>4</v>
      </c>
      <c r="C89" s="32">
        <v>1052566</v>
      </c>
      <c r="D89" s="39">
        <v>45758</v>
      </c>
      <c r="E89" s="32" t="s">
        <v>15</v>
      </c>
      <c r="F89" s="32" t="str">
        <f t="shared" si="44"/>
        <v>M20</v>
      </c>
      <c r="G89" s="61" t="str">
        <f t="shared" si="45"/>
        <v>015</v>
      </c>
      <c r="H89" s="72" t="str">
        <f t="shared" si="46"/>
        <v>C2</v>
      </c>
      <c r="I89" s="72">
        <f t="shared" si="48"/>
        <v>1</v>
      </c>
      <c r="J89" s="37" t="s">
        <v>37</v>
      </c>
      <c r="K89" s="37">
        <v>44</v>
      </c>
      <c r="L89" s="26">
        <v>0.23</v>
      </c>
      <c r="M89" s="26">
        <v>1.2</v>
      </c>
      <c r="N89" s="29">
        <f t="shared" si="38"/>
        <v>0.97</v>
      </c>
      <c r="O89" s="58" t="str">
        <f t="shared" si="39"/>
        <v>Seguimiento</v>
      </c>
    </row>
    <row r="90" spans="1:15" x14ac:dyDescent="0.25">
      <c r="A90" s="54"/>
      <c r="B90" s="32">
        <v>4</v>
      </c>
      <c r="C90" s="32">
        <v>1052566</v>
      </c>
      <c r="D90" s="39">
        <v>45758</v>
      </c>
      <c r="E90" s="32" t="s">
        <v>15</v>
      </c>
      <c r="F90" s="32" t="str">
        <f t="shared" si="44"/>
        <v>M20</v>
      </c>
      <c r="G90" s="61" t="str">
        <f t="shared" si="45"/>
        <v>015</v>
      </c>
      <c r="H90" s="72" t="str">
        <f t="shared" si="46"/>
        <v>C2</v>
      </c>
      <c r="I90" s="72">
        <f t="shared" si="48"/>
        <v>1</v>
      </c>
      <c r="J90" s="37" t="s">
        <v>38</v>
      </c>
      <c r="K90" s="37">
        <v>44</v>
      </c>
      <c r="L90" s="26">
        <v>0.28999999999999998</v>
      </c>
      <c r="M90" s="26">
        <v>1.65</v>
      </c>
      <c r="N90" s="29">
        <f t="shared" si="38"/>
        <v>1.3599999999999999</v>
      </c>
      <c r="O90" s="58" t="str">
        <f t="shared" si="39"/>
        <v>OK</v>
      </c>
    </row>
    <row r="91" spans="1:15" x14ac:dyDescent="0.25">
      <c r="A91" s="54"/>
      <c r="B91" s="32">
        <v>4</v>
      </c>
      <c r="C91" s="32">
        <v>1052566</v>
      </c>
      <c r="D91" s="39">
        <v>45758</v>
      </c>
      <c r="E91" s="32" t="s">
        <v>15</v>
      </c>
      <c r="F91" s="32" t="str">
        <f t="shared" si="44"/>
        <v>M20</v>
      </c>
      <c r="G91" s="61" t="str">
        <f t="shared" si="45"/>
        <v>015</v>
      </c>
      <c r="H91" s="72" t="s">
        <v>30</v>
      </c>
      <c r="I91" s="72">
        <v>2</v>
      </c>
      <c r="J91" s="37" t="s">
        <v>31</v>
      </c>
      <c r="K91" s="37">
        <v>45</v>
      </c>
      <c r="L91" s="26">
        <v>0.08</v>
      </c>
      <c r="M91" s="26">
        <v>4.9400000000000004</v>
      </c>
      <c r="N91" s="29">
        <f t="shared" si="38"/>
        <v>4.8600000000000003</v>
      </c>
      <c r="O91" s="58" t="str">
        <f t="shared" si="39"/>
        <v>OK</v>
      </c>
    </row>
    <row r="92" spans="1:15" x14ac:dyDescent="0.25">
      <c r="A92" s="54"/>
      <c r="B92" s="32">
        <v>4</v>
      </c>
      <c r="C92" s="32">
        <v>1052566</v>
      </c>
      <c r="D92" s="39">
        <v>45758</v>
      </c>
      <c r="E92" s="32" t="s">
        <v>15</v>
      </c>
      <c r="F92" s="32" t="str">
        <f t="shared" si="44"/>
        <v>M20</v>
      </c>
      <c r="G92" s="61" t="str">
        <f t="shared" si="45"/>
        <v>015</v>
      </c>
      <c r="H92" s="72" t="str">
        <f t="shared" ref="H92:H98" si="49">H91</f>
        <v>C1</v>
      </c>
      <c r="I92" s="72">
        <f t="shared" ref="I92:I94" si="50">I91</f>
        <v>2</v>
      </c>
      <c r="J92" s="37" t="s">
        <v>32</v>
      </c>
      <c r="K92" s="37">
        <v>45</v>
      </c>
      <c r="L92" s="26">
        <v>0.11</v>
      </c>
      <c r="M92" s="26">
        <v>4.54</v>
      </c>
      <c r="N92" s="29">
        <f t="shared" si="38"/>
        <v>4.43</v>
      </c>
      <c r="O92" s="58" t="str">
        <f t="shared" si="39"/>
        <v>OK</v>
      </c>
    </row>
    <row r="93" spans="1:15" x14ac:dyDescent="0.25">
      <c r="A93" s="54"/>
      <c r="B93" s="32">
        <v>4</v>
      </c>
      <c r="C93" s="32">
        <v>1052566</v>
      </c>
      <c r="D93" s="39">
        <v>45758</v>
      </c>
      <c r="E93" s="32" t="s">
        <v>15</v>
      </c>
      <c r="F93" s="32" t="str">
        <f t="shared" si="44"/>
        <v>M20</v>
      </c>
      <c r="G93" s="61" t="str">
        <f t="shared" si="45"/>
        <v>015</v>
      </c>
      <c r="H93" s="72" t="str">
        <f t="shared" si="49"/>
        <v>C1</v>
      </c>
      <c r="I93" s="72">
        <f t="shared" si="50"/>
        <v>2</v>
      </c>
      <c r="J93" s="37" t="s">
        <v>33</v>
      </c>
      <c r="K93" s="37">
        <v>46</v>
      </c>
      <c r="L93" s="26">
        <v>0.64</v>
      </c>
      <c r="M93" s="26">
        <v>3.72</v>
      </c>
      <c r="N93" s="29">
        <f t="shared" si="38"/>
        <v>3.08</v>
      </c>
      <c r="O93" s="58" t="str">
        <f t="shared" si="39"/>
        <v>OK</v>
      </c>
    </row>
    <row r="94" spans="1:15" x14ac:dyDescent="0.25">
      <c r="A94" s="54"/>
      <c r="B94" s="32">
        <v>4</v>
      </c>
      <c r="C94" s="32">
        <v>1052566</v>
      </c>
      <c r="D94" s="39">
        <v>45758</v>
      </c>
      <c r="E94" s="32" t="s">
        <v>15</v>
      </c>
      <c r="F94" s="32" t="str">
        <f t="shared" si="44"/>
        <v>M20</v>
      </c>
      <c r="G94" s="61" t="str">
        <f t="shared" si="45"/>
        <v>015</v>
      </c>
      <c r="H94" s="72" t="str">
        <f t="shared" si="49"/>
        <v>C1</v>
      </c>
      <c r="I94" s="72">
        <f t="shared" si="50"/>
        <v>2</v>
      </c>
      <c r="J94" s="37" t="s">
        <v>34</v>
      </c>
      <c r="K94" s="37">
        <v>46</v>
      </c>
      <c r="L94" s="26">
        <v>0.82</v>
      </c>
      <c r="M94" s="26">
        <v>1.74</v>
      </c>
      <c r="N94" s="29">
        <f t="shared" si="38"/>
        <v>0.92</v>
      </c>
      <c r="O94" s="58" t="str">
        <f t="shared" si="39"/>
        <v>Seguimiento</v>
      </c>
    </row>
    <row r="95" spans="1:15" x14ac:dyDescent="0.25">
      <c r="A95" s="54"/>
      <c r="B95" s="32">
        <v>4</v>
      </c>
      <c r="C95" s="32">
        <v>1052566</v>
      </c>
      <c r="D95" s="39">
        <v>45758</v>
      </c>
      <c r="E95" s="32" t="s">
        <v>15</v>
      </c>
      <c r="F95" s="32" t="str">
        <f t="shared" si="44"/>
        <v>M20</v>
      </c>
      <c r="G95" s="61" t="str">
        <f t="shared" si="45"/>
        <v>015</v>
      </c>
      <c r="H95" s="72" t="str">
        <f t="shared" si="49"/>
        <v>C1</v>
      </c>
      <c r="I95" s="72">
        <v>1</v>
      </c>
      <c r="J95" s="37" t="s">
        <v>35</v>
      </c>
      <c r="K95" s="37">
        <v>47</v>
      </c>
      <c r="L95" s="26">
        <v>0.93</v>
      </c>
      <c r="M95" s="26">
        <v>2.15</v>
      </c>
      <c r="N95" s="29">
        <f t="shared" si="38"/>
        <v>1.2199999999999998</v>
      </c>
      <c r="O95" s="58" t="str">
        <f t="shared" si="39"/>
        <v>OK</v>
      </c>
    </row>
    <row r="96" spans="1:15" x14ac:dyDescent="0.25">
      <c r="A96" s="54"/>
      <c r="B96" s="32">
        <v>4</v>
      </c>
      <c r="C96" s="32">
        <v>1052566</v>
      </c>
      <c r="D96" s="39">
        <v>45758</v>
      </c>
      <c r="E96" s="32" t="s">
        <v>15</v>
      </c>
      <c r="F96" s="32" t="str">
        <f t="shared" si="44"/>
        <v>M20</v>
      </c>
      <c r="G96" s="61" t="str">
        <f t="shared" si="45"/>
        <v>015</v>
      </c>
      <c r="H96" s="72" t="str">
        <f t="shared" si="49"/>
        <v>C1</v>
      </c>
      <c r="I96" s="72">
        <f t="shared" ref="I96:I98" si="51">I95</f>
        <v>1</v>
      </c>
      <c r="J96" s="37" t="s">
        <v>36</v>
      </c>
      <c r="K96" s="37">
        <v>47</v>
      </c>
      <c r="L96" s="26">
        <v>0.15</v>
      </c>
      <c r="M96" s="26">
        <v>4.83</v>
      </c>
      <c r="N96" s="29">
        <f t="shared" si="38"/>
        <v>4.68</v>
      </c>
      <c r="O96" s="58" t="str">
        <f t="shared" si="39"/>
        <v>OK</v>
      </c>
    </row>
    <row r="97" spans="1:15" x14ac:dyDescent="0.25">
      <c r="A97" s="54"/>
      <c r="B97" s="32">
        <v>4</v>
      </c>
      <c r="C97" s="32">
        <v>1052566</v>
      </c>
      <c r="D97" s="39">
        <v>45758</v>
      </c>
      <c r="E97" s="32" t="s">
        <v>15</v>
      </c>
      <c r="F97" s="32" t="str">
        <f t="shared" si="44"/>
        <v>M20</v>
      </c>
      <c r="G97" s="61" t="str">
        <f t="shared" si="45"/>
        <v>015</v>
      </c>
      <c r="H97" s="72" t="str">
        <f t="shared" si="49"/>
        <v>C1</v>
      </c>
      <c r="I97" s="72">
        <f t="shared" si="51"/>
        <v>1</v>
      </c>
      <c r="J97" s="37" t="s">
        <v>37</v>
      </c>
      <c r="K97" s="37">
        <v>48</v>
      </c>
      <c r="L97" s="26">
        <v>0.71</v>
      </c>
      <c r="M97" s="26">
        <v>3.19</v>
      </c>
      <c r="N97" s="29">
        <f t="shared" si="38"/>
        <v>2.48</v>
      </c>
      <c r="O97" s="58" t="str">
        <f t="shared" si="39"/>
        <v>OK</v>
      </c>
    </row>
    <row r="98" spans="1:15" x14ac:dyDescent="0.25">
      <c r="A98" s="54"/>
      <c r="B98" s="32">
        <v>4</v>
      </c>
      <c r="C98" s="32">
        <v>1052566</v>
      </c>
      <c r="D98" s="39">
        <v>45758</v>
      </c>
      <c r="E98" s="32" t="s">
        <v>15</v>
      </c>
      <c r="F98" s="32" t="str">
        <f t="shared" si="44"/>
        <v>M20</v>
      </c>
      <c r="G98" s="61" t="str">
        <f t="shared" si="45"/>
        <v>015</v>
      </c>
      <c r="H98" s="72" t="str">
        <f t="shared" si="49"/>
        <v>C1</v>
      </c>
      <c r="I98" s="72">
        <f t="shared" si="51"/>
        <v>1</v>
      </c>
      <c r="J98" s="37" t="s">
        <v>38</v>
      </c>
      <c r="K98" s="37">
        <v>48</v>
      </c>
      <c r="L98" s="26">
        <v>0.15</v>
      </c>
      <c r="M98" s="26">
        <v>4.53</v>
      </c>
      <c r="N98" s="29">
        <f t="shared" si="38"/>
        <v>4.38</v>
      </c>
      <c r="O98" s="58" t="str">
        <f t="shared" si="39"/>
        <v>OK</v>
      </c>
    </row>
    <row r="99" spans="1:15" x14ac:dyDescent="0.25">
      <c r="A99" s="54" t="s">
        <v>16</v>
      </c>
      <c r="B99" s="32">
        <v>4</v>
      </c>
      <c r="C99" s="32">
        <v>1066617</v>
      </c>
      <c r="D99" s="39">
        <v>45833</v>
      </c>
      <c r="E99" s="32" t="s">
        <v>15</v>
      </c>
      <c r="F99" s="32" t="s">
        <v>28</v>
      </c>
      <c r="G99" s="61" t="s">
        <v>65</v>
      </c>
      <c r="H99" s="72" t="s">
        <v>30</v>
      </c>
      <c r="I99" s="72">
        <v>1</v>
      </c>
      <c r="J99" s="37" t="s">
        <v>31</v>
      </c>
      <c r="K99" s="37">
        <v>1</v>
      </c>
      <c r="L99" s="26">
        <v>1.1200000000000001</v>
      </c>
      <c r="M99" s="26">
        <v>3.2</v>
      </c>
      <c r="N99" s="29">
        <f>+M99-L99</f>
        <v>2.08</v>
      </c>
      <c r="O99" s="58" t="str">
        <f t="shared" si="39"/>
        <v>OK</v>
      </c>
    </row>
    <row r="100" spans="1:15" x14ac:dyDescent="0.25">
      <c r="A100" s="54" t="s">
        <v>16</v>
      </c>
      <c r="B100" s="32">
        <v>4</v>
      </c>
      <c r="C100" s="32">
        <v>1066617</v>
      </c>
      <c r="D100" s="39">
        <v>45833</v>
      </c>
      <c r="E100" s="32" t="s">
        <v>15</v>
      </c>
      <c r="F100" s="32" t="str">
        <f t="shared" ref="F100:F114" si="52">F99</f>
        <v>M20</v>
      </c>
      <c r="G100" s="61" t="str">
        <f t="shared" ref="G100:G114" si="53">G99</f>
        <v>013</v>
      </c>
      <c r="H100" s="72" t="str">
        <f t="shared" ref="H100:H106" si="54">H99</f>
        <v>C1</v>
      </c>
      <c r="I100" s="72">
        <f t="shared" ref="I100:I102" si="55">I99</f>
        <v>1</v>
      </c>
      <c r="J100" s="37" t="s">
        <v>32</v>
      </c>
      <c r="K100" s="37">
        <v>1</v>
      </c>
      <c r="L100" s="26">
        <v>0.12</v>
      </c>
      <c r="M100" s="26">
        <v>3.35</v>
      </c>
      <c r="N100" s="29">
        <f t="shared" ref="N100:N163" si="56">+M100-L100</f>
        <v>3.23</v>
      </c>
      <c r="O100" s="58" t="str">
        <f t="shared" si="39"/>
        <v>OK</v>
      </c>
    </row>
    <row r="101" spans="1:15" x14ac:dyDescent="0.25">
      <c r="A101" s="54" t="s">
        <v>16</v>
      </c>
      <c r="B101" s="32">
        <v>4</v>
      </c>
      <c r="C101" s="32">
        <v>1066617</v>
      </c>
      <c r="D101" s="39">
        <v>45833</v>
      </c>
      <c r="E101" s="32" t="s">
        <v>15</v>
      </c>
      <c r="F101" s="32" t="str">
        <f t="shared" si="52"/>
        <v>M20</v>
      </c>
      <c r="G101" s="61" t="str">
        <f t="shared" si="53"/>
        <v>013</v>
      </c>
      <c r="H101" s="72" t="str">
        <f t="shared" si="54"/>
        <v>C1</v>
      </c>
      <c r="I101" s="72">
        <f t="shared" si="55"/>
        <v>1</v>
      </c>
      <c r="J101" s="37" t="s">
        <v>33</v>
      </c>
      <c r="K101" s="37">
        <v>2</v>
      </c>
      <c r="L101" s="26">
        <v>0.13</v>
      </c>
      <c r="M101" s="26">
        <v>4.25</v>
      </c>
      <c r="N101" s="29">
        <f t="shared" si="56"/>
        <v>4.12</v>
      </c>
      <c r="O101" s="58" t="str">
        <f t="shared" si="39"/>
        <v>OK</v>
      </c>
    </row>
    <row r="102" spans="1:15" x14ac:dyDescent="0.25">
      <c r="A102" s="54" t="s">
        <v>16</v>
      </c>
      <c r="B102" s="32">
        <v>4</v>
      </c>
      <c r="C102" s="32">
        <v>1066617</v>
      </c>
      <c r="D102" s="39">
        <v>45833</v>
      </c>
      <c r="E102" s="32" t="s">
        <v>15</v>
      </c>
      <c r="F102" s="32" t="str">
        <f t="shared" si="52"/>
        <v>M20</v>
      </c>
      <c r="G102" s="61" t="str">
        <f t="shared" si="53"/>
        <v>013</v>
      </c>
      <c r="H102" s="72" t="str">
        <f t="shared" si="54"/>
        <v>C1</v>
      </c>
      <c r="I102" s="72">
        <f t="shared" si="55"/>
        <v>1</v>
      </c>
      <c r="J102" s="37" t="s">
        <v>34</v>
      </c>
      <c r="K102" s="37">
        <v>2</v>
      </c>
      <c r="L102" s="26">
        <v>0.55000000000000004</v>
      </c>
      <c r="M102" s="26">
        <v>3.2</v>
      </c>
      <c r="N102" s="29">
        <f t="shared" si="56"/>
        <v>2.6500000000000004</v>
      </c>
      <c r="O102" s="58" t="str">
        <f t="shared" si="39"/>
        <v>OK</v>
      </c>
    </row>
    <row r="103" spans="1:15" x14ac:dyDescent="0.25">
      <c r="A103" s="54" t="s">
        <v>16</v>
      </c>
      <c r="B103" s="32">
        <v>4</v>
      </c>
      <c r="C103" s="32">
        <v>1066617</v>
      </c>
      <c r="D103" s="39">
        <v>45833</v>
      </c>
      <c r="E103" s="32" t="s">
        <v>15</v>
      </c>
      <c r="F103" s="32" t="str">
        <f t="shared" si="52"/>
        <v>M20</v>
      </c>
      <c r="G103" s="61" t="str">
        <f t="shared" si="53"/>
        <v>013</v>
      </c>
      <c r="H103" s="72" t="str">
        <f t="shared" si="54"/>
        <v>C1</v>
      </c>
      <c r="I103" s="72">
        <v>2</v>
      </c>
      <c r="J103" s="37" t="s">
        <v>35</v>
      </c>
      <c r="K103" s="37">
        <v>3</v>
      </c>
      <c r="L103" s="26">
        <v>0.83</v>
      </c>
      <c r="M103" s="26">
        <v>2.31</v>
      </c>
      <c r="N103" s="29">
        <f t="shared" si="56"/>
        <v>1.48</v>
      </c>
      <c r="O103" s="58" t="str">
        <f t="shared" si="39"/>
        <v>OK</v>
      </c>
    </row>
    <row r="104" spans="1:15" x14ac:dyDescent="0.25">
      <c r="A104" s="54" t="s">
        <v>16</v>
      </c>
      <c r="B104" s="32">
        <v>4</v>
      </c>
      <c r="C104" s="32">
        <v>1066617</v>
      </c>
      <c r="D104" s="39">
        <v>45833</v>
      </c>
      <c r="E104" s="32" t="s">
        <v>15</v>
      </c>
      <c r="F104" s="32" t="str">
        <f t="shared" si="52"/>
        <v>M20</v>
      </c>
      <c r="G104" s="61" t="str">
        <f t="shared" si="53"/>
        <v>013</v>
      </c>
      <c r="H104" s="72" t="str">
        <f t="shared" si="54"/>
        <v>C1</v>
      </c>
      <c r="I104" s="72">
        <f t="shared" ref="I104:I106" si="57">I103</f>
        <v>2</v>
      </c>
      <c r="J104" s="37" t="s">
        <v>36</v>
      </c>
      <c r="K104" s="37">
        <v>3</v>
      </c>
      <c r="L104" s="26">
        <v>0.14000000000000001</v>
      </c>
      <c r="M104" s="26">
        <v>4.07</v>
      </c>
      <c r="N104" s="29">
        <f t="shared" si="56"/>
        <v>3.93</v>
      </c>
      <c r="O104" s="58" t="str">
        <f t="shared" si="39"/>
        <v>OK</v>
      </c>
    </row>
    <row r="105" spans="1:15" x14ac:dyDescent="0.25">
      <c r="A105" s="54" t="s">
        <v>16</v>
      </c>
      <c r="B105" s="32">
        <v>4</v>
      </c>
      <c r="C105" s="32">
        <v>1066617</v>
      </c>
      <c r="D105" s="39">
        <v>45833</v>
      </c>
      <c r="E105" s="32" t="s">
        <v>15</v>
      </c>
      <c r="F105" s="32" t="str">
        <f t="shared" si="52"/>
        <v>M20</v>
      </c>
      <c r="G105" s="61" t="str">
        <f t="shared" si="53"/>
        <v>013</v>
      </c>
      <c r="H105" s="72" t="str">
        <f t="shared" si="54"/>
        <v>C1</v>
      </c>
      <c r="I105" s="72">
        <f t="shared" si="57"/>
        <v>2</v>
      </c>
      <c r="J105" s="37" t="s">
        <v>37</v>
      </c>
      <c r="K105" s="37">
        <v>4</v>
      </c>
      <c r="L105" s="26">
        <v>0.33</v>
      </c>
      <c r="M105" s="26">
        <v>4.6900000000000004</v>
      </c>
      <c r="N105" s="29">
        <f t="shared" si="56"/>
        <v>4.3600000000000003</v>
      </c>
      <c r="O105" s="58" t="str">
        <f t="shared" si="39"/>
        <v>OK</v>
      </c>
    </row>
    <row r="106" spans="1:15" x14ac:dyDescent="0.25">
      <c r="A106" s="54" t="s">
        <v>16</v>
      </c>
      <c r="B106" s="32">
        <v>4</v>
      </c>
      <c r="C106" s="32">
        <v>1066617</v>
      </c>
      <c r="D106" s="39">
        <v>45833</v>
      </c>
      <c r="E106" s="32" t="s">
        <v>15</v>
      </c>
      <c r="F106" s="32" t="str">
        <f t="shared" si="52"/>
        <v>M20</v>
      </c>
      <c r="G106" s="61" t="str">
        <f t="shared" si="53"/>
        <v>013</v>
      </c>
      <c r="H106" s="72" t="str">
        <f t="shared" si="54"/>
        <v>C1</v>
      </c>
      <c r="I106" s="72">
        <f t="shared" si="57"/>
        <v>2</v>
      </c>
      <c r="J106" s="37" t="s">
        <v>38</v>
      </c>
      <c r="K106" s="37">
        <v>4</v>
      </c>
      <c r="L106" s="26">
        <v>0.9</v>
      </c>
      <c r="M106" s="26">
        <v>3.66</v>
      </c>
      <c r="N106" s="29">
        <f t="shared" si="56"/>
        <v>2.7600000000000002</v>
      </c>
      <c r="O106" s="58" t="str">
        <f t="shared" si="39"/>
        <v>OK</v>
      </c>
    </row>
    <row r="107" spans="1:15" x14ac:dyDescent="0.25">
      <c r="A107" s="54" t="s">
        <v>16</v>
      </c>
      <c r="B107" s="32">
        <v>4</v>
      </c>
      <c r="C107" s="32">
        <v>1066617</v>
      </c>
      <c r="D107" s="39">
        <v>45833</v>
      </c>
      <c r="E107" s="32" t="s">
        <v>15</v>
      </c>
      <c r="F107" s="32" t="str">
        <f t="shared" si="52"/>
        <v>M20</v>
      </c>
      <c r="G107" s="61" t="str">
        <f t="shared" si="53"/>
        <v>013</v>
      </c>
      <c r="H107" s="72" t="s">
        <v>39</v>
      </c>
      <c r="I107" s="72">
        <v>1</v>
      </c>
      <c r="J107" s="37" t="s">
        <v>31</v>
      </c>
      <c r="K107" s="37">
        <v>5</v>
      </c>
      <c r="L107" s="26">
        <v>0.28000000000000003</v>
      </c>
      <c r="M107" s="26">
        <v>1.62</v>
      </c>
      <c r="N107" s="29">
        <f t="shared" si="56"/>
        <v>1.34</v>
      </c>
      <c r="O107" s="58" t="str">
        <f t="shared" si="39"/>
        <v>OK</v>
      </c>
    </row>
    <row r="108" spans="1:15" x14ac:dyDescent="0.25">
      <c r="A108" s="54" t="s">
        <v>16</v>
      </c>
      <c r="B108" s="32">
        <v>4</v>
      </c>
      <c r="C108" s="32">
        <v>1066617</v>
      </c>
      <c r="D108" s="39">
        <v>45833</v>
      </c>
      <c r="E108" s="32" t="s">
        <v>15</v>
      </c>
      <c r="F108" s="32" t="str">
        <f t="shared" si="52"/>
        <v>M20</v>
      </c>
      <c r="G108" s="61" t="str">
        <f t="shared" si="53"/>
        <v>013</v>
      </c>
      <c r="H108" s="72" t="str">
        <f t="shared" ref="H108:H114" si="58">H107</f>
        <v>C2</v>
      </c>
      <c r="I108" s="72">
        <f t="shared" ref="I108:I110" si="59">I107</f>
        <v>1</v>
      </c>
      <c r="J108" s="37" t="s">
        <v>32</v>
      </c>
      <c r="K108" s="37">
        <v>5</v>
      </c>
      <c r="L108" s="26">
        <v>0.44</v>
      </c>
      <c r="M108" s="26">
        <v>2.2000000000000002</v>
      </c>
      <c r="N108" s="29">
        <f t="shared" si="56"/>
        <v>1.7600000000000002</v>
      </c>
      <c r="O108" s="58" t="str">
        <f t="shared" si="39"/>
        <v>OK</v>
      </c>
    </row>
    <row r="109" spans="1:15" x14ac:dyDescent="0.25">
      <c r="A109" s="54" t="s">
        <v>16</v>
      </c>
      <c r="B109" s="32">
        <v>4</v>
      </c>
      <c r="C109" s="32">
        <v>1066617</v>
      </c>
      <c r="D109" s="39">
        <v>45833</v>
      </c>
      <c r="E109" s="32" t="s">
        <v>15</v>
      </c>
      <c r="F109" s="32" t="str">
        <f t="shared" si="52"/>
        <v>M20</v>
      </c>
      <c r="G109" s="61" t="str">
        <f t="shared" si="53"/>
        <v>013</v>
      </c>
      <c r="H109" s="72" t="str">
        <f t="shared" si="58"/>
        <v>C2</v>
      </c>
      <c r="I109" s="72">
        <f t="shared" si="59"/>
        <v>1</v>
      </c>
      <c r="J109" s="37" t="s">
        <v>33</v>
      </c>
      <c r="K109" s="37">
        <v>6</v>
      </c>
      <c r="L109" s="26">
        <v>0.71</v>
      </c>
      <c r="M109" s="26">
        <v>4.1399999999999997</v>
      </c>
      <c r="N109" s="29">
        <f t="shared" si="56"/>
        <v>3.4299999999999997</v>
      </c>
      <c r="O109" s="58" t="str">
        <f t="shared" si="39"/>
        <v>OK</v>
      </c>
    </row>
    <row r="110" spans="1:15" x14ac:dyDescent="0.25">
      <c r="A110" s="54" t="s">
        <v>16</v>
      </c>
      <c r="B110" s="32">
        <v>4</v>
      </c>
      <c r="C110" s="32">
        <v>1066617</v>
      </c>
      <c r="D110" s="39">
        <v>45833</v>
      </c>
      <c r="E110" s="32" t="s">
        <v>15</v>
      </c>
      <c r="F110" s="32" t="str">
        <f t="shared" si="52"/>
        <v>M20</v>
      </c>
      <c r="G110" s="61" t="str">
        <f t="shared" si="53"/>
        <v>013</v>
      </c>
      <c r="H110" s="72" t="str">
        <f t="shared" si="58"/>
        <v>C2</v>
      </c>
      <c r="I110" s="72">
        <f t="shared" si="59"/>
        <v>1</v>
      </c>
      <c r="J110" s="37" t="s">
        <v>34</v>
      </c>
      <c r="K110" s="37">
        <v>6</v>
      </c>
      <c r="L110" s="26">
        <v>0.26</v>
      </c>
      <c r="M110" s="26">
        <v>1.9</v>
      </c>
      <c r="N110" s="29">
        <f t="shared" si="56"/>
        <v>1.64</v>
      </c>
      <c r="O110" s="58" t="str">
        <f t="shared" si="39"/>
        <v>OK</v>
      </c>
    </row>
    <row r="111" spans="1:15" x14ac:dyDescent="0.25">
      <c r="A111" s="54" t="s">
        <v>16</v>
      </c>
      <c r="B111" s="32">
        <v>4</v>
      </c>
      <c r="C111" s="32">
        <v>1066617</v>
      </c>
      <c r="D111" s="39">
        <v>45833</v>
      </c>
      <c r="E111" s="32" t="s">
        <v>15</v>
      </c>
      <c r="F111" s="32" t="str">
        <f t="shared" si="52"/>
        <v>M20</v>
      </c>
      <c r="G111" s="61" t="str">
        <f t="shared" si="53"/>
        <v>013</v>
      </c>
      <c r="H111" s="72" t="str">
        <f t="shared" si="58"/>
        <v>C2</v>
      </c>
      <c r="I111" s="72">
        <v>2</v>
      </c>
      <c r="J111" s="37" t="s">
        <v>35</v>
      </c>
      <c r="K111" s="37">
        <v>7</v>
      </c>
      <c r="L111" s="26">
        <v>0.21</v>
      </c>
      <c r="M111" s="26">
        <v>3.98</v>
      </c>
      <c r="N111" s="29">
        <f t="shared" si="56"/>
        <v>3.77</v>
      </c>
      <c r="O111" s="58" t="str">
        <f t="shared" si="39"/>
        <v>OK</v>
      </c>
    </row>
    <row r="112" spans="1:15" x14ac:dyDescent="0.25">
      <c r="A112" s="54" t="s">
        <v>16</v>
      </c>
      <c r="B112" s="32">
        <v>4</v>
      </c>
      <c r="C112" s="32">
        <v>1066617</v>
      </c>
      <c r="D112" s="39">
        <v>45833</v>
      </c>
      <c r="E112" s="32" t="s">
        <v>15</v>
      </c>
      <c r="F112" s="32" t="str">
        <f t="shared" si="52"/>
        <v>M20</v>
      </c>
      <c r="G112" s="61" t="str">
        <f t="shared" si="53"/>
        <v>013</v>
      </c>
      <c r="H112" s="72" t="str">
        <f t="shared" si="58"/>
        <v>C2</v>
      </c>
      <c r="I112" s="72">
        <f t="shared" ref="I112:I114" si="60">I111</f>
        <v>2</v>
      </c>
      <c r="J112" s="37" t="s">
        <v>36</v>
      </c>
      <c r="K112" s="37">
        <v>7</v>
      </c>
      <c r="L112" s="26">
        <v>1.4</v>
      </c>
      <c r="M112" s="26">
        <v>4.04</v>
      </c>
      <c r="N112" s="29">
        <f t="shared" si="56"/>
        <v>2.64</v>
      </c>
      <c r="O112" s="58" t="str">
        <f t="shared" si="39"/>
        <v>OK</v>
      </c>
    </row>
    <row r="113" spans="1:15" x14ac:dyDescent="0.25">
      <c r="A113" s="54" t="s">
        <v>16</v>
      </c>
      <c r="B113" s="32">
        <v>4</v>
      </c>
      <c r="C113" s="32">
        <v>1066617</v>
      </c>
      <c r="D113" s="39">
        <v>45833</v>
      </c>
      <c r="E113" s="32" t="s">
        <v>15</v>
      </c>
      <c r="F113" s="32" t="str">
        <f t="shared" si="52"/>
        <v>M20</v>
      </c>
      <c r="G113" s="61" t="str">
        <f t="shared" si="53"/>
        <v>013</v>
      </c>
      <c r="H113" s="72" t="str">
        <f t="shared" si="58"/>
        <v>C2</v>
      </c>
      <c r="I113" s="72">
        <f t="shared" si="60"/>
        <v>2</v>
      </c>
      <c r="J113" s="37" t="s">
        <v>37</v>
      </c>
      <c r="K113" s="37">
        <v>8</v>
      </c>
      <c r="L113" s="26">
        <v>0.05</v>
      </c>
      <c r="M113" s="26">
        <v>5.09</v>
      </c>
      <c r="N113" s="29">
        <f t="shared" si="56"/>
        <v>5.04</v>
      </c>
      <c r="O113" s="58" t="str">
        <f t="shared" si="39"/>
        <v>OK</v>
      </c>
    </row>
    <row r="114" spans="1:15" x14ac:dyDescent="0.25">
      <c r="A114" s="54" t="s">
        <v>16</v>
      </c>
      <c r="B114" s="32">
        <v>4</v>
      </c>
      <c r="C114" s="32">
        <v>1066617</v>
      </c>
      <c r="D114" s="39">
        <v>45833</v>
      </c>
      <c r="E114" s="32" t="s">
        <v>15</v>
      </c>
      <c r="F114" s="32" t="str">
        <f t="shared" si="52"/>
        <v>M20</v>
      </c>
      <c r="G114" s="61" t="str">
        <f t="shared" si="53"/>
        <v>013</v>
      </c>
      <c r="H114" s="72" t="str">
        <f t="shared" si="58"/>
        <v>C2</v>
      </c>
      <c r="I114" s="72">
        <f t="shared" si="60"/>
        <v>2</v>
      </c>
      <c r="J114" s="37" t="s">
        <v>38</v>
      </c>
      <c r="K114" s="37">
        <v>8</v>
      </c>
      <c r="L114" s="26">
        <v>0.69</v>
      </c>
      <c r="M114" s="26">
        <v>1.37</v>
      </c>
      <c r="N114" s="29">
        <f t="shared" si="56"/>
        <v>0.68000000000000016</v>
      </c>
      <c r="O114" s="58" t="str">
        <f t="shared" si="39"/>
        <v>Seguimiento</v>
      </c>
    </row>
    <row r="115" spans="1:15" x14ac:dyDescent="0.25">
      <c r="A115" s="54" t="s">
        <v>16</v>
      </c>
      <c r="B115" s="32">
        <v>4</v>
      </c>
      <c r="C115" s="32">
        <v>1066617</v>
      </c>
      <c r="D115" s="39">
        <v>45833</v>
      </c>
      <c r="E115" s="32" t="s">
        <v>15</v>
      </c>
      <c r="F115" s="32" t="s">
        <v>40</v>
      </c>
      <c r="G115" s="61" t="s">
        <v>66</v>
      </c>
      <c r="H115" s="72" t="s">
        <v>42</v>
      </c>
      <c r="I115" s="72">
        <v>1</v>
      </c>
      <c r="J115" s="37" t="s">
        <v>31</v>
      </c>
      <c r="K115" s="37">
        <v>9</v>
      </c>
      <c r="L115" s="26">
        <v>0.14000000000000001</v>
      </c>
      <c r="M115" s="26">
        <v>4.6900000000000004</v>
      </c>
      <c r="N115" s="29">
        <f t="shared" si="56"/>
        <v>4.5500000000000007</v>
      </c>
      <c r="O115" s="58" t="str">
        <f t="shared" si="39"/>
        <v>OK</v>
      </c>
    </row>
    <row r="116" spans="1:15" x14ac:dyDescent="0.25">
      <c r="A116" s="54" t="s">
        <v>16</v>
      </c>
      <c r="B116" s="32">
        <v>4</v>
      </c>
      <c r="C116" s="32">
        <v>1066617</v>
      </c>
      <c r="D116" s="39">
        <v>45833</v>
      </c>
      <c r="E116" s="32" t="s">
        <v>15</v>
      </c>
      <c r="F116" s="32" t="str">
        <f t="shared" ref="F116:F130" si="61">F115</f>
        <v>M21</v>
      </c>
      <c r="G116" s="61" t="str">
        <f t="shared" ref="G116:G130" si="62">G115</f>
        <v>014</v>
      </c>
      <c r="H116" s="72" t="str">
        <f t="shared" ref="H116:H122" si="63">H115</f>
        <v>C3</v>
      </c>
      <c r="I116" s="72">
        <f t="shared" ref="I116:I118" si="64">I115</f>
        <v>1</v>
      </c>
      <c r="J116" s="37" t="s">
        <v>32</v>
      </c>
      <c r="K116" s="37">
        <v>9</v>
      </c>
      <c r="L116" s="26">
        <v>0.45</v>
      </c>
      <c r="M116" s="26">
        <v>2.2799999999999998</v>
      </c>
      <c r="N116" s="29">
        <f t="shared" si="56"/>
        <v>1.8299999999999998</v>
      </c>
      <c r="O116" s="58" t="str">
        <f t="shared" si="39"/>
        <v>OK</v>
      </c>
    </row>
    <row r="117" spans="1:15" x14ac:dyDescent="0.25">
      <c r="A117" s="54" t="s">
        <v>16</v>
      </c>
      <c r="B117" s="32">
        <v>4</v>
      </c>
      <c r="C117" s="32">
        <v>1066617</v>
      </c>
      <c r="D117" s="39">
        <v>45833</v>
      </c>
      <c r="E117" s="32" t="s">
        <v>15</v>
      </c>
      <c r="F117" s="32" t="str">
        <f t="shared" si="61"/>
        <v>M21</v>
      </c>
      <c r="G117" s="61" t="str">
        <f t="shared" si="62"/>
        <v>014</v>
      </c>
      <c r="H117" s="72" t="str">
        <f t="shared" si="63"/>
        <v>C3</v>
      </c>
      <c r="I117" s="72">
        <f t="shared" si="64"/>
        <v>1</v>
      </c>
      <c r="J117" s="37" t="s">
        <v>33</v>
      </c>
      <c r="K117" s="37">
        <v>10</v>
      </c>
      <c r="L117" s="26">
        <v>0.8</v>
      </c>
      <c r="M117" s="26">
        <v>1.85</v>
      </c>
      <c r="N117" s="29">
        <f t="shared" si="56"/>
        <v>1.05</v>
      </c>
      <c r="O117" s="58" t="str">
        <f t="shared" si="39"/>
        <v>OK</v>
      </c>
    </row>
    <row r="118" spans="1:15" x14ac:dyDescent="0.25">
      <c r="A118" s="54" t="s">
        <v>16</v>
      </c>
      <c r="B118" s="32">
        <v>4</v>
      </c>
      <c r="C118" s="32">
        <v>1066617</v>
      </c>
      <c r="D118" s="39">
        <v>45833</v>
      </c>
      <c r="E118" s="32" t="s">
        <v>15</v>
      </c>
      <c r="F118" s="32" t="str">
        <f t="shared" si="61"/>
        <v>M21</v>
      </c>
      <c r="G118" s="61" t="str">
        <f t="shared" si="62"/>
        <v>014</v>
      </c>
      <c r="H118" s="72" t="str">
        <f t="shared" si="63"/>
        <v>C3</v>
      </c>
      <c r="I118" s="72">
        <f t="shared" si="64"/>
        <v>1</v>
      </c>
      <c r="J118" s="37" t="s">
        <v>34</v>
      </c>
      <c r="K118" s="37">
        <v>10</v>
      </c>
      <c r="L118" s="26">
        <v>0.61</v>
      </c>
      <c r="M118" s="26">
        <v>1.58</v>
      </c>
      <c r="N118" s="29">
        <f t="shared" si="56"/>
        <v>0.97000000000000008</v>
      </c>
      <c r="O118" s="58" t="str">
        <f t="shared" si="39"/>
        <v>Seguimiento</v>
      </c>
    </row>
    <row r="119" spans="1:15" x14ac:dyDescent="0.25">
      <c r="A119" s="54" t="s">
        <v>16</v>
      </c>
      <c r="B119" s="32">
        <v>4</v>
      </c>
      <c r="C119" s="32">
        <v>1066617</v>
      </c>
      <c r="D119" s="39">
        <v>45833</v>
      </c>
      <c r="E119" s="32" t="s">
        <v>15</v>
      </c>
      <c r="F119" s="32" t="str">
        <f t="shared" si="61"/>
        <v>M21</v>
      </c>
      <c r="G119" s="61" t="str">
        <f t="shared" si="62"/>
        <v>014</v>
      </c>
      <c r="H119" s="72" t="str">
        <f t="shared" si="63"/>
        <v>C3</v>
      </c>
      <c r="I119" s="72">
        <v>2</v>
      </c>
      <c r="J119" s="37" t="s">
        <v>35</v>
      </c>
      <c r="K119" s="37">
        <v>11</v>
      </c>
      <c r="L119" s="26">
        <v>7.0000000000000007E-2</v>
      </c>
      <c r="M119" s="26">
        <v>4.6100000000000003</v>
      </c>
      <c r="N119" s="29">
        <f t="shared" si="56"/>
        <v>4.54</v>
      </c>
      <c r="O119" s="58" t="str">
        <f t="shared" si="39"/>
        <v>OK</v>
      </c>
    </row>
    <row r="120" spans="1:15" x14ac:dyDescent="0.25">
      <c r="A120" s="54" t="s">
        <v>16</v>
      </c>
      <c r="B120" s="32">
        <v>4</v>
      </c>
      <c r="C120" s="32">
        <v>1066617</v>
      </c>
      <c r="D120" s="39">
        <v>45833</v>
      </c>
      <c r="E120" s="32" t="s">
        <v>15</v>
      </c>
      <c r="F120" s="32" t="str">
        <f t="shared" si="61"/>
        <v>M21</v>
      </c>
      <c r="G120" s="61" t="str">
        <f t="shared" si="62"/>
        <v>014</v>
      </c>
      <c r="H120" s="72" t="str">
        <f t="shared" si="63"/>
        <v>C3</v>
      </c>
      <c r="I120" s="72">
        <f t="shared" ref="I120:I122" si="65">I119</f>
        <v>2</v>
      </c>
      <c r="J120" s="37" t="s">
        <v>36</v>
      </c>
      <c r="K120" s="37">
        <v>11</v>
      </c>
      <c r="L120" s="26">
        <v>0.09</v>
      </c>
      <c r="M120" s="26">
        <v>4.53</v>
      </c>
      <c r="N120" s="29">
        <f t="shared" si="56"/>
        <v>4.4400000000000004</v>
      </c>
      <c r="O120" s="58" t="str">
        <f t="shared" si="39"/>
        <v>OK</v>
      </c>
    </row>
    <row r="121" spans="1:15" x14ac:dyDescent="0.25">
      <c r="A121" s="54" t="s">
        <v>16</v>
      </c>
      <c r="B121" s="32">
        <v>4</v>
      </c>
      <c r="C121" s="32">
        <v>1066617</v>
      </c>
      <c r="D121" s="39">
        <v>45833</v>
      </c>
      <c r="E121" s="32" t="s">
        <v>15</v>
      </c>
      <c r="F121" s="32" t="str">
        <f t="shared" si="61"/>
        <v>M21</v>
      </c>
      <c r="G121" s="61" t="str">
        <f t="shared" si="62"/>
        <v>014</v>
      </c>
      <c r="H121" s="72" t="str">
        <f t="shared" si="63"/>
        <v>C3</v>
      </c>
      <c r="I121" s="72">
        <f t="shared" si="65"/>
        <v>2</v>
      </c>
      <c r="J121" s="37" t="s">
        <v>37</v>
      </c>
      <c r="K121" s="37">
        <v>12</v>
      </c>
      <c r="L121" s="26">
        <v>0.11</v>
      </c>
      <c r="M121" s="26">
        <v>4.3</v>
      </c>
      <c r="N121" s="29">
        <f t="shared" si="56"/>
        <v>4.1899999999999995</v>
      </c>
      <c r="O121" s="58" t="str">
        <f t="shared" si="39"/>
        <v>OK</v>
      </c>
    </row>
    <row r="122" spans="1:15" x14ac:dyDescent="0.25">
      <c r="A122" s="54" t="s">
        <v>16</v>
      </c>
      <c r="B122" s="32">
        <v>4</v>
      </c>
      <c r="C122" s="32">
        <v>1066617</v>
      </c>
      <c r="D122" s="39">
        <v>45833</v>
      </c>
      <c r="E122" s="32" t="s">
        <v>15</v>
      </c>
      <c r="F122" s="32" t="str">
        <f t="shared" si="61"/>
        <v>M21</v>
      </c>
      <c r="G122" s="61" t="str">
        <f t="shared" si="62"/>
        <v>014</v>
      </c>
      <c r="H122" s="72" t="str">
        <f t="shared" si="63"/>
        <v>C3</v>
      </c>
      <c r="I122" s="72">
        <f t="shared" si="65"/>
        <v>2</v>
      </c>
      <c r="J122" s="37" t="s">
        <v>38</v>
      </c>
      <c r="K122" s="37">
        <v>12</v>
      </c>
      <c r="L122" s="26">
        <v>0.68</v>
      </c>
      <c r="M122" s="26">
        <v>1.84</v>
      </c>
      <c r="N122" s="29">
        <f t="shared" si="56"/>
        <v>1.1600000000000001</v>
      </c>
      <c r="O122" s="58" t="str">
        <f t="shared" si="39"/>
        <v>OK</v>
      </c>
    </row>
    <row r="123" spans="1:15" x14ac:dyDescent="0.25">
      <c r="A123" s="54" t="s">
        <v>16</v>
      </c>
      <c r="B123" s="32">
        <v>4</v>
      </c>
      <c r="C123" s="32">
        <v>1066617</v>
      </c>
      <c r="D123" s="39">
        <v>45833</v>
      </c>
      <c r="E123" s="32" t="s">
        <v>15</v>
      </c>
      <c r="F123" s="32" t="str">
        <f t="shared" si="61"/>
        <v>M21</v>
      </c>
      <c r="G123" s="61" t="str">
        <f t="shared" si="62"/>
        <v>014</v>
      </c>
      <c r="H123" s="72" t="s">
        <v>43</v>
      </c>
      <c r="I123" s="72">
        <v>1</v>
      </c>
      <c r="J123" s="37" t="s">
        <v>31</v>
      </c>
      <c r="K123" s="37">
        <v>13</v>
      </c>
      <c r="L123" s="26">
        <v>0.85</v>
      </c>
      <c r="M123" s="26">
        <v>3.19</v>
      </c>
      <c r="N123" s="29">
        <f t="shared" si="56"/>
        <v>2.34</v>
      </c>
      <c r="O123" s="58" t="str">
        <f t="shared" si="39"/>
        <v>OK</v>
      </c>
    </row>
    <row r="124" spans="1:15" x14ac:dyDescent="0.25">
      <c r="A124" s="54" t="s">
        <v>16</v>
      </c>
      <c r="B124" s="32">
        <v>4</v>
      </c>
      <c r="C124" s="32">
        <v>1066617</v>
      </c>
      <c r="D124" s="39">
        <v>45833</v>
      </c>
      <c r="E124" s="32" t="s">
        <v>15</v>
      </c>
      <c r="F124" s="32" t="str">
        <f t="shared" si="61"/>
        <v>M21</v>
      </c>
      <c r="G124" s="61" t="str">
        <f t="shared" si="62"/>
        <v>014</v>
      </c>
      <c r="H124" s="72" t="str">
        <f t="shared" ref="H124:H130" si="66">H123</f>
        <v>C4</v>
      </c>
      <c r="I124" s="72">
        <f t="shared" ref="I124:I126" si="67">I123</f>
        <v>1</v>
      </c>
      <c r="J124" s="37" t="s">
        <v>32</v>
      </c>
      <c r="K124" s="37">
        <v>13</v>
      </c>
      <c r="L124" s="26">
        <v>0.61</v>
      </c>
      <c r="M124" s="26">
        <v>3.34</v>
      </c>
      <c r="N124" s="29">
        <f t="shared" si="56"/>
        <v>2.73</v>
      </c>
      <c r="O124" s="58" t="str">
        <f t="shared" si="39"/>
        <v>OK</v>
      </c>
    </row>
    <row r="125" spans="1:15" x14ac:dyDescent="0.25">
      <c r="A125" s="54" t="s">
        <v>16</v>
      </c>
      <c r="B125" s="32">
        <v>4</v>
      </c>
      <c r="C125" s="32">
        <v>1066617</v>
      </c>
      <c r="D125" s="39">
        <v>45833</v>
      </c>
      <c r="E125" s="32" t="s">
        <v>15</v>
      </c>
      <c r="F125" s="32" t="str">
        <f t="shared" si="61"/>
        <v>M21</v>
      </c>
      <c r="G125" s="61" t="str">
        <f t="shared" si="62"/>
        <v>014</v>
      </c>
      <c r="H125" s="72" t="str">
        <f t="shared" si="66"/>
        <v>C4</v>
      </c>
      <c r="I125" s="72">
        <f t="shared" si="67"/>
        <v>1</v>
      </c>
      <c r="J125" s="37" t="s">
        <v>33</v>
      </c>
      <c r="K125" s="37">
        <v>14</v>
      </c>
      <c r="L125" s="26">
        <v>0.2</v>
      </c>
      <c r="M125" s="26">
        <v>1.67</v>
      </c>
      <c r="N125" s="29">
        <f t="shared" si="56"/>
        <v>1.47</v>
      </c>
      <c r="O125" s="58" t="str">
        <f t="shared" si="39"/>
        <v>OK</v>
      </c>
    </row>
    <row r="126" spans="1:15" x14ac:dyDescent="0.25">
      <c r="A126" s="54" t="s">
        <v>16</v>
      </c>
      <c r="B126" s="32">
        <v>4</v>
      </c>
      <c r="C126" s="32">
        <v>1066617</v>
      </c>
      <c r="D126" s="39">
        <v>45833</v>
      </c>
      <c r="E126" s="32" t="s">
        <v>15</v>
      </c>
      <c r="F126" s="32" t="str">
        <f t="shared" si="61"/>
        <v>M21</v>
      </c>
      <c r="G126" s="61" t="str">
        <f t="shared" si="62"/>
        <v>014</v>
      </c>
      <c r="H126" s="72" t="str">
        <f t="shared" si="66"/>
        <v>C4</v>
      </c>
      <c r="I126" s="72">
        <f t="shared" si="67"/>
        <v>1</v>
      </c>
      <c r="J126" s="37" t="s">
        <v>34</v>
      </c>
      <c r="K126" s="37">
        <v>14</v>
      </c>
      <c r="L126" s="26">
        <v>0.17</v>
      </c>
      <c r="M126" s="26">
        <v>2.0099999999999998</v>
      </c>
      <c r="N126" s="29">
        <f t="shared" si="56"/>
        <v>1.8399999999999999</v>
      </c>
      <c r="O126" s="58" t="str">
        <f t="shared" si="39"/>
        <v>OK</v>
      </c>
    </row>
    <row r="127" spans="1:15" x14ac:dyDescent="0.25">
      <c r="A127" s="54" t="s">
        <v>16</v>
      </c>
      <c r="B127" s="32">
        <v>4</v>
      </c>
      <c r="C127" s="32">
        <v>1066617</v>
      </c>
      <c r="D127" s="39">
        <v>45833</v>
      </c>
      <c r="E127" s="32" t="s">
        <v>15</v>
      </c>
      <c r="F127" s="32" t="str">
        <f t="shared" si="61"/>
        <v>M21</v>
      </c>
      <c r="G127" s="61" t="str">
        <f t="shared" si="62"/>
        <v>014</v>
      </c>
      <c r="H127" s="72" t="str">
        <f t="shared" si="66"/>
        <v>C4</v>
      </c>
      <c r="I127" s="72">
        <v>2</v>
      </c>
      <c r="J127" s="37" t="s">
        <v>35</v>
      </c>
      <c r="K127" s="37">
        <v>15</v>
      </c>
      <c r="L127" s="26">
        <v>0.19</v>
      </c>
      <c r="M127" s="26">
        <v>1.34</v>
      </c>
      <c r="N127" s="29">
        <f t="shared" si="56"/>
        <v>1.1500000000000001</v>
      </c>
      <c r="O127" s="58" t="str">
        <f t="shared" si="39"/>
        <v>OK</v>
      </c>
    </row>
    <row r="128" spans="1:15" x14ac:dyDescent="0.25">
      <c r="A128" s="54" t="s">
        <v>16</v>
      </c>
      <c r="B128" s="32">
        <v>4</v>
      </c>
      <c r="C128" s="32">
        <v>1066617</v>
      </c>
      <c r="D128" s="39">
        <v>45833</v>
      </c>
      <c r="E128" s="32" t="s">
        <v>15</v>
      </c>
      <c r="F128" s="32" t="str">
        <f t="shared" si="61"/>
        <v>M21</v>
      </c>
      <c r="G128" s="61" t="str">
        <f t="shared" si="62"/>
        <v>014</v>
      </c>
      <c r="H128" s="72" t="str">
        <f t="shared" si="66"/>
        <v>C4</v>
      </c>
      <c r="I128" s="72">
        <f t="shared" ref="I128:I130" si="68">I127</f>
        <v>2</v>
      </c>
      <c r="J128" s="37" t="s">
        <v>36</v>
      </c>
      <c r="K128" s="37">
        <v>15</v>
      </c>
      <c r="L128" s="26">
        <v>0.73</v>
      </c>
      <c r="M128" s="26">
        <v>2.86</v>
      </c>
      <c r="N128" s="29">
        <f t="shared" si="56"/>
        <v>2.13</v>
      </c>
      <c r="O128" s="58" t="str">
        <f t="shared" si="39"/>
        <v>OK</v>
      </c>
    </row>
    <row r="129" spans="1:15" x14ac:dyDescent="0.25">
      <c r="A129" s="54" t="s">
        <v>16</v>
      </c>
      <c r="B129" s="32">
        <v>4</v>
      </c>
      <c r="C129" s="32">
        <v>1066617</v>
      </c>
      <c r="D129" s="39">
        <v>45833</v>
      </c>
      <c r="E129" s="32" t="s">
        <v>15</v>
      </c>
      <c r="F129" s="32" t="str">
        <f t="shared" si="61"/>
        <v>M21</v>
      </c>
      <c r="G129" s="61" t="str">
        <f t="shared" si="62"/>
        <v>014</v>
      </c>
      <c r="H129" s="72" t="str">
        <f t="shared" si="66"/>
        <v>C4</v>
      </c>
      <c r="I129" s="72">
        <f t="shared" si="68"/>
        <v>2</v>
      </c>
      <c r="J129" s="37" t="s">
        <v>37</v>
      </c>
      <c r="K129" s="37">
        <v>16</v>
      </c>
      <c r="L129" s="26">
        <v>0.69</v>
      </c>
      <c r="M129" s="26">
        <v>2.31</v>
      </c>
      <c r="N129" s="29">
        <f t="shared" si="56"/>
        <v>1.62</v>
      </c>
      <c r="O129" s="58" t="str">
        <f t="shared" si="39"/>
        <v>OK</v>
      </c>
    </row>
    <row r="130" spans="1:15" x14ac:dyDescent="0.25">
      <c r="A130" s="54" t="s">
        <v>16</v>
      </c>
      <c r="B130" s="32">
        <v>4</v>
      </c>
      <c r="C130" s="32">
        <v>1066617</v>
      </c>
      <c r="D130" s="39">
        <v>45833</v>
      </c>
      <c r="E130" s="32" t="s">
        <v>15</v>
      </c>
      <c r="F130" s="32" t="str">
        <f t="shared" si="61"/>
        <v>M21</v>
      </c>
      <c r="G130" s="61" t="str">
        <f t="shared" si="62"/>
        <v>014</v>
      </c>
      <c r="H130" s="72" t="str">
        <f t="shared" si="66"/>
        <v>C4</v>
      </c>
      <c r="I130" s="72">
        <f t="shared" si="68"/>
        <v>2</v>
      </c>
      <c r="J130" s="37" t="s">
        <v>38</v>
      </c>
      <c r="K130" s="37">
        <v>16</v>
      </c>
      <c r="L130" s="26">
        <v>0.9</v>
      </c>
      <c r="M130" s="26">
        <v>2.94</v>
      </c>
      <c r="N130" s="29">
        <f t="shared" si="56"/>
        <v>2.04</v>
      </c>
      <c r="O130" s="58" t="str">
        <f t="shared" si="39"/>
        <v>OK</v>
      </c>
    </row>
    <row r="131" spans="1:15" x14ac:dyDescent="0.25">
      <c r="A131" s="54" t="s">
        <v>16</v>
      </c>
      <c r="B131" s="32">
        <v>4</v>
      </c>
      <c r="C131" s="32">
        <v>1066617</v>
      </c>
      <c r="D131" s="39">
        <v>45833</v>
      </c>
      <c r="E131" s="32" t="s">
        <v>15</v>
      </c>
      <c r="F131" s="32" t="s">
        <v>44</v>
      </c>
      <c r="G131" s="61" t="s">
        <v>67</v>
      </c>
      <c r="H131" s="72" t="s">
        <v>46</v>
      </c>
      <c r="I131" s="72">
        <v>1</v>
      </c>
      <c r="J131" s="37" t="s">
        <v>31</v>
      </c>
      <c r="K131" s="37">
        <v>17</v>
      </c>
      <c r="L131" s="26">
        <v>0.62</v>
      </c>
      <c r="M131" s="26">
        <v>5.03</v>
      </c>
      <c r="N131" s="29">
        <f t="shared" si="56"/>
        <v>4.41</v>
      </c>
      <c r="O131" s="58" t="str">
        <f t="shared" si="39"/>
        <v>OK</v>
      </c>
    </row>
    <row r="132" spans="1:15" x14ac:dyDescent="0.25">
      <c r="A132" s="54" t="s">
        <v>16</v>
      </c>
      <c r="B132" s="32">
        <v>4</v>
      </c>
      <c r="C132" s="32">
        <v>1066617</v>
      </c>
      <c r="D132" s="39">
        <v>45833</v>
      </c>
      <c r="E132" s="32" t="s">
        <v>15</v>
      </c>
      <c r="F132" s="32" t="str">
        <f t="shared" ref="F132:F146" si="69">F131</f>
        <v>M22</v>
      </c>
      <c r="G132" s="61" t="str">
        <f t="shared" ref="G132:G146" si="70">G131</f>
        <v>308</v>
      </c>
      <c r="H132" s="72" t="str">
        <f t="shared" ref="H132:H138" si="71">H131</f>
        <v>C5</v>
      </c>
      <c r="I132" s="72">
        <f t="shared" ref="I132:I134" si="72">I131</f>
        <v>1</v>
      </c>
      <c r="J132" s="37" t="s">
        <v>32</v>
      </c>
      <c r="K132" s="37">
        <v>17</v>
      </c>
      <c r="L132" s="26">
        <v>0.46</v>
      </c>
      <c r="M132" s="26">
        <v>4.95</v>
      </c>
      <c r="N132" s="29">
        <f t="shared" si="56"/>
        <v>4.49</v>
      </c>
      <c r="O132" s="58" t="str">
        <f t="shared" ref="O132:O195" si="73">IF(N132&lt;=0,"Critico",IF(N132&lt;=0.2,"Cambio",IF(N132&lt;=1,"Seguimiento",IF(L132&gt;=1.7,"Reperfilado","OK"))))</f>
        <v>OK</v>
      </c>
    </row>
    <row r="133" spans="1:15" x14ac:dyDescent="0.25">
      <c r="A133" s="54" t="s">
        <v>16</v>
      </c>
      <c r="B133" s="32">
        <v>4</v>
      </c>
      <c r="C133" s="32">
        <v>1066617</v>
      </c>
      <c r="D133" s="39">
        <v>45833</v>
      </c>
      <c r="E133" s="32" t="s">
        <v>15</v>
      </c>
      <c r="F133" s="32" t="str">
        <f t="shared" si="69"/>
        <v>M22</v>
      </c>
      <c r="G133" s="61" t="str">
        <f t="shared" si="70"/>
        <v>308</v>
      </c>
      <c r="H133" s="72" t="str">
        <f t="shared" si="71"/>
        <v>C5</v>
      </c>
      <c r="I133" s="72">
        <f t="shared" si="72"/>
        <v>1</v>
      </c>
      <c r="J133" s="37" t="s">
        <v>33</v>
      </c>
      <c r="K133" s="37">
        <v>18</v>
      </c>
      <c r="L133" s="26">
        <v>0.48</v>
      </c>
      <c r="M133" s="26">
        <v>4.84</v>
      </c>
      <c r="N133" s="29">
        <f t="shared" si="56"/>
        <v>4.3599999999999994</v>
      </c>
      <c r="O133" s="58" t="str">
        <f t="shared" si="73"/>
        <v>OK</v>
      </c>
    </row>
    <row r="134" spans="1:15" x14ac:dyDescent="0.25">
      <c r="A134" s="54" t="s">
        <v>16</v>
      </c>
      <c r="B134" s="32">
        <v>4</v>
      </c>
      <c r="C134" s="32">
        <v>1066617</v>
      </c>
      <c r="D134" s="39">
        <v>45833</v>
      </c>
      <c r="E134" s="32" t="s">
        <v>15</v>
      </c>
      <c r="F134" s="32" t="str">
        <f t="shared" si="69"/>
        <v>M22</v>
      </c>
      <c r="G134" s="61" t="str">
        <f t="shared" si="70"/>
        <v>308</v>
      </c>
      <c r="H134" s="72" t="str">
        <f t="shared" si="71"/>
        <v>C5</v>
      </c>
      <c r="I134" s="72">
        <f t="shared" si="72"/>
        <v>1</v>
      </c>
      <c r="J134" s="37" t="s">
        <v>34</v>
      </c>
      <c r="K134" s="37">
        <v>18</v>
      </c>
      <c r="L134" s="26">
        <v>1.1000000000000001</v>
      </c>
      <c r="M134" s="26">
        <v>4.83</v>
      </c>
      <c r="N134" s="29">
        <f t="shared" si="56"/>
        <v>3.73</v>
      </c>
      <c r="O134" s="58" t="str">
        <f t="shared" si="73"/>
        <v>OK</v>
      </c>
    </row>
    <row r="135" spans="1:15" x14ac:dyDescent="0.25">
      <c r="A135" s="54" t="s">
        <v>16</v>
      </c>
      <c r="B135" s="32">
        <v>4</v>
      </c>
      <c r="C135" s="32">
        <v>1066617</v>
      </c>
      <c r="D135" s="39">
        <v>45833</v>
      </c>
      <c r="E135" s="32" t="s">
        <v>15</v>
      </c>
      <c r="F135" s="32" t="str">
        <f t="shared" si="69"/>
        <v>M22</v>
      </c>
      <c r="G135" s="61" t="str">
        <f t="shared" si="70"/>
        <v>308</v>
      </c>
      <c r="H135" s="72" t="str">
        <f t="shared" si="71"/>
        <v>C5</v>
      </c>
      <c r="I135" s="72">
        <v>2</v>
      </c>
      <c r="J135" s="37" t="s">
        <v>35</v>
      </c>
      <c r="K135" s="37">
        <v>19</v>
      </c>
      <c r="L135" s="26">
        <v>0.42</v>
      </c>
      <c r="M135" s="26">
        <v>5.08</v>
      </c>
      <c r="N135" s="29">
        <f t="shared" si="56"/>
        <v>4.66</v>
      </c>
      <c r="O135" s="58" t="str">
        <f t="shared" si="73"/>
        <v>OK</v>
      </c>
    </row>
    <row r="136" spans="1:15" x14ac:dyDescent="0.25">
      <c r="A136" s="54" t="s">
        <v>16</v>
      </c>
      <c r="B136" s="32">
        <v>4</v>
      </c>
      <c r="C136" s="32">
        <v>1066617</v>
      </c>
      <c r="D136" s="39">
        <v>45833</v>
      </c>
      <c r="E136" s="32" t="s">
        <v>15</v>
      </c>
      <c r="F136" s="32" t="str">
        <f t="shared" si="69"/>
        <v>M22</v>
      </c>
      <c r="G136" s="61" t="str">
        <f t="shared" si="70"/>
        <v>308</v>
      </c>
      <c r="H136" s="72" t="str">
        <f t="shared" si="71"/>
        <v>C5</v>
      </c>
      <c r="I136" s="72">
        <f t="shared" ref="I136:I138" si="74">I135</f>
        <v>2</v>
      </c>
      <c r="J136" s="37" t="s">
        <v>36</v>
      </c>
      <c r="K136" s="37">
        <v>19</v>
      </c>
      <c r="L136" s="26">
        <v>0.97</v>
      </c>
      <c r="M136" s="26">
        <v>1.5</v>
      </c>
      <c r="N136" s="29">
        <f t="shared" si="56"/>
        <v>0.53</v>
      </c>
      <c r="O136" s="58" t="str">
        <f t="shared" si="73"/>
        <v>Seguimiento</v>
      </c>
    </row>
    <row r="137" spans="1:15" x14ac:dyDescent="0.25">
      <c r="A137" s="54" t="s">
        <v>16</v>
      </c>
      <c r="B137" s="32">
        <v>4</v>
      </c>
      <c r="C137" s="32">
        <v>1066617</v>
      </c>
      <c r="D137" s="39">
        <v>45833</v>
      </c>
      <c r="E137" s="32" t="s">
        <v>15</v>
      </c>
      <c r="F137" s="32" t="str">
        <f t="shared" si="69"/>
        <v>M22</v>
      </c>
      <c r="G137" s="61" t="str">
        <f t="shared" si="70"/>
        <v>308</v>
      </c>
      <c r="H137" s="72" t="str">
        <f t="shared" si="71"/>
        <v>C5</v>
      </c>
      <c r="I137" s="72">
        <f t="shared" si="74"/>
        <v>2</v>
      </c>
      <c r="J137" s="37" t="s">
        <v>37</v>
      </c>
      <c r="K137" s="37">
        <v>20</v>
      </c>
      <c r="L137" s="26">
        <v>0.59</v>
      </c>
      <c r="M137" s="26">
        <v>2.17</v>
      </c>
      <c r="N137" s="29">
        <f t="shared" si="56"/>
        <v>1.58</v>
      </c>
      <c r="O137" s="58" t="str">
        <f t="shared" si="73"/>
        <v>OK</v>
      </c>
    </row>
    <row r="138" spans="1:15" x14ac:dyDescent="0.25">
      <c r="A138" s="54" t="s">
        <v>16</v>
      </c>
      <c r="B138" s="32">
        <v>4</v>
      </c>
      <c r="C138" s="32">
        <v>1066617</v>
      </c>
      <c r="D138" s="39">
        <v>45833</v>
      </c>
      <c r="E138" s="32" t="s">
        <v>15</v>
      </c>
      <c r="F138" s="32" t="str">
        <f t="shared" si="69"/>
        <v>M22</v>
      </c>
      <c r="G138" s="61" t="str">
        <f t="shared" si="70"/>
        <v>308</v>
      </c>
      <c r="H138" s="72" t="str">
        <f t="shared" si="71"/>
        <v>C5</v>
      </c>
      <c r="I138" s="72">
        <f t="shared" si="74"/>
        <v>2</v>
      </c>
      <c r="J138" s="37" t="s">
        <v>38</v>
      </c>
      <c r="K138" s="37">
        <v>20</v>
      </c>
      <c r="L138" s="26">
        <v>0.34</v>
      </c>
      <c r="M138" s="26">
        <v>4.6900000000000004</v>
      </c>
      <c r="N138" s="29">
        <f t="shared" si="56"/>
        <v>4.3500000000000005</v>
      </c>
      <c r="O138" s="58" t="str">
        <f t="shared" si="73"/>
        <v>OK</v>
      </c>
    </row>
    <row r="139" spans="1:15" x14ac:dyDescent="0.25">
      <c r="A139" s="54" t="s">
        <v>16</v>
      </c>
      <c r="B139" s="32">
        <v>4</v>
      </c>
      <c r="C139" s="32">
        <v>1066617</v>
      </c>
      <c r="D139" s="39">
        <v>45833</v>
      </c>
      <c r="E139" s="32" t="s">
        <v>15</v>
      </c>
      <c r="F139" s="32" t="str">
        <f t="shared" si="69"/>
        <v>M22</v>
      </c>
      <c r="G139" s="61" t="str">
        <f t="shared" si="70"/>
        <v>308</v>
      </c>
      <c r="H139" s="72" t="s">
        <v>47</v>
      </c>
      <c r="I139" s="72">
        <v>1</v>
      </c>
      <c r="J139" s="37" t="s">
        <v>31</v>
      </c>
      <c r="K139" s="37">
        <v>21</v>
      </c>
      <c r="L139" s="26">
        <v>0.45</v>
      </c>
      <c r="M139" s="26">
        <v>5.0199999999999996</v>
      </c>
      <c r="N139" s="29">
        <f t="shared" si="56"/>
        <v>4.5699999999999994</v>
      </c>
      <c r="O139" s="58" t="str">
        <f t="shared" si="73"/>
        <v>OK</v>
      </c>
    </row>
    <row r="140" spans="1:15" x14ac:dyDescent="0.25">
      <c r="A140" s="54" t="s">
        <v>16</v>
      </c>
      <c r="B140" s="32">
        <v>4</v>
      </c>
      <c r="C140" s="32">
        <v>1066617</v>
      </c>
      <c r="D140" s="39">
        <v>45833</v>
      </c>
      <c r="E140" s="32" t="s">
        <v>15</v>
      </c>
      <c r="F140" s="32" t="str">
        <f t="shared" si="69"/>
        <v>M22</v>
      </c>
      <c r="G140" s="61" t="str">
        <f t="shared" si="70"/>
        <v>308</v>
      </c>
      <c r="H140" s="72" t="str">
        <f t="shared" ref="H140:H146" si="75">H139</f>
        <v>C6</v>
      </c>
      <c r="I140" s="72">
        <f t="shared" ref="I140:I142" si="76">I139</f>
        <v>1</v>
      </c>
      <c r="J140" s="37" t="s">
        <v>32</v>
      </c>
      <c r="K140" s="37">
        <v>21</v>
      </c>
      <c r="L140" s="26">
        <v>0.21</v>
      </c>
      <c r="M140" s="26">
        <v>5.0599999999999996</v>
      </c>
      <c r="N140" s="29">
        <f t="shared" si="56"/>
        <v>4.8499999999999996</v>
      </c>
      <c r="O140" s="58" t="str">
        <f t="shared" si="73"/>
        <v>OK</v>
      </c>
    </row>
    <row r="141" spans="1:15" x14ac:dyDescent="0.25">
      <c r="A141" s="54" t="s">
        <v>16</v>
      </c>
      <c r="B141" s="32">
        <v>4</v>
      </c>
      <c r="C141" s="32">
        <v>1066617</v>
      </c>
      <c r="D141" s="39">
        <v>45833</v>
      </c>
      <c r="E141" s="32" t="s">
        <v>15</v>
      </c>
      <c r="F141" s="32" t="str">
        <f t="shared" si="69"/>
        <v>M22</v>
      </c>
      <c r="G141" s="61" t="str">
        <f t="shared" si="70"/>
        <v>308</v>
      </c>
      <c r="H141" s="72" t="str">
        <f t="shared" si="75"/>
        <v>C6</v>
      </c>
      <c r="I141" s="72">
        <f t="shared" si="76"/>
        <v>1</v>
      </c>
      <c r="J141" s="37" t="s">
        <v>33</v>
      </c>
      <c r="K141" s="37">
        <v>22</v>
      </c>
      <c r="L141" s="26">
        <v>1.72</v>
      </c>
      <c r="M141" s="26">
        <v>4.75</v>
      </c>
      <c r="N141" s="29">
        <f t="shared" si="56"/>
        <v>3.0300000000000002</v>
      </c>
      <c r="O141" s="58" t="str">
        <f t="shared" si="73"/>
        <v>Reperfilado</v>
      </c>
    </row>
    <row r="142" spans="1:15" x14ac:dyDescent="0.25">
      <c r="A142" s="54" t="s">
        <v>16</v>
      </c>
      <c r="B142" s="32">
        <v>4</v>
      </c>
      <c r="C142" s="32">
        <v>1066617</v>
      </c>
      <c r="D142" s="39">
        <v>45833</v>
      </c>
      <c r="E142" s="32" t="s">
        <v>15</v>
      </c>
      <c r="F142" s="32" t="str">
        <f t="shared" si="69"/>
        <v>M22</v>
      </c>
      <c r="G142" s="61" t="str">
        <f t="shared" si="70"/>
        <v>308</v>
      </c>
      <c r="H142" s="72" t="str">
        <f t="shared" si="75"/>
        <v>C6</v>
      </c>
      <c r="I142" s="72">
        <f t="shared" si="76"/>
        <v>1</v>
      </c>
      <c r="J142" s="37" t="s">
        <v>34</v>
      </c>
      <c r="K142" s="37">
        <v>22</v>
      </c>
      <c r="L142" s="26">
        <v>1.1000000000000001</v>
      </c>
      <c r="M142" s="26">
        <v>1.73</v>
      </c>
      <c r="N142" s="29">
        <f t="shared" si="56"/>
        <v>0.62999999999999989</v>
      </c>
      <c r="O142" s="58" t="str">
        <f t="shared" si="73"/>
        <v>Seguimiento</v>
      </c>
    </row>
    <row r="143" spans="1:15" x14ac:dyDescent="0.25">
      <c r="A143" s="54" t="s">
        <v>16</v>
      </c>
      <c r="B143" s="32">
        <v>4</v>
      </c>
      <c r="C143" s="32">
        <v>1066617</v>
      </c>
      <c r="D143" s="39">
        <v>45833</v>
      </c>
      <c r="E143" s="32" t="s">
        <v>15</v>
      </c>
      <c r="F143" s="32" t="str">
        <f t="shared" si="69"/>
        <v>M22</v>
      </c>
      <c r="G143" s="61" t="str">
        <f t="shared" si="70"/>
        <v>308</v>
      </c>
      <c r="H143" s="72" t="str">
        <f t="shared" si="75"/>
        <v>C6</v>
      </c>
      <c r="I143" s="72">
        <v>2</v>
      </c>
      <c r="J143" s="37" t="s">
        <v>35</v>
      </c>
      <c r="K143" s="37">
        <v>23</v>
      </c>
      <c r="L143" s="26">
        <v>1.69</v>
      </c>
      <c r="M143" s="26">
        <v>2.5499999999999998</v>
      </c>
      <c r="N143" s="29">
        <f t="shared" si="56"/>
        <v>0.85999999999999988</v>
      </c>
      <c r="O143" s="58" t="str">
        <f t="shared" si="73"/>
        <v>Seguimiento</v>
      </c>
    </row>
    <row r="144" spans="1:15" x14ac:dyDescent="0.25">
      <c r="A144" s="54" t="s">
        <v>16</v>
      </c>
      <c r="B144" s="32">
        <v>4</v>
      </c>
      <c r="C144" s="32">
        <v>1066617</v>
      </c>
      <c r="D144" s="39">
        <v>45833</v>
      </c>
      <c r="E144" s="32" t="s">
        <v>15</v>
      </c>
      <c r="F144" s="32" t="str">
        <f t="shared" si="69"/>
        <v>M22</v>
      </c>
      <c r="G144" s="61" t="str">
        <f t="shared" si="70"/>
        <v>308</v>
      </c>
      <c r="H144" s="72" t="str">
        <f t="shared" si="75"/>
        <v>C6</v>
      </c>
      <c r="I144" s="72">
        <f t="shared" ref="I144:I146" si="77">I143</f>
        <v>2</v>
      </c>
      <c r="J144" s="37" t="s">
        <v>36</v>
      </c>
      <c r="K144" s="37">
        <v>23</v>
      </c>
      <c r="L144" s="26">
        <v>0.53</v>
      </c>
      <c r="M144" s="26">
        <v>4.79</v>
      </c>
      <c r="N144" s="29">
        <f t="shared" si="56"/>
        <v>4.26</v>
      </c>
      <c r="O144" s="58" t="str">
        <f t="shared" si="73"/>
        <v>OK</v>
      </c>
    </row>
    <row r="145" spans="1:15" x14ac:dyDescent="0.25">
      <c r="A145" s="54" t="s">
        <v>16</v>
      </c>
      <c r="B145" s="32">
        <v>4</v>
      </c>
      <c r="C145" s="32">
        <v>1066617</v>
      </c>
      <c r="D145" s="39">
        <v>45833</v>
      </c>
      <c r="E145" s="32" t="s">
        <v>15</v>
      </c>
      <c r="F145" s="32" t="str">
        <f t="shared" si="69"/>
        <v>M22</v>
      </c>
      <c r="G145" s="61" t="str">
        <f t="shared" si="70"/>
        <v>308</v>
      </c>
      <c r="H145" s="72" t="str">
        <f t="shared" si="75"/>
        <v>C6</v>
      </c>
      <c r="I145" s="72">
        <f t="shared" si="77"/>
        <v>2</v>
      </c>
      <c r="J145" s="37" t="s">
        <v>37</v>
      </c>
      <c r="K145" s="37">
        <v>24</v>
      </c>
      <c r="L145" s="26">
        <v>0.18</v>
      </c>
      <c r="M145" s="26">
        <v>5.04</v>
      </c>
      <c r="N145" s="29">
        <f t="shared" si="56"/>
        <v>4.8600000000000003</v>
      </c>
      <c r="O145" s="58" t="str">
        <f t="shared" si="73"/>
        <v>OK</v>
      </c>
    </row>
    <row r="146" spans="1:15" x14ac:dyDescent="0.25">
      <c r="A146" s="54" t="s">
        <v>16</v>
      </c>
      <c r="B146" s="32">
        <v>4</v>
      </c>
      <c r="C146" s="32">
        <v>1066617</v>
      </c>
      <c r="D146" s="39">
        <v>45833</v>
      </c>
      <c r="E146" s="32" t="s">
        <v>15</v>
      </c>
      <c r="F146" s="32" t="str">
        <f t="shared" si="69"/>
        <v>M22</v>
      </c>
      <c r="G146" s="61" t="str">
        <f t="shared" si="70"/>
        <v>308</v>
      </c>
      <c r="H146" s="72" t="str">
        <f t="shared" si="75"/>
        <v>C6</v>
      </c>
      <c r="I146" s="72">
        <f t="shared" si="77"/>
        <v>2</v>
      </c>
      <c r="J146" s="37" t="s">
        <v>38</v>
      </c>
      <c r="K146" s="37">
        <v>24</v>
      </c>
      <c r="L146" s="26">
        <v>0.45</v>
      </c>
      <c r="M146" s="26">
        <v>4.72</v>
      </c>
      <c r="N146" s="29">
        <f t="shared" si="56"/>
        <v>4.2699999999999996</v>
      </c>
      <c r="O146" s="58" t="str">
        <f t="shared" si="73"/>
        <v>OK</v>
      </c>
    </row>
    <row r="147" spans="1:15" x14ac:dyDescent="0.25">
      <c r="A147" s="54" t="s">
        <v>16</v>
      </c>
      <c r="B147" s="32">
        <v>4</v>
      </c>
      <c r="C147" s="32">
        <v>1066617</v>
      </c>
      <c r="D147" s="39">
        <v>45833</v>
      </c>
      <c r="E147" s="32" t="s">
        <v>15</v>
      </c>
      <c r="F147" s="32" t="s">
        <v>44</v>
      </c>
      <c r="G147" s="61" t="s">
        <v>68</v>
      </c>
      <c r="H147" s="72" t="s">
        <v>47</v>
      </c>
      <c r="I147" s="72">
        <v>2</v>
      </c>
      <c r="J147" s="37" t="s">
        <v>31</v>
      </c>
      <c r="K147" s="37">
        <v>25</v>
      </c>
      <c r="L147" s="26">
        <v>0.43</v>
      </c>
      <c r="M147" s="26">
        <v>2.2999999999999998</v>
      </c>
      <c r="N147" s="29">
        <f t="shared" si="56"/>
        <v>1.8699999999999999</v>
      </c>
      <c r="O147" s="58" t="str">
        <f t="shared" si="73"/>
        <v>OK</v>
      </c>
    </row>
    <row r="148" spans="1:15" x14ac:dyDescent="0.25">
      <c r="A148" s="54" t="s">
        <v>16</v>
      </c>
      <c r="B148" s="32">
        <v>4</v>
      </c>
      <c r="C148" s="32">
        <v>1066617</v>
      </c>
      <c r="D148" s="39">
        <v>45833</v>
      </c>
      <c r="E148" s="32" t="s">
        <v>15</v>
      </c>
      <c r="F148" s="32" t="str">
        <f t="shared" ref="F148:F162" si="78">F147</f>
        <v>M22</v>
      </c>
      <c r="G148" s="61" t="str">
        <f t="shared" ref="G148:G162" si="79">G147</f>
        <v>309</v>
      </c>
      <c r="H148" s="72" t="str">
        <f t="shared" ref="H148:H154" si="80">H147</f>
        <v>C6</v>
      </c>
      <c r="I148" s="72">
        <f t="shared" ref="I148:I150" si="81">I147</f>
        <v>2</v>
      </c>
      <c r="J148" s="37" t="s">
        <v>32</v>
      </c>
      <c r="K148" s="37">
        <v>25</v>
      </c>
      <c r="L148" s="26">
        <v>0.61</v>
      </c>
      <c r="M148" s="26">
        <v>4.72</v>
      </c>
      <c r="N148" s="29">
        <f t="shared" si="56"/>
        <v>4.1099999999999994</v>
      </c>
      <c r="O148" s="58" t="str">
        <f t="shared" si="73"/>
        <v>OK</v>
      </c>
    </row>
    <row r="149" spans="1:15" x14ac:dyDescent="0.25">
      <c r="A149" s="54" t="s">
        <v>16</v>
      </c>
      <c r="B149" s="32">
        <v>4</v>
      </c>
      <c r="C149" s="32">
        <v>1066617</v>
      </c>
      <c r="D149" s="39">
        <v>45833</v>
      </c>
      <c r="E149" s="32" t="s">
        <v>15</v>
      </c>
      <c r="F149" s="32" t="str">
        <f t="shared" si="78"/>
        <v>M22</v>
      </c>
      <c r="G149" s="61" t="str">
        <f t="shared" si="79"/>
        <v>309</v>
      </c>
      <c r="H149" s="72" t="str">
        <f t="shared" si="80"/>
        <v>C6</v>
      </c>
      <c r="I149" s="72">
        <f t="shared" si="81"/>
        <v>2</v>
      </c>
      <c r="J149" s="37" t="s">
        <v>33</v>
      </c>
      <c r="K149" s="37">
        <v>26</v>
      </c>
      <c r="L149" s="26">
        <v>0.93</v>
      </c>
      <c r="M149" s="26">
        <v>5.0599999999999996</v>
      </c>
      <c r="N149" s="29">
        <f t="shared" si="56"/>
        <v>4.13</v>
      </c>
      <c r="O149" s="58" t="str">
        <f t="shared" si="73"/>
        <v>OK</v>
      </c>
    </row>
    <row r="150" spans="1:15" x14ac:dyDescent="0.25">
      <c r="A150" s="54" t="s">
        <v>16</v>
      </c>
      <c r="B150" s="32">
        <v>4</v>
      </c>
      <c r="C150" s="32">
        <v>1066617</v>
      </c>
      <c r="D150" s="39">
        <v>45833</v>
      </c>
      <c r="E150" s="32" t="s">
        <v>15</v>
      </c>
      <c r="F150" s="32" t="str">
        <f t="shared" si="78"/>
        <v>M22</v>
      </c>
      <c r="G150" s="61" t="str">
        <f t="shared" si="79"/>
        <v>309</v>
      </c>
      <c r="H150" s="72" t="str">
        <f t="shared" si="80"/>
        <v>C6</v>
      </c>
      <c r="I150" s="72">
        <f t="shared" si="81"/>
        <v>2</v>
      </c>
      <c r="J150" s="37" t="s">
        <v>34</v>
      </c>
      <c r="K150" s="37">
        <v>26</v>
      </c>
      <c r="L150" s="26">
        <v>0.98</v>
      </c>
      <c r="M150" s="26">
        <v>4.16</v>
      </c>
      <c r="N150" s="29">
        <f t="shared" si="56"/>
        <v>3.18</v>
      </c>
      <c r="O150" s="58" t="str">
        <f t="shared" si="73"/>
        <v>OK</v>
      </c>
    </row>
    <row r="151" spans="1:15" x14ac:dyDescent="0.25">
      <c r="A151" s="54" t="s">
        <v>16</v>
      </c>
      <c r="B151" s="32">
        <v>4</v>
      </c>
      <c r="C151" s="32">
        <v>1066617</v>
      </c>
      <c r="D151" s="39">
        <v>45833</v>
      </c>
      <c r="E151" s="32" t="s">
        <v>15</v>
      </c>
      <c r="F151" s="32" t="str">
        <f t="shared" si="78"/>
        <v>M22</v>
      </c>
      <c r="G151" s="61" t="str">
        <f t="shared" si="79"/>
        <v>309</v>
      </c>
      <c r="H151" s="72" t="str">
        <f t="shared" si="80"/>
        <v>C6</v>
      </c>
      <c r="I151" s="72">
        <v>1</v>
      </c>
      <c r="J151" s="37" t="s">
        <v>35</v>
      </c>
      <c r="K151" s="37">
        <v>27</v>
      </c>
      <c r="L151" s="26">
        <v>1.8</v>
      </c>
      <c r="M151" s="26">
        <v>3.78</v>
      </c>
      <c r="N151" s="29">
        <f t="shared" si="56"/>
        <v>1.9799999999999998</v>
      </c>
      <c r="O151" s="58" t="str">
        <f t="shared" si="73"/>
        <v>Reperfilado</v>
      </c>
    </row>
    <row r="152" spans="1:15" x14ac:dyDescent="0.25">
      <c r="A152" s="54" t="s">
        <v>16</v>
      </c>
      <c r="B152" s="32">
        <v>4</v>
      </c>
      <c r="C152" s="32">
        <v>1066617</v>
      </c>
      <c r="D152" s="39">
        <v>45833</v>
      </c>
      <c r="E152" s="32" t="s">
        <v>15</v>
      </c>
      <c r="F152" s="32" t="str">
        <f t="shared" si="78"/>
        <v>M22</v>
      </c>
      <c r="G152" s="61" t="str">
        <f t="shared" si="79"/>
        <v>309</v>
      </c>
      <c r="H152" s="72" t="str">
        <f t="shared" si="80"/>
        <v>C6</v>
      </c>
      <c r="I152" s="72">
        <f t="shared" ref="I152:I154" si="82">I151</f>
        <v>1</v>
      </c>
      <c r="J152" s="37" t="s">
        <v>36</v>
      </c>
      <c r="K152" s="37">
        <v>27</v>
      </c>
      <c r="L152" s="26">
        <v>1.24</v>
      </c>
      <c r="M152" s="26">
        <v>3.2</v>
      </c>
      <c r="N152" s="29">
        <f t="shared" si="56"/>
        <v>1.9600000000000002</v>
      </c>
      <c r="O152" s="58" t="str">
        <f t="shared" si="73"/>
        <v>OK</v>
      </c>
    </row>
    <row r="153" spans="1:15" x14ac:dyDescent="0.25">
      <c r="A153" s="54" t="s">
        <v>16</v>
      </c>
      <c r="B153" s="32">
        <v>4</v>
      </c>
      <c r="C153" s="32">
        <v>1066617</v>
      </c>
      <c r="D153" s="39">
        <v>45833</v>
      </c>
      <c r="E153" s="32" t="s">
        <v>15</v>
      </c>
      <c r="F153" s="32" t="str">
        <f t="shared" si="78"/>
        <v>M22</v>
      </c>
      <c r="G153" s="61" t="str">
        <f t="shared" si="79"/>
        <v>309</v>
      </c>
      <c r="H153" s="72" t="str">
        <f t="shared" si="80"/>
        <v>C6</v>
      </c>
      <c r="I153" s="72">
        <f t="shared" si="82"/>
        <v>1</v>
      </c>
      <c r="J153" s="37" t="s">
        <v>37</v>
      </c>
      <c r="K153" s="37">
        <v>28</v>
      </c>
      <c r="L153" s="26">
        <v>0.86</v>
      </c>
      <c r="M153" s="26">
        <v>2.74</v>
      </c>
      <c r="N153" s="29">
        <f t="shared" si="56"/>
        <v>1.8800000000000003</v>
      </c>
      <c r="O153" s="58" t="str">
        <f t="shared" si="73"/>
        <v>OK</v>
      </c>
    </row>
    <row r="154" spans="1:15" x14ac:dyDescent="0.25">
      <c r="A154" s="54" t="s">
        <v>16</v>
      </c>
      <c r="B154" s="32">
        <v>4</v>
      </c>
      <c r="C154" s="32">
        <v>1066617</v>
      </c>
      <c r="D154" s="39">
        <v>45833</v>
      </c>
      <c r="E154" s="32" t="s">
        <v>15</v>
      </c>
      <c r="F154" s="32" t="str">
        <f t="shared" si="78"/>
        <v>M22</v>
      </c>
      <c r="G154" s="61" t="str">
        <f t="shared" si="79"/>
        <v>309</v>
      </c>
      <c r="H154" s="72" t="str">
        <f t="shared" si="80"/>
        <v>C6</v>
      </c>
      <c r="I154" s="72">
        <f t="shared" si="82"/>
        <v>1</v>
      </c>
      <c r="J154" s="37" t="s">
        <v>38</v>
      </c>
      <c r="K154" s="37">
        <v>28</v>
      </c>
      <c r="L154" s="26">
        <v>0.84</v>
      </c>
      <c r="M154" s="26">
        <v>3.86</v>
      </c>
      <c r="N154" s="29">
        <f t="shared" si="56"/>
        <v>3.02</v>
      </c>
      <c r="O154" s="58" t="str">
        <f t="shared" si="73"/>
        <v>OK</v>
      </c>
    </row>
    <row r="155" spans="1:15" x14ac:dyDescent="0.25">
      <c r="A155" s="54" t="s">
        <v>16</v>
      </c>
      <c r="B155" s="32">
        <v>4</v>
      </c>
      <c r="C155" s="32">
        <v>1066617</v>
      </c>
      <c r="D155" s="39">
        <v>45833</v>
      </c>
      <c r="E155" s="32" t="s">
        <v>15</v>
      </c>
      <c r="F155" s="32" t="str">
        <f t="shared" si="78"/>
        <v>M22</v>
      </c>
      <c r="G155" s="61" t="str">
        <f t="shared" si="79"/>
        <v>309</v>
      </c>
      <c r="H155" s="72" t="s">
        <v>46</v>
      </c>
      <c r="I155" s="72">
        <v>2</v>
      </c>
      <c r="J155" s="37" t="s">
        <v>31</v>
      </c>
      <c r="K155" s="37">
        <v>29</v>
      </c>
      <c r="L155" s="26">
        <v>1.1299999999999999</v>
      </c>
      <c r="M155" s="26">
        <v>2.04</v>
      </c>
      <c r="N155" s="29">
        <f t="shared" si="56"/>
        <v>0.91000000000000014</v>
      </c>
      <c r="O155" s="58" t="str">
        <f t="shared" si="73"/>
        <v>Seguimiento</v>
      </c>
    </row>
    <row r="156" spans="1:15" x14ac:dyDescent="0.25">
      <c r="A156" s="54" t="s">
        <v>16</v>
      </c>
      <c r="B156" s="32">
        <v>4</v>
      </c>
      <c r="C156" s="32">
        <v>1066617</v>
      </c>
      <c r="D156" s="39">
        <v>45833</v>
      </c>
      <c r="E156" s="32" t="s">
        <v>15</v>
      </c>
      <c r="F156" s="32" t="str">
        <f t="shared" si="78"/>
        <v>M22</v>
      </c>
      <c r="G156" s="61" t="str">
        <f t="shared" si="79"/>
        <v>309</v>
      </c>
      <c r="H156" s="72" t="str">
        <f t="shared" ref="H156:H162" si="83">H155</f>
        <v>C5</v>
      </c>
      <c r="I156" s="72">
        <f t="shared" ref="I156:I158" si="84">I155</f>
        <v>2</v>
      </c>
      <c r="J156" s="37" t="s">
        <v>32</v>
      </c>
      <c r="K156" s="37">
        <v>29</v>
      </c>
      <c r="L156" s="26">
        <v>0.57999999999999996</v>
      </c>
      <c r="M156" s="26">
        <v>1.48</v>
      </c>
      <c r="N156" s="29">
        <f t="shared" si="56"/>
        <v>0.9</v>
      </c>
      <c r="O156" s="58" t="str">
        <f t="shared" si="73"/>
        <v>Seguimiento</v>
      </c>
    </row>
    <row r="157" spans="1:15" x14ac:dyDescent="0.25">
      <c r="A157" s="54" t="s">
        <v>16</v>
      </c>
      <c r="B157" s="32">
        <v>4</v>
      </c>
      <c r="C157" s="32">
        <v>1066617</v>
      </c>
      <c r="D157" s="39">
        <v>45833</v>
      </c>
      <c r="E157" s="32" t="s">
        <v>15</v>
      </c>
      <c r="F157" s="32" t="str">
        <f t="shared" si="78"/>
        <v>M22</v>
      </c>
      <c r="G157" s="61" t="str">
        <f t="shared" si="79"/>
        <v>309</v>
      </c>
      <c r="H157" s="72" t="str">
        <f t="shared" si="83"/>
        <v>C5</v>
      </c>
      <c r="I157" s="72">
        <f t="shared" si="84"/>
        <v>2</v>
      </c>
      <c r="J157" s="37" t="s">
        <v>33</v>
      </c>
      <c r="K157" s="37">
        <v>30</v>
      </c>
      <c r="L157" s="26">
        <v>0.75</v>
      </c>
      <c r="M157" s="26">
        <v>4.95</v>
      </c>
      <c r="N157" s="29">
        <f t="shared" si="56"/>
        <v>4.2</v>
      </c>
      <c r="O157" s="58" t="str">
        <f t="shared" si="73"/>
        <v>OK</v>
      </c>
    </row>
    <row r="158" spans="1:15" x14ac:dyDescent="0.25">
      <c r="A158" s="54" t="s">
        <v>16</v>
      </c>
      <c r="B158" s="32">
        <v>4</v>
      </c>
      <c r="C158" s="32">
        <v>1066617</v>
      </c>
      <c r="D158" s="39">
        <v>45833</v>
      </c>
      <c r="E158" s="32" t="s">
        <v>15</v>
      </c>
      <c r="F158" s="32" t="str">
        <f t="shared" si="78"/>
        <v>M22</v>
      </c>
      <c r="G158" s="61" t="str">
        <f t="shared" si="79"/>
        <v>309</v>
      </c>
      <c r="H158" s="72" t="str">
        <f t="shared" si="83"/>
        <v>C5</v>
      </c>
      <c r="I158" s="72">
        <f t="shared" si="84"/>
        <v>2</v>
      </c>
      <c r="J158" s="37" t="s">
        <v>34</v>
      </c>
      <c r="K158" s="37">
        <v>30</v>
      </c>
      <c r="L158" s="26">
        <v>0.51</v>
      </c>
      <c r="M158" s="26">
        <v>4.92</v>
      </c>
      <c r="N158" s="29">
        <f t="shared" si="56"/>
        <v>4.41</v>
      </c>
      <c r="O158" s="58" t="str">
        <f t="shared" si="73"/>
        <v>OK</v>
      </c>
    </row>
    <row r="159" spans="1:15" x14ac:dyDescent="0.25">
      <c r="A159" s="54" t="s">
        <v>16</v>
      </c>
      <c r="B159" s="32">
        <v>4</v>
      </c>
      <c r="C159" s="32">
        <v>1066617</v>
      </c>
      <c r="D159" s="39">
        <v>45833</v>
      </c>
      <c r="E159" s="32" t="s">
        <v>15</v>
      </c>
      <c r="F159" s="32" t="str">
        <f t="shared" si="78"/>
        <v>M22</v>
      </c>
      <c r="G159" s="61" t="str">
        <f t="shared" si="79"/>
        <v>309</v>
      </c>
      <c r="H159" s="72" t="str">
        <f t="shared" si="83"/>
        <v>C5</v>
      </c>
      <c r="I159" s="72">
        <v>1</v>
      </c>
      <c r="J159" s="37" t="s">
        <v>35</v>
      </c>
      <c r="K159" s="37">
        <v>31</v>
      </c>
      <c r="L159" s="26">
        <v>1.44</v>
      </c>
      <c r="M159" s="26">
        <v>4.7</v>
      </c>
      <c r="N159" s="29">
        <f t="shared" si="56"/>
        <v>3.2600000000000002</v>
      </c>
      <c r="O159" s="58" t="str">
        <f t="shared" si="73"/>
        <v>OK</v>
      </c>
    </row>
    <row r="160" spans="1:15" x14ac:dyDescent="0.25">
      <c r="A160" s="54" t="s">
        <v>16</v>
      </c>
      <c r="B160" s="32">
        <v>4</v>
      </c>
      <c r="C160" s="32">
        <v>1066617</v>
      </c>
      <c r="D160" s="39">
        <v>45833</v>
      </c>
      <c r="E160" s="32" t="s">
        <v>15</v>
      </c>
      <c r="F160" s="32" t="str">
        <f t="shared" si="78"/>
        <v>M22</v>
      </c>
      <c r="G160" s="61" t="str">
        <f t="shared" si="79"/>
        <v>309</v>
      </c>
      <c r="H160" s="72" t="str">
        <f t="shared" si="83"/>
        <v>C5</v>
      </c>
      <c r="I160" s="72">
        <f t="shared" ref="I160:I162" si="85">I159</f>
        <v>1</v>
      </c>
      <c r="J160" s="37" t="s">
        <v>36</v>
      </c>
      <c r="K160" s="37">
        <v>31</v>
      </c>
      <c r="L160" s="26">
        <v>0.88</v>
      </c>
      <c r="M160" s="26">
        <v>4.83</v>
      </c>
      <c r="N160" s="29">
        <f t="shared" si="56"/>
        <v>3.95</v>
      </c>
      <c r="O160" s="58" t="str">
        <f t="shared" si="73"/>
        <v>OK</v>
      </c>
    </row>
    <row r="161" spans="1:15" x14ac:dyDescent="0.25">
      <c r="A161" s="54" t="s">
        <v>16</v>
      </c>
      <c r="B161" s="32">
        <v>4</v>
      </c>
      <c r="C161" s="32">
        <v>1066617</v>
      </c>
      <c r="D161" s="39">
        <v>45833</v>
      </c>
      <c r="E161" s="32" t="s">
        <v>15</v>
      </c>
      <c r="F161" s="32" t="str">
        <f t="shared" si="78"/>
        <v>M22</v>
      </c>
      <c r="G161" s="61" t="str">
        <f t="shared" si="79"/>
        <v>309</v>
      </c>
      <c r="H161" s="72" t="str">
        <f t="shared" si="83"/>
        <v>C5</v>
      </c>
      <c r="I161" s="72">
        <f t="shared" si="85"/>
        <v>1</v>
      </c>
      <c r="J161" s="37" t="s">
        <v>37</v>
      </c>
      <c r="K161" s="37">
        <v>32</v>
      </c>
      <c r="L161" s="26">
        <v>0.51</v>
      </c>
      <c r="M161" s="26">
        <v>5.04</v>
      </c>
      <c r="N161" s="29">
        <f t="shared" si="56"/>
        <v>4.53</v>
      </c>
      <c r="O161" s="58" t="str">
        <f t="shared" si="73"/>
        <v>OK</v>
      </c>
    </row>
    <row r="162" spans="1:15" x14ac:dyDescent="0.25">
      <c r="A162" s="54" t="s">
        <v>16</v>
      </c>
      <c r="B162" s="32">
        <v>4</v>
      </c>
      <c r="C162" s="32">
        <v>1066617</v>
      </c>
      <c r="D162" s="39">
        <v>45833</v>
      </c>
      <c r="E162" s="32" t="s">
        <v>15</v>
      </c>
      <c r="F162" s="32" t="str">
        <f t="shared" si="78"/>
        <v>M22</v>
      </c>
      <c r="G162" s="61" t="str">
        <f t="shared" si="79"/>
        <v>309</v>
      </c>
      <c r="H162" s="72" t="str">
        <f t="shared" si="83"/>
        <v>C5</v>
      </c>
      <c r="I162" s="72">
        <f t="shared" si="85"/>
        <v>1</v>
      </c>
      <c r="J162" s="37" t="s">
        <v>38</v>
      </c>
      <c r="K162" s="37">
        <v>32</v>
      </c>
      <c r="L162" s="26">
        <v>0.85</v>
      </c>
      <c r="M162" s="26">
        <v>1.54</v>
      </c>
      <c r="N162" s="29">
        <f t="shared" si="56"/>
        <v>0.69000000000000006</v>
      </c>
      <c r="O162" s="58" t="str">
        <f t="shared" si="73"/>
        <v>Seguimiento</v>
      </c>
    </row>
    <row r="163" spans="1:15" x14ac:dyDescent="0.25">
      <c r="A163" s="54" t="s">
        <v>16</v>
      </c>
      <c r="B163" s="32">
        <v>4</v>
      </c>
      <c r="C163" s="32">
        <v>1066617</v>
      </c>
      <c r="D163" s="39">
        <v>45833</v>
      </c>
      <c r="E163" s="32" t="s">
        <v>15</v>
      </c>
      <c r="F163" s="32" t="s">
        <v>40</v>
      </c>
      <c r="G163" s="61" t="s">
        <v>69</v>
      </c>
      <c r="H163" s="72" t="s">
        <v>43</v>
      </c>
      <c r="I163" s="72">
        <v>2</v>
      </c>
      <c r="J163" s="37" t="s">
        <v>31</v>
      </c>
      <c r="K163" s="37">
        <v>33</v>
      </c>
      <c r="L163" s="26">
        <v>0.09</v>
      </c>
      <c r="M163" s="26">
        <v>4.8600000000000003</v>
      </c>
      <c r="N163" s="29">
        <f t="shared" si="56"/>
        <v>4.7700000000000005</v>
      </c>
      <c r="O163" s="58" t="str">
        <f t="shared" si="73"/>
        <v>OK</v>
      </c>
    </row>
    <row r="164" spans="1:15" x14ac:dyDescent="0.25">
      <c r="A164" s="54" t="s">
        <v>16</v>
      </c>
      <c r="B164" s="32">
        <v>4</v>
      </c>
      <c r="C164" s="32">
        <v>1066617</v>
      </c>
      <c r="D164" s="39">
        <v>45833</v>
      </c>
      <c r="E164" s="32" t="s">
        <v>15</v>
      </c>
      <c r="F164" s="32" t="str">
        <f t="shared" ref="F164:F178" si="86">F163</f>
        <v>M21</v>
      </c>
      <c r="G164" s="61" t="str">
        <f t="shared" ref="G164:G178" si="87">G163</f>
        <v>016</v>
      </c>
      <c r="H164" s="72" t="str">
        <f t="shared" ref="H164:H170" si="88">H163</f>
        <v>C4</v>
      </c>
      <c r="I164" s="72">
        <f t="shared" ref="I164:I166" si="89">I163</f>
        <v>2</v>
      </c>
      <c r="J164" s="37" t="s">
        <v>32</v>
      </c>
      <c r="K164" s="37">
        <v>33</v>
      </c>
      <c r="L164" s="26">
        <v>1.07</v>
      </c>
      <c r="M164" s="26">
        <v>3.32</v>
      </c>
      <c r="N164" s="29">
        <f t="shared" ref="N164:N194" si="90">+M164-L164</f>
        <v>2.25</v>
      </c>
      <c r="O164" s="58" t="str">
        <f t="shared" si="73"/>
        <v>OK</v>
      </c>
    </row>
    <row r="165" spans="1:15" x14ac:dyDescent="0.25">
      <c r="A165" s="54" t="s">
        <v>16</v>
      </c>
      <c r="B165" s="32">
        <v>4</v>
      </c>
      <c r="C165" s="32">
        <v>1066617</v>
      </c>
      <c r="D165" s="39">
        <v>45833</v>
      </c>
      <c r="E165" s="32" t="s">
        <v>15</v>
      </c>
      <c r="F165" s="32" t="str">
        <f t="shared" si="86"/>
        <v>M21</v>
      </c>
      <c r="G165" s="61" t="str">
        <f t="shared" si="87"/>
        <v>016</v>
      </c>
      <c r="H165" s="72" t="str">
        <f t="shared" si="88"/>
        <v>C4</v>
      </c>
      <c r="I165" s="72">
        <f t="shared" si="89"/>
        <v>2</v>
      </c>
      <c r="J165" s="37" t="s">
        <v>33</v>
      </c>
      <c r="K165" s="37">
        <v>34</v>
      </c>
      <c r="L165" s="26">
        <v>0.15</v>
      </c>
      <c r="M165" s="26">
        <v>2.0699999999999998</v>
      </c>
      <c r="N165" s="29">
        <f t="shared" si="90"/>
        <v>1.92</v>
      </c>
      <c r="O165" s="58" t="str">
        <f t="shared" si="73"/>
        <v>OK</v>
      </c>
    </row>
    <row r="166" spans="1:15" x14ac:dyDescent="0.25">
      <c r="A166" s="54" t="s">
        <v>16</v>
      </c>
      <c r="B166" s="32">
        <v>4</v>
      </c>
      <c r="C166" s="32">
        <v>1066617</v>
      </c>
      <c r="D166" s="39">
        <v>45833</v>
      </c>
      <c r="E166" s="32" t="s">
        <v>15</v>
      </c>
      <c r="F166" s="32" t="str">
        <f t="shared" si="86"/>
        <v>M21</v>
      </c>
      <c r="G166" s="61" t="str">
        <f t="shared" si="87"/>
        <v>016</v>
      </c>
      <c r="H166" s="72" t="str">
        <f t="shared" si="88"/>
        <v>C4</v>
      </c>
      <c r="I166" s="72">
        <f t="shared" si="89"/>
        <v>2</v>
      </c>
      <c r="J166" s="37" t="s">
        <v>34</v>
      </c>
      <c r="K166" s="37">
        <v>34</v>
      </c>
      <c r="L166" s="26">
        <v>0.38</v>
      </c>
      <c r="M166" s="26">
        <v>1.29</v>
      </c>
      <c r="N166" s="29">
        <f t="shared" si="90"/>
        <v>0.91</v>
      </c>
      <c r="O166" s="58" t="str">
        <f t="shared" si="73"/>
        <v>Seguimiento</v>
      </c>
    </row>
    <row r="167" spans="1:15" x14ac:dyDescent="0.25">
      <c r="A167" s="54" t="s">
        <v>16</v>
      </c>
      <c r="B167" s="32">
        <v>4</v>
      </c>
      <c r="C167" s="32">
        <v>1066617</v>
      </c>
      <c r="D167" s="39">
        <v>45833</v>
      </c>
      <c r="E167" s="32" t="s">
        <v>15</v>
      </c>
      <c r="F167" s="32" t="str">
        <f t="shared" si="86"/>
        <v>M21</v>
      </c>
      <c r="G167" s="61" t="str">
        <f t="shared" si="87"/>
        <v>016</v>
      </c>
      <c r="H167" s="72" t="str">
        <f t="shared" si="88"/>
        <v>C4</v>
      </c>
      <c r="I167" s="72">
        <v>1</v>
      </c>
      <c r="J167" s="37" t="s">
        <v>35</v>
      </c>
      <c r="K167" s="37">
        <v>35</v>
      </c>
      <c r="L167" s="26">
        <v>0.09</v>
      </c>
      <c r="M167" s="26">
        <v>4.83</v>
      </c>
      <c r="N167" s="29">
        <f t="shared" si="90"/>
        <v>4.74</v>
      </c>
      <c r="O167" s="58" t="str">
        <f t="shared" si="73"/>
        <v>OK</v>
      </c>
    </row>
    <row r="168" spans="1:15" x14ac:dyDescent="0.25">
      <c r="A168" s="54" t="s">
        <v>16</v>
      </c>
      <c r="B168" s="32">
        <v>4</v>
      </c>
      <c r="C168" s="32">
        <v>1066617</v>
      </c>
      <c r="D168" s="39">
        <v>45833</v>
      </c>
      <c r="E168" s="32" t="s">
        <v>15</v>
      </c>
      <c r="F168" s="32" t="str">
        <f t="shared" si="86"/>
        <v>M21</v>
      </c>
      <c r="G168" s="61" t="str">
        <f t="shared" si="87"/>
        <v>016</v>
      </c>
      <c r="H168" s="72" t="str">
        <f t="shared" si="88"/>
        <v>C4</v>
      </c>
      <c r="I168" s="72">
        <f t="shared" ref="I168:I170" si="91">I167</f>
        <v>1</v>
      </c>
      <c r="J168" s="37" t="s">
        <v>36</v>
      </c>
      <c r="K168" s="37">
        <v>35</v>
      </c>
      <c r="L168" s="26">
        <v>0.48</v>
      </c>
      <c r="M168" s="26">
        <v>2.42</v>
      </c>
      <c r="N168" s="29">
        <f t="shared" si="90"/>
        <v>1.94</v>
      </c>
      <c r="O168" s="58" t="str">
        <f t="shared" si="73"/>
        <v>OK</v>
      </c>
    </row>
    <row r="169" spans="1:15" x14ac:dyDescent="0.25">
      <c r="A169" s="54" t="s">
        <v>16</v>
      </c>
      <c r="B169" s="32">
        <v>4</v>
      </c>
      <c r="C169" s="32">
        <v>1066617</v>
      </c>
      <c r="D169" s="39">
        <v>45833</v>
      </c>
      <c r="E169" s="32" t="s">
        <v>15</v>
      </c>
      <c r="F169" s="32" t="str">
        <f t="shared" si="86"/>
        <v>M21</v>
      </c>
      <c r="G169" s="61" t="str">
        <f t="shared" si="87"/>
        <v>016</v>
      </c>
      <c r="H169" s="72" t="str">
        <f t="shared" si="88"/>
        <v>C4</v>
      </c>
      <c r="I169" s="72">
        <f t="shared" si="91"/>
        <v>1</v>
      </c>
      <c r="J169" s="37" t="s">
        <v>37</v>
      </c>
      <c r="K169" s="37">
        <v>36</v>
      </c>
      <c r="L169" s="26">
        <v>1.1499999999999999</v>
      </c>
      <c r="M169" s="26">
        <v>2.76</v>
      </c>
      <c r="N169" s="29">
        <f t="shared" si="90"/>
        <v>1.6099999999999999</v>
      </c>
      <c r="O169" s="58" t="str">
        <f t="shared" si="73"/>
        <v>OK</v>
      </c>
    </row>
    <row r="170" spans="1:15" x14ac:dyDescent="0.25">
      <c r="A170" s="54" t="s">
        <v>16</v>
      </c>
      <c r="B170" s="32">
        <v>4</v>
      </c>
      <c r="C170" s="32">
        <v>1066617</v>
      </c>
      <c r="D170" s="39">
        <v>45833</v>
      </c>
      <c r="E170" s="32" t="s">
        <v>15</v>
      </c>
      <c r="F170" s="32" t="str">
        <f t="shared" si="86"/>
        <v>M21</v>
      </c>
      <c r="G170" s="61" t="str">
        <f t="shared" si="87"/>
        <v>016</v>
      </c>
      <c r="H170" s="72" t="str">
        <f t="shared" si="88"/>
        <v>C4</v>
      </c>
      <c r="I170" s="72">
        <f t="shared" si="91"/>
        <v>1</v>
      </c>
      <c r="J170" s="37" t="s">
        <v>38</v>
      </c>
      <c r="K170" s="37">
        <v>36</v>
      </c>
      <c r="L170" s="26">
        <v>7.0000000000000007E-2</v>
      </c>
      <c r="M170" s="26">
        <v>4.87</v>
      </c>
      <c r="N170" s="29">
        <f t="shared" si="90"/>
        <v>4.8</v>
      </c>
      <c r="O170" s="58" t="str">
        <f t="shared" si="73"/>
        <v>OK</v>
      </c>
    </row>
    <row r="171" spans="1:15" x14ac:dyDescent="0.25">
      <c r="A171" s="54" t="s">
        <v>16</v>
      </c>
      <c r="B171" s="32">
        <v>4</v>
      </c>
      <c r="C171" s="32">
        <v>1066617</v>
      </c>
      <c r="D171" s="39">
        <v>45833</v>
      </c>
      <c r="E171" s="32" t="s">
        <v>15</v>
      </c>
      <c r="F171" s="32" t="str">
        <f t="shared" si="86"/>
        <v>M21</v>
      </c>
      <c r="G171" s="61" t="str">
        <f t="shared" si="87"/>
        <v>016</v>
      </c>
      <c r="H171" s="72" t="s">
        <v>42</v>
      </c>
      <c r="I171" s="72">
        <v>2</v>
      </c>
      <c r="J171" s="37" t="s">
        <v>31</v>
      </c>
      <c r="K171" s="37">
        <v>37</v>
      </c>
      <c r="L171" s="26">
        <v>0.12</v>
      </c>
      <c r="M171" s="26">
        <v>4.8600000000000003</v>
      </c>
      <c r="N171" s="29">
        <f t="shared" si="90"/>
        <v>4.74</v>
      </c>
      <c r="O171" s="58" t="str">
        <f t="shared" si="73"/>
        <v>OK</v>
      </c>
    </row>
    <row r="172" spans="1:15" x14ac:dyDescent="0.25">
      <c r="A172" s="54" t="s">
        <v>16</v>
      </c>
      <c r="B172" s="32">
        <v>4</v>
      </c>
      <c r="C172" s="32">
        <v>1066617</v>
      </c>
      <c r="D172" s="39">
        <v>45833</v>
      </c>
      <c r="E172" s="32" t="s">
        <v>15</v>
      </c>
      <c r="F172" s="32" t="str">
        <f t="shared" si="86"/>
        <v>M21</v>
      </c>
      <c r="G172" s="61" t="str">
        <f t="shared" si="87"/>
        <v>016</v>
      </c>
      <c r="H172" s="72" t="str">
        <f t="shared" ref="H172:H178" si="92">H171</f>
        <v>C3</v>
      </c>
      <c r="I172" s="72">
        <f t="shared" ref="I172:I174" si="93">I171</f>
        <v>2</v>
      </c>
      <c r="J172" s="37" t="s">
        <v>32</v>
      </c>
      <c r="K172" s="37">
        <v>37</v>
      </c>
      <c r="L172" s="26">
        <v>0.14000000000000001</v>
      </c>
      <c r="M172" s="26">
        <v>2.2599999999999998</v>
      </c>
      <c r="N172" s="29">
        <f t="shared" si="90"/>
        <v>2.1199999999999997</v>
      </c>
      <c r="O172" s="58" t="str">
        <f t="shared" si="73"/>
        <v>OK</v>
      </c>
    </row>
    <row r="173" spans="1:15" x14ac:dyDescent="0.25">
      <c r="A173" s="54" t="s">
        <v>16</v>
      </c>
      <c r="B173" s="32">
        <v>4</v>
      </c>
      <c r="C173" s="32">
        <v>1066617</v>
      </c>
      <c r="D173" s="39">
        <v>45833</v>
      </c>
      <c r="E173" s="32" t="s">
        <v>15</v>
      </c>
      <c r="F173" s="32" t="str">
        <f t="shared" si="86"/>
        <v>M21</v>
      </c>
      <c r="G173" s="61" t="str">
        <f t="shared" si="87"/>
        <v>016</v>
      </c>
      <c r="H173" s="72" t="str">
        <f t="shared" si="92"/>
        <v>C3</v>
      </c>
      <c r="I173" s="72">
        <f t="shared" si="93"/>
        <v>2</v>
      </c>
      <c r="J173" s="37" t="s">
        <v>33</v>
      </c>
      <c r="K173" s="37">
        <v>38</v>
      </c>
      <c r="L173" s="26">
        <v>0.45</v>
      </c>
      <c r="M173" s="26">
        <v>1.71</v>
      </c>
      <c r="N173" s="29">
        <f t="shared" si="90"/>
        <v>1.26</v>
      </c>
      <c r="O173" s="58" t="str">
        <f t="shared" si="73"/>
        <v>OK</v>
      </c>
    </row>
    <row r="174" spans="1:15" x14ac:dyDescent="0.25">
      <c r="A174" s="54" t="s">
        <v>16</v>
      </c>
      <c r="B174" s="32">
        <v>4</v>
      </c>
      <c r="C174" s="32">
        <v>1066617</v>
      </c>
      <c r="D174" s="39">
        <v>45833</v>
      </c>
      <c r="E174" s="32" t="s">
        <v>15</v>
      </c>
      <c r="F174" s="32" t="str">
        <f t="shared" si="86"/>
        <v>M21</v>
      </c>
      <c r="G174" s="61" t="str">
        <f t="shared" si="87"/>
        <v>016</v>
      </c>
      <c r="H174" s="72" t="str">
        <f t="shared" si="92"/>
        <v>C3</v>
      </c>
      <c r="I174" s="72">
        <f t="shared" si="93"/>
        <v>2</v>
      </c>
      <c r="J174" s="37" t="s">
        <v>34</v>
      </c>
      <c r="K174" s="37">
        <v>38</v>
      </c>
      <c r="L174" s="26">
        <v>0.1</v>
      </c>
      <c r="M174" s="26">
        <v>4.87</v>
      </c>
      <c r="N174" s="29">
        <f t="shared" si="90"/>
        <v>4.7700000000000005</v>
      </c>
      <c r="O174" s="58" t="str">
        <f t="shared" si="73"/>
        <v>OK</v>
      </c>
    </row>
    <row r="175" spans="1:15" x14ac:dyDescent="0.25">
      <c r="A175" s="54" t="s">
        <v>16</v>
      </c>
      <c r="B175" s="32">
        <v>4</v>
      </c>
      <c r="C175" s="32">
        <v>1066617</v>
      </c>
      <c r="D175" s="39">
        <v>45833</v>
      </c>
      <c r="E175" s="32" t="s">
        <v>15</v>
      </c>
      <c r="F175" s="32" t="str">
        <f t="shared" si="86"/>
        <v>M21</v>
      </c>
      <c r="G175" s="61" t="str">
        <f t="shared" si="87"/>
        <v>016</v>
      </c>
      <c r="H175" s="72" t="str">
        <f t="shared" si="92"/>
        <v>C3</v>
      </c>
      <c r="I175" s="72">
        <v>1</v>
      </c>
      <c r="J175" s="37" t="s">
        <v>35</v>
      </c>
      <c r="K175" s="37">
        <v>39</v>
      </c>
      <c r="L175" s="26">
        <v>0.1</v>
      </c>
      <c r="M175" s="26">
        <v>4.8499999999999996</v>
      </c>
      <c r="N175" s="29">
        <f t="shared" si="90"/>
        <v>4.75</v>
      </c>
      <c r="O175" s="58" t="str">
        <f t="shared" si="73"/>
        <v>OK</v>
      </c>
    </row>
    <row r="176" spans="1:15" x14ac:dyDescent="0.25">
      <c r="A176" s="54" t="s">
        <v>16</v>
      </c>
      <c r="B176" s="32">
        <v>4</v>
      </c>
      <c r="C176" s="32">
        <v>1066617</v>
      </c>
      <c r="D176" s="39">
        <v>45833</v>
      </c>
      <c r="E176" s="32" t="s">
        <v>15</v>
      </c>
      <c r="F176" s="32" t="str">
        <f t="shared" si="86"/>
        <v>M21</v>
      </c>
      <c r="G176" s="61" t="str">
        <f t="shared" si="87"/>
        <v>016</v>
      </c>
      <c r="H176" s="72" t="str">
        <f t="shared" si="92"/>
        <v>C3</v>
      </c>
      <c r="I176" s="72">
        <f t="shared" ref="I176:I178" si="94">I175</f>
        <v>1</v>
      </c>
      <c r="J176" s="37" t="s">
        <v>36</v>
      </c>
      <c r="K176" s="37">
        <v>39</v>
      </c>
      <c r="L176" s="26">
        <v>0.13</v>
      </c>
      <c r="M176" s="26">
        <v>2.21</v>
      </c>
      <c r="N176" s="29">
        <f t="shared" si="90"/>
        <v>2.08</v>
      </c>
      <c r="O176" s="58" t="str">
        <f t="shared" si="73"/>
        <v>OK</v>
      </c>
    </row>
    <row r="177" spans="1:15" x14ac:dyDescent="0.25">
      <c r="A177" s="54" t="s">
        <v>16</v>
      </c>
      <c r="B177" s="32">
        <v>4</v>
      </c>
      <c r="C177" s="32">
        <v>1066617</v>
      </c>
      <c r="D177" s="39">
        <v>45833</v>
      </c>
      <c r="E177" s="32" t="s">
        <v>15</v>
      </c>
      <c r="F177" s="32" t="str">
        <f t="shared" si="86"/>
        <v>M21</v>
      </c>
      <c r="G177" s="61" t="str">
        <f t="shared" si="87"/>
        <v>016</v>
      </c>
      <c r="H177" s="72" t="str">
        <f t="shared" si="92"/>
        <v>C3</v>
      </c>
      <c r="I177" s="72">
        <f t="shared" si="94"/>
        <v>1</v>
      </c>
      <c r="J177" s="37" t="s">
        <v>37</v>
      </c>
      <c r="K177" s="37">
        <v>40</v>
      </c>
      <c r="L177" s="26">
        <v>0.18</v>
      </c>
      <c r="M177" s="26">
        <v>1.83</v>
      </c>
      <c r="N177" s="29">
        <f t="shared" si="90"/>
        <v>1.6500000000000001</v>
      </c>
      <c r="O177" s="58" t="str">
        <f t="shared" si="73"/>
        <v>OK</v>
      </c>
    </row>
    <row r="178" spans="1:15" x14ac:dyDescent="0.25">
      <c r="A178" s="54" t="s">
        <v>16</v>
      </c>
      <c r="B178" s="32">
        <v>4</v>
      </c>
      <c r="C178" s="32">
        <v>1066617</v>
      </c>
      <c r="D178" s="39">
        <v>45833</v>
      </c>
      <c r="E178" s="32" t="s">
        <v>15</v>
      </c>
      <c r="F178" s="32" t="str">
        <f t="shared" si="86"/>
        <v>M21</v>
      </c>
      <c r="G178" s="61" t="str">
        <f t="shared" si="87"/>
        <v>016</v>
      </c>
      <c r="H178" s="72" t="str">
        <f t="shared" si="92"/>
        <v>C3</v>
      </c>
      <c r="I178" s="72">
        <f t="shared" si="94"/>
        <v>1</v>
      </c>
      <c r="J178" s="37" t="s">
        <v>38</v>
      </c>
      <c r="K178" s="37">
        <v>40</v>
      </c>
      <c r="L178" s="26">
        <v>0.17</v>
      </c>
      <c r="M178" s="26">
        <v>4.66</v>
      </c>
      <c r="N178" s="29">
        <f t="shared" si="90"/>
        <v>4.49</v>
      </c>
      <c r="O178" s="58" t="str">
        <f t="shared" si="73"/>
        <v>OK</v>
      </c>
    </row>
    <row r="179" spans="1:15" x14ac:dyDescent="0.25">
      <c r="A179" s="54" t="s">
        <v>16</v>
      </c>
      <c r="B179" s="32">
        <v>4</v>
      </c>
      <c r="C179" s="32">
        <v>1066617</v>
      </c>
      <c r="D179" s="39">
        <v>45833</v>
      </c>
      <c r="E179" s="32" t="s">
        <v>15</v>
      </c>
      <c r="F179" s="32" t="s">
        <v>28</v>
      </c>
      <c r="G179" s="61" t="s">
        <v>70</v>
      </c>
      <c r="H179" s="72" t="s">
        <v>39</v>
      </c>
      <c r="I179" s="72">
        <v>2</v>
      </c>
      <c r="J179" s="37" t="s">
        <v>31</v>
      </c>
      <c r="K179" s="37">
        <v>41</v>
      </c>
      <c r="L179" s="26">
        <v>0.69</v>
      </c>
      <c r="M179" s="26">
        <v>1.73</v>
      </c>
      <c r="N179" s="29">
        <f t="shared" si="90"/>
        <v>1.04</v>
      </c>
      <c r="O179" s="58" t="str">
        <f t="shared" si="73"/>
        <v>OK</v>
      </c>
    </row>
    <row r="180" spans="1:15" x14ac:dyDescent="0.25">
      <c r="A180" s="54" t="s">
        <v>16</v>
      </c>
      <c r="B180" s="32">
        <v>4</v>
      </c>
      <c r="C180" s="32">
        <v>1066617</v>
      </c>
      <c r="D180" s="39">
        <v>45833</v>
      </c>
      <c r="E180" s="32" t="s">
        <v>15</v>
      </c>
      <c r="F180" s="32" t="str">
        <f t="shared" ref="F180:F194" si="95">F179</f>
        <v>M20</v>
      </c>
      <c r="G180" s="61" t="str">
        <f t="shared" ref="G180:G194" si="96">G179</f>
        <v>015</v>
      </c>
      <c r="H180" s="72" t="str">
        <f t="shared" ref="H180:H186" si="97">H179</f>
        <v>C2</v>
      </c>
      <c r="I180" s="72">
        <f t="shared" ref="I180:I182" si="98">I179</f>
        <v>2</v>
      </c>
      <c r="J180" s="37" t="s">
        <v>32</v>
      </c>
      <c r="K180" s="37">
        <v>41</v>
      </c>
      <c r="L180" s="26">
        <v>0.47</v>
      </c>
      <c r="M180" s="26">
        <v>2.79</v>
      </c>
      <c r="N180" s="29">
        <f t="shared" si="90"/>
        <v>2.3200000000000003</v>
      </c>
      <c r="O180" s="58" t="str">
        <f t="shared" si="73"/>
        <v>OK</v>
      </c>
    </row>
    <row r="181" spans="1:15" x14ac:dyDescent="0.25">
      <c r="A181" s="54" t="s">
        <v>16</v>
      </c>
      <c r="B181" s="32">
        <v>4</v>
      </c>
      <c r="C181" s="32">
        <v>1066617</v>
      </c>
      <c r="D181" s="39">
        <v>45833</v>
      </c>
      <c r="E181" s="32" t="s">
        <v>15</v>
      </c>
      <c r="F181" s="32" t="str">
        <f t="shared" si="95"/>
        <v>M20</v>
      </c>
      <c r="G181" s="61" t="str">
        <f t="shared" si="96"/>
        <v>015</v>
      </c>
      <c r="H181" s="72" t="str">
        <f t="shared" si="97"/>
        <v>C2</v>
      </c>
      <c r="I181" s="72">
        <f t="shared" si="98"/>
        <v>2</v>
      </c>
      <c r="J181" s="37" t="s">
        <v>33</v>
      </c>
      <c r="K181" s="37">
        <v>42</v>
      </c>
      <c r="L181" s="26">
        <v>1.78</v>
      </c>
      <c r="M181" s="26">
        <v>4.33</v>
      </c>
      <c r="N181" s="29">
        <f t="shared" si="90"/>
        <v>2.5499999999999998</v>
      </c>
      <c r="O181" s="58" t="str">
        <f t="shared" si="73"/>
        <v>Reperfilado</v>
      </c>
    </row>
    <row r="182" spans="1:15" x14ac:dyDescent="0.25">
      <c r="A182" s="54" t="s">
        <v>16</v>
      </c>
      <c r="B182" s="32">
        <v>4</v>
      </c>
      <c r="C182" s="32">
        <v>1066617</v>
      </c>
      <c r="D182" s="39">
        <v>45833</v>
      </c>
      <c r="E182" s="32" t="s">
        <v>15</v>
      </c>
      <c r="F182" s="32" t="str">
        <f t="shared" si="95"/>
        <v>M20</v>
      </c>
      <c r="G182" s="61" t="str">
        <f t="shared" si="96"/>
        <v>015</v>
      </c>
      <c r="H182" s="72" t="str">
        <f t="shared" si="97"/>
        <v>C2</v>
      </c>
      <c r="I182" s="72">
        <f t="shared" si="98"/>
        <v>2</v>
      </c>
      <c r="J182" s="37" t="s">
        <v>34</v>
      </c>
      <c r="K182" s="37">
        <v>42</v>
      </c>
      <c r="L182" s="26">
        <v>0.2</v>
      </c>
      <c r="M182" s="26">
        <v>4.6399999999999997</v>
      </c>
      <c r="N182" s="29">
        <f t="shared" si="90"/>
        <v>4.4399999999999995</v>
      </c>
      <c r="O182" s="58" t="str">
        <f t="shared" si="73"/>
        <v>OK</v>
      </c>
    </row>
    <row r="183" spans="1:15" x14ac:dyDescent="0.25">
      <c r="A183" s="54" t="s">
        <v>16</v>
      </c>
      <c r="B183" s="32">
        <v>4</v>
      </c>
      <c r="C183" s="32">
        <v>1066617</v>
      </c>
      <c r="D183" s="39">
        <v>45833</v>
      </c>
      <c r="E183" s="32" t="s">
        <v>15</v>
      </c>
      <c r="F183" s="32" t="str">
        <f t="shared" si="95"/>
        <v>M20</v>
      </c>
      <c r="G183" s="61" t="str">
        <f t="shared" si="96"/>
        <v>015</v>
      </c>
      <c r="H183" s="72" t="str">
        <f t="shared" si="97"/>
        <v>C2</v>
      </c>
      <c r="I183" s="72">
        <v>1</v>
      </c>
      <c r="J183" s="37" t="s">
        <v>35</v>
      </c>
      <c r="K183" s="37">
        <v>43</v>
      </c>
      <c r="L183" s="26">
        <v>0.2</v>
      </c>
      <c r="M183" s="26">
        <v>4.5999999999999996</v>
      </c>
      <c r="N183" s="29">
        <f t="shared" si="90"/>
        <v>4.3999999999999995</v>
      </c>
      <c r="O183" s="58" t="str">
        <f t="shared" si="73"/>
        <v>OK</v>
      </c>
    </row>
    <row r="184" spans="1:15" x14ac:dyDescent="0.25">
      <c r="A184" s="54" t="s">
        <v>16</v>
      </c>
      <c r="B184" s="32">
        <v>4</v>
      </c>
      <c r="C184" s="32">
        <v>1066617</v>
      </c>
      <c r="D184" s="39">
        <v>45833</v>
      </c>
      <c r="E184" s="32" t="s">
        <v>15</v>
      </c>
      <c r="F184" s="32" t="str">
        <f t="shared" si="95"/>
        <v>M20</v>
      </c>
      <c r="G184" s="61" t="str">
        <f t="shared" si="96"/>
        <v>015</v>
      </c>
      <c r="H184" s="72" t="str">
        <f t="shared" si="97"/>
        <v>C2</v>
      </c>
      <c r="I184" s="72">
        <f t="shared" ref="I184:I186" si="99">I183</f>
        <v>1</v>
      </c>
      <c r="J184" s="37" t="s">
        <v>36</v>
      </c>
      <c r="K184" s="37">
        <v>43</v>
      </c>
      <c r="L184" s="26">
        <v>0.88</v>
      </c>
      <c r="M184" s="26">
        <v>3.78</v>
      </c>
      <c r="N184" s="29">
        <f t="shared" si="90"/>
        <v>2.9</v>
      </c>
      <c r="O184" s="58" t="str">
        <f t="shared" si="73"/>
        <v>OK</v>
      </c>
    </row>
    <row r="185" spans="1:15" x14ac:dyDescent="0.25">
      <c r="A185" s="54" t="s">
        <v>16</v>
      </c>
      <c r="B185" s="32">
        <v>4</v>
      </c>
      <c r="C185" s="32">
        <v>1066617</v>
      </c>
      <c r="D185" s="39">
        <v>45833</v>
      </c>
      <c r="E185" s="32" t="s">
        <v>15</v>
      </c>
      <c r="F185" s="32" t="str">
        <f t="shared" si="95"/>
        <v>M20</v>
      </c>
      <c r="G185" s="61" t="str">
        <f t="shared" si="96"/>
        <v>015</v>
      </c>
      <c r="H185" s="72" t="str">
        <f t="shared" si="97"/>
        <v>C2</v>
      </c>
      <c r="I185" s="72">
        <f t="shared" si="99"/>
        <v>1</v>
      </c>
      <c r="J185" s="37" t="s">
        <v>37</v>
      </c>
      <c r="K185" s="37">
        <v>44</v>
      </c>
      <c r="L185" s="26">
        <v>0.25</v>
      </c>
      <c r="M185" s="26">
        <v>0.93</v>
      </c>
      <c r="N185" s="29">
        <f t="shared" si="90"/>
        <v>0.68</v>
      </c>
      <c r="O185" s="58" t="str">
        <f t="shared" si="73"/>
        <v>Seguimiento</v>
      </c>
    </row>
    <row r="186" spans="1:15" x14ac:dyDescent="0.25">
      <c r="A186" s="54" t="s">
        <v>16</v>
      </c>
      <c r="B186" s="32">
        <v>4</v>
      </c>
      <c r="C186" s="32">
        <v>1066617</v>
      </c>
      <c r="D186" s="39">
        <v>45833</v>
      </c>
      <c r="E186" s="32" t="s">
        <v>15</v>
      </c>
      <c r="F186" s="32" t="str">
        <f t="shared" si="95"/>
        <v>M20</v>
      </c>
      <c r="G186" s="61" t="str">
        <f t="shared" si="96"/>
        <v>015</v>
      </c>
      <c r="H186" s="72" t="str">
        <f t="shared" si="97"/>
        <v>C2</v>
      </c>
      <c r="I186" s="72">
        <f t="shared" si="99"/>
        <v>1</v>
      </c>
      <c r="J186" s="37" t="s">
        <v>38</v>
      </c>
      <c r="K186" s="37">
        <v>44</v>
      </c>
      <c r="L186" s="26">
        <v>0.16</v>
      </c>
      <c r="M186" s="26">
        <v>1.31</v>
      </c>
      <c r="N186" s="29">
        <f t="shared" si="90"/>
        <v>1.1500000000000001</v>
      </c>
      <c r="O186" s="58" t="str">
        <f t="shared" si="73"/>
        <v>OK</v>
      </c>
    </row>
    <row r="187" spans="1:15" x14ac:dyDescent="0.25">
      <c r="A187" s="54" t="s">
        <v>16</v>
      </c>
      <c r="B187" s="32">
        <v>4</v>
      </c>
      <c r="C187" s="32">
        <v>1066617</v>
      </c>
      <c r="D187" s="39">
        <v>45833</v>
      </c>
      <c r="E187" s="32" t="s">
        <v>15</v>
      </c>
      <c r="F187" s="32" t="str">
        <f t="shared" si="95"/>
        <v>M20</v>
      </c>
      <c r="G187" s="61" t="str">
        <f t="shared" si="96"/>
        <v>015</v>
      </c>
      <c r="H187" s="72" t="s">
        <v>30</v>
      </c>
      <c r="I187" s="72">
        <v>2</v>
      </c>
      <c r="J187" s="37" t="s">
        <v>31</v>
      </c>
      <c r="K187" s="37">
        <v>45</v>
      </c>
      <c r="L187" s="26">
        <v>0.08</v>
      </c>
      <c r="M187" s="26">
        <v>4.95</v>
      </c>
      <c r="N187" s="29">
        <f t="shared" si="90"/>
        <v>4.87</v>
      </c>
      <c r="O187" s="58" t="str">
        <f t="shared" si="73"/>
        <v>OK</v>
      </c>
    </row>
    <row r="188" spans="1:15" x14ac:dyDescent="0.25">
      <c r="A188" s="54" t="s">
        <v>16</v>
      </c>
      <c r="B188" s="32">
        <v>4</v>
      </c>
      <c r="C188" s="32">
        <v>1066617</v>
      </c>
      <c r="D188" s="39">
        <v>45833</v>
      </c>
      <c r="E188" s="32" t="s">
        <v>15</v>
      </c>
      <c r="F188" s="32" t="str">
        <f t="shared" si="95"/>
        <v>M20</v>
      </c>
      <c r="G188" s="61" t="str">
        <f t="shared" si="96"/>
        <v>015</v>
      </c>
      <c r="H188" s="72" t="str">
        <f t="shared" ref="H188:H194" si="100">H187</f>
        <v>C1</v>
      </c>
      <c r="I188" s="72">
        <f t="shared" ref="I188:I190" si="101">I187</f>
        <v>2</v>
      </c>
      <c r="J188" s="37" t="s">
        <v>32</v>
      </c>
      <c r="K188" s="37">
        <v>45</v>
      </c>
      <c r="L188" s="26">
        <v>0.09</v>
      </c>
      <c r="M188" s="26">
        <v>4.5</v>
      </c>
      <c r="N188" s="29">
        <f t="shared" si="90"/>
        <v>4.41</v>
      </c>
      <c r="O188" s="58" t="str">
        <f t="shared" si="73"/>
        <v>OK</v>
      </c>
    </row>
    <row r="189" spans="1:15" x14ac:dyDescent="0.25">
      <c r="A189" s="54" t="s">
        <v>16</v>
      </c>
      <c r="B189" s="32">
        <v>4</v>
      </c>
      <c r="C189" s="32">
        <v>1066617</v>
      </c>
      <c r="D189" s="39">
        <v>45833</v>
      </c>
      <c r="E189" s="32" t="s">
        <v>15</v>
      </c>
      <c r="F189" s="32" t="str">
        <f t="shared" si="95"/>
        <v>M20</v>
      </c>
      <c r="G189" s="61" t="str">
        <f t="shared" si="96"/>
        <v>015</v>
      </c>
      <c r="H189" s="72" t="str">
        <f t="shared" si="100"/>
        <v>C1</v>
      </c>
      <c r="I189" s="72">
        <f t="shared" si="101"/>
        <v>2</v>
      </c>
      <c r="J189" s="37" t="s">
        <v>33</v>
      </c>
      <c r="K189" s="37">
        <v>46</v>
      </c>
      <c r="L189" s="26">
        <v>0.66</v>
      </c>
      <c r="M189" s="26">
        <v>3.54</v>
      </c>
      <c r="N189" s="29">
        <f t="shared" si="90"/>
        <v>2.88</v>
      </c>
      <c r="O189" s="58" t="str">
        <f t="shared" si="73"/>
        <v>OK</v>
      </c>
    </row>
    <row r="190" spans="1:15" x14ac:dyDescent="0.25">
      <c r="A190" s="54" t="s">
        <v>16</v>
      </c>
      <c r="B190" s="32">
        <v>4</v>
      </c>
      <c r="C190" s="32">
        <v>1066617</v>
      </c>
      <c r="D190" s="39">
        <v>45833</v>
      </c>
      <c r="E190" s="32" t="s">
        <v>15</v>
      </c>
      <c r="F190" s="32" t="str">
        <f t="shared" si="95"/>
        <v>M20</v>
      </c>
      <c r="G190" s="61" t="str">
        <f t="shared" si="96"/>
        <v>015</v>
      </c>
      <c r="H190" s="72" t="str">
        <f t="shared" si="100"/>
        <v>C1</v>
      </c>
      <c r="I190" s="72">
        <f t="shared" si="101"/>
        <v>2</v>
      </c>
      <c r="J190" s="37" t="s">
        <v>34</v>
      </c>
      <c r="K190" s="37">
        <v>46</v>
      </c>
      <c r="L190" s="26">
        <v>0.95</v>
      </c>
      <c r="M190" s="26">
        <v>1.48</v>
      </c>
      <c r="N190" s="29">
        <f t="shared" si="90"/>
        <v>0.53</v>
      </c>
      <c r="O190" s="58" t="str">
        <f t="shared" si="73"/>
        <v>Seguimiento</v>
      </c>
    </row>
    <row r="191" spans="1:15" x14ac:dyDescent="0.25">
      <c r="A191" s="54" t="s">
        <v>16</v>
      </c>
      <c r="B191" s="32">
        <v>4</v>
      </c>
      <c r="C191" s="32">
        <v>1066617</v>
      </c>
      <c r="D191" s="39">
        <v>45833</v>
      </c>
      <c r="E191" s="32" t="s">
        <v>15</v>
      </c>
      <c r="F191" s="32" t="str">
        <f t="shared" si="95"/>
        <v>M20</v>
      </c>
      <c r="G191" s="61" t="str">
        <f t="shared" si="96"/>
        <v>015</v>
      </c>
      <c r="H191" s="72" t="str">
        <f t="shared" si="100"/>
        <v>C1</v>
      </c>
      <c r="I191" s="72">
        <v>1</v>
      </c>
      <c r="J191" s="37" t="s">
        <v>35</v>
      </c>
      <c r="K191" s="37">
        <v>47</v>
      </c>
      <c r="L191" s="26">
        <v>0.98</v>
      </c>
      <c r="M191" s="26">
        <v>1.85</v>
      </c>
      <c r="N191" s="29">
        <f t="shared" si="90"/>
        <v>0.87000000000000011</v>
      </c>
      <c r="O191" s="58" t="str">
        <f t="shared" si="73"/>
        <v>Seguimiento</v>
      </c>
    </row>
    <row r="192" spans="1:15" x14ac:dyDescent="0.25">
      <c r="A192" s="54" t="s">
        <v>16</v>
      </c>
      <c r="B192" s="32">
        <v>4</v>
      </c>
      <c r="C192" s="32">
        <v>1066617</v>
      </c>
      <c r="D192" s="39">
        <v>45833</v>
      </c>
      <c r="E192" s="32" t="s">
        <v>15</v>
      </c>
      <c r="F192" s="32" t="str">
        <f t="shared" si="95"/>
        <v>M20</v>
      </c>
      <c r="G192" s="61" t="str">
        <f t="shared" si="96"/>
        <v>015</v>
      </c>
      <c r="H192" s="72" t="str">
        <f t="shared" si="100"/>
        <v>C1</v>
      </c>
      <c r="I192" s="72">
        <f t="shared" ref="I192:I194" si="102">I191</f>
        <v>1</v>
      </c>
      <c r="J192" s="37" t="s">
        <v>36</v>
      </c>
      <c r="K192" s="37">
        <v>47</v>
      </c>
      <c r="L192" s="26">
        <v>0.13</v>
      </c>
      <c r="M192" s="26">
        <v>4.67</v>
      </c>
      <c r="N192" s="29">
        <f t="shared" si="90"/>
        <v>4.54</v>
      </c>
      <c r="O192" s="58" t="str">
        <f t="shared" si="73"/>
        <v>OK</v>
      </c>
    </row>
    <row r="193" spans="1:15" x14ac:dyDescent="0.25">
      <c r="A193" s="54" t="s">
        <v>16</v>
      </c>
      <c r="B193" s="32">
        <v>4</v>
      </c>
      <c r="C193" s="32">
        <v>1066617</v>
      </c>
      <c r="D193" s="39">
        <v>45833</v>
      </c>
      <c r="E193" s="32" t="s">
        <v>15</v>
      </c>
      <c r="F193" s="32" t="str">
        <f t="shared" si="95"/>
        <v>M20</v>
      </c>
      <c r="G193" s="61" t="str">
        <f t="shared" si="96"/>
        <v>015</v>
      </c>
      <c r="H193" s="72" t="str">
        <f t="shared" si="100"/>
        <v>C1</v>
      </c>
      <c r="I193" s="72">
        <f t="shared" si="102"/>
        <v>1</v>
      </c>
      <c r="J193" s="37" t="s">
        <v>37</v>
      </c>
      <c r="K193" s="37">
        <v>48</v>
      </c>
      <c r="L193" s="26">
        <v>0.67</v>
      </c>
      <c r="M193" s="26">
        <v>3.06</v>
      </c>
      <c r="N193" s="29">
        <f t="shared" si="90"/>
        <v>2.39</v>
      </c>
      <c r="O193" s="58" t="str">
        <f t="shared" si="73"/>
        <v>OK</v>
      </c>
    </row>
    <row r="194" spans="1:15" x14ac:dyDescent="0.25">
      <c r="A194" s="54" t="s">
        <v>16</v>
      </c>
      <c r="B194" s="32">
        <v>4</v>
      </c>
      <c r="C194" s="32">
        <v>1066617</v>
      </c>
      <c r="D194" s="39">
        <v>45833</v>
      </c>
      <c r="E194" s="32" t="s">
        <v>15</v>
      </c>
      <c r="F194" s="32" t="str">
        <f t="shared" si="95"/>
        <v>M20</v>
      </c>
      <c r="G194" s="61" t="str">
        <f t="shared" si="96"/>
        <v>015</v>
      </c>
      <c r="H194" s="72" t="str">
        <f t="shared" si="100"/>
        <v>C1</v>
      </c>
      <c r="I194" s="72">
        <f t="shared" si="102"/>
        <v>1</v>
      </c>
      <c r="J194" s="37" t="s">
        <v>38</v>
      </c>
      <c r="K194" s="37">
        <v>48</v>
      </c>
      <c r="L194" s="26">
        <v>0.16</v>
      </c>
      <c r="M194" s="26">
        <v>4.5999999999999996</v>
      </c>
      <c r="N194" s="29">
        <f t="shared" si="90"/>
        <v>4.4399999999999995</v>
      </c>
      <c r="O194" s="58" t="str">
        <f t="shared" si="73"/>
        <v>OK</v>
      </c>
    </row>
    <row r="195" spans="1:15" x14ac:dyDescent="0.25">
      <c r="A195" s="54" t="s">
        <v>16</v>
      </c>
      <c r="B195" s="32">
        <v>4</v>
      </c>
      <c r="C195" s="32">
        <v>1119598</v>
      </c>
      <c r="D195" s="39">
        <v>46148</v>
      </c>
      <c r="E195" s="32" t="s">
        <v>15</v>
      </c>
      <c r="F195" s="32" t="s">
        <v>28</v>
      </c>
      <c r="G195" s="61" t="s">
        <v>65</v>
      </c>
      <c r="H195" s="72" t="s">
        <v>30</v>
      </c>
      <c r="I195" s="72">
        <v>1</v>
      </c>
      <c r="J195" s="37" t="s">
        <v>31</v>
      </c>
      <c r="K195" s="37">
        <v>1</v>
      </c>
      <c r="L195" s="26">
        <v>1.1000000000000001</v>
      </c>
      <c r="M195" s="26">
        <v>3.29</v>
      </c>
      <c r="N195" s="29">
        <f>+M195-L195</f>
        <v>2.19</v>
      </c>
      <c r="O195" s="58" t="str">
        <f t="shared" si="73"/>
        <v>OK</v>
      </c>
    </row>
    <row r="196" spans="1:15" x14ac:dyDescent="0.25">
      <c r="A196" s="54" t="s">
        <v>16</v>
      </c>
      <c r="B196" s="32">
        <v>4</v>
      </c>
      <c r="C196" s="32">
        <v>1119598</v>
      </c>
      <c r="D196" s="39">
        <v>46148</v>
      </c>
      <c r="E196" s="32" t="s">
        <v>15</v>
      </c>
      <c r="F196" s="32" t="str">
        <f t="shared" ref="F196:I210" si="103">F195</f>
        <v>M20</v>
      </c>
      <c r="G196" s="61" t="str">
        <f t="shared" si="103"/>
        <v>013</v>
      </c>
      <c r="H196" s="72" t="str">
        <f t="shared" si="103"/>
        <v>C1</v>
      </c>
      <c r="I196" s="72">
        <f t="shared" si="103"/>
        <v>1</v>
      </c>
      <c r="J196" s="37" t="s">
        <v>32</v>
      </c>
      <c r="K196" s="37">
        <v>1</v>
      </c>
      <c r="L196" s="26">
        <v>0.13</v>
      </c>
      <c r="M196" s="26">
        <v>3.6</v>
      </c>
      <c r="N196" s="29">
        <f t="shared" ref="N196:N259" si="104">+M196-L196</f>
        <v>3.47</v>
      </c>
      <c r="O196" s="58" t="str">
        <f t="shared" ref="O196:O259" si="105">IF(N196&lt;=0,"Critico",IF(N196&lt;=0.2,"Cambio",IF(N196&lt;=1,"Seguimiento",IF(L196&gt;=1.7,"Reperfilado","OK"))))</f>
        <v>OK</v>
      </c>
    </row>
    <row r="197" spans="1:15" x14ac:dyDescent="0.25">
      <c r="A197" s="54" t="s">
        <v>16</v>
      </c>
      <c r="B197" s="32">
        <v>4</v>
      </c>
      <c r="C197" s="32">
        <v>1119598</v>
      </c>
      <c r="D197" s="39">
        <v>46148</v>
      </c>
      <c r="E197" s="32" t="s">
        <v>15</v>
      </c>
      <c r="F197" s="32" t="str">
        <f t="shared" si="103"/>
        <v>M20</v>
      </c>
      <c r="G197" s="61" t="str">
        <f t="shared" si="103"/>
        <v>013</v>
      </c>
      <c r="H197" s="72" t="str">
        <f t="shared" si="103"/>
        <v>C1</v>
      </c>
      <c r="I197" s="72">
        <f t="shared" si="103"/>
        <v>1</v>
      </c>
      <c r="J197" s="37" t="s">
        <v>33</v>
      </c>
      <c r="K197" s="37">
        <v>2</v>
      </c>
      <c r="L197" s="26">
        <v>0.12</v>
      </c>
      <c r="M197" s="26">
        <v>4.26</v>
      </c>
      <c r="N197" s="29">
        <f t="shared" si="104"/>
        <v>4.1399999999999997</v>
      </c>
      <c r="O197" s="58" t="str">
        <f t="shared" si="105"/>
        <v>OK</v>
      </c>
    </row>
    <row r="198" spans="1:15" x14ac:dyDescent="0.25">
      <c r="A198" s="54" t="s">
        <v>16</v>
      </c>
      <c r="B198" s="32">
        <v>4</v>
      </c>
      <c r="C198" s="32">
        <v>1119598</v>
      </c>
      <c r="D198" s="39">
        <v>46148</v>
      </c>
      <c r="E198" s="32" t="s">
        <v>15</v>
      </c>
      <c r="F198" s="32" t="str">
        <f t="shared" si="103"/>
        <v>M20</v>
      </c>
      <c r="G198" s="61" t="str">
        <f t="shared" si="103"/>
        <v>013</v>
      </c>
      <c r="H198" s="72" t="str">
        <f t="shared" si="103"/>
        <v>C1</v>
      </c>
      <c r="I198" s="72">
        <f t="shared" si="103"/>
        <v>1</v>
      </c>
      <c r="J198" s="37" t="s">
        <v>34</v>
      </c>
      <c r="K198" s="37">
        <v>2</v>
      </c>
      <c r="L198" s="26">
        <v>0.56999999999999995</v>
      </c>
      <c r="M198" s="26">
        <v>3.59</v>
      </c>
      <c r="N198" s="29">
        <f t="shared" si="104"/>
        <v>3.02</v>
      </c>
      <c r="O198" s="58" t="str">
        <f t="shared" si="105"/>
        <v>OK</v>
      </c>
    </row>
    <row r="199" spans="1:15" x14ac:dyDescent="0.25">
      <c r="A199" s="54" t="s">
        <v>16</v>
      </c>
      <c r="B199" s="32">
        <v>4</v>
      </c>
      <c r="C199" s="32">
        <v>1119598</v>
      </c>
      <c r="D199" s="39">
        <v>46148</v>
      </c>
      <c r="E199" s="32" t="s">
        <v>15</v>
      </c>
      <c r="F199" s="32" t="str">
        <f t="shared" si="103"/>
        <v>M20</v>
      </c>
      <c r="G199" s="61" t="str">
        <f t="shared" si="103"/>
        <v>013</v>
      </c>
      <c r="H199" s="72" t="str">
        <f t="shared" si="103"/>
        <v>C1</v>
      </c>
      <c r="I199" s="72">
        <v>2</v>
      </c>
      <c r="J199" s="37" t="s">
        <v>35</v>
      </c>
      <c r="K199" s="37">
        <v>3</v>
      </c>
      <c r="L199" s="26">
        <v>1.24</v>
      </c>
      <c r="M199" s="26">
        <v>2.38</v>
      </c>
      <c r="N199" s="29">
        <f t="shared" si="104"/>
        <v>1.1399999999999999</v>
      </c>
      <c r="O199" s="58" t="str">
        <f t="shared" si="105"/>
        <v>OK</v>
      </c>
    </row>
    <row r="200" spans="1:15" x14ac:dyDescent="0.25">
      <c r="A200" s="54" t="s">
        <v>16</v>
      </c>
      <c r="B200" s="32">
        <v>4</v>
      </c>
      <c r="C200" s="32">
        <v>1119598</v>
      </c>
      <c r="D200" s="39">
        <v>46148</v>
      </c>
      <c r="E200" s="32" t="s">
        <v>15</v>
      </c>
      <c r="F200" s="32" t="str">
        <f t="shared" si="103"/>
        <v>M20</v>
      </c>
      <c r="G200" s="61" t="str">
        <f t="shared" si="103"/>
        <v>013</v>
      </c>
      <c r="H200" s="72" t="str">
        <f t="shared" si="103"/>
        <v>C1</v>
      </c>
      <c r="I200" s="72">
        <f t="shared" si="103"/>
        <v>2</v>
      </c>
      <c r="J200" s="37" t="s">
        <v>36</v>
      </c>
      <c r="K200" s="37">
        <v>3</v>
      </c>
      <c r="L200" s="26">
        <v>0.13</v>
      </c>
      <c r="M200" s="26">
        <v>3.9</v>
      </c>
      <c r="N200" s="29">
        <f t="shared" si="104"/>
        <v>3.77</v>
      </c>
      <c r="O200" s="58" t="str">
        <f t="shared" si="105"/>
        <v>OK</v>
      </c>
    </row>
    <row r="201" spans="1:15" x14ac:dyDescent="0.25">
      <c r="A201" s="54" t="s">
        <v>16</v>
      </c>
      <c r="B201" s="32">
        <v>4</v>
      </c>
      <c r="C201" s="32">
        <v>1119598</v>
      </c>
      <c r="D201" s="39">
        <v>46148</v>
      </c>
      <c r="E201" s="32" t="s">
        <v>15</v>
      </c>
      <c r="F201" s="32" t="str">
        <f t="shared" si="103"/>
        <v>M20</v>
      </c>
      <c r="G201" s="61" t="str">
        <f t="shared" si="103"/>
        <v>013</v>
      </c>
      <c r="H201" s="72" t="str">
        <f t="shared" si="103"/>
        <v>C1</v>
      </c>
      <c r="I201" s="72">
        <f t="shared" si="103"/>
        <v>2</v>
      </c>
      <c r="J201" s="37" t="s">
        <v>37</v>
      </c>
      <c r="K201" s="37">
        <v>4</v>
      </c>
      <c r="L201" s="26">
        <v>0.28000000000000003</v>
      </c>
      <c r="M201" s="26">
        <v>4.6399999999999997</v>
      </c>
      <c r="N201" s="29">
        <f t="shared" si="104"/>
        <v>4.3599999999999994</v>
      </c>
      <c r="O201" s="58" t="str">
        <f t="shared" si="105"/>
        <v>OK</v>
      </c>
    </row>
    <row r="202" spans="1:15" x14ac:dyDescent="0.25">
      <c r="A202" s="54" t="s">
        <v>16</v>
      </c>
      <c r="B202" s="32">
        <v>4</v>
      </c>
      <c r="C202" s="32">
        <v>1119598</v>
      </c>
      <c r="D202" s="39">
        <v>46148</v>
      </c>
      <c r="E202" s="32" t="s">
        <v>15</v>
      </c>
      <c r="F202" s="32" t="str">
        <f t="shared" si="103"/>
        <v>M20</v>
      </c>
      <c r="G202" s="61" t="str">
        <f t="shared" si="103"/>
        <v>013</v>
      </c>
      <c r="H202" s="72" t="str">
        <f t="shared" si="103"/>
        <v>C1</v>
      </c>
      <c r="I202" s="72">
        <f t="shared" si="103"/>
        <v>2</v>
      </c>
      <c r="J202" s="37" t="s">
        <v>38</v>
      </c>
      <c r="K202" s="37">
        <v>4</v>
      </c>
      <c r="L202" s="26">
        <v>0.87</v>
      </c>
      <c r="M202" s="26">
        <v>3.35</v>
      </c>
      <c r="N202" s="29">
        <f t="shared" si="104"/>
        <v>2.48</v>
      </c>
      <c r="O202" s="58" t="str">
        <f t="shared" si="105"/>
        <v>OK</v>
      </c>
    </row>
    <row r="203" spans="1:15" x14ac:dyDescent="0.25">
      <c r="A203" s="54" t="s">
        <v>16</v>
      </c>
      <c r="B203" s="32">
        <v>4</v>
      </c>
      <c r="C203" s="32">
        <v>1119598</v>
      </c>
      <c r="D203" s="39">
        <v>46148</v>
      </c>
      <c r="E203" s="32" t="s">
        <v>15</v>
      </c>
      <c r="F203" s="32" t="str">
        <f t="shared" si="103"/>
        <v>M20</v>
      </c>
      <c r="G203" s="61" t="str">
        <f t="shared" si="103"/>
        <v>013</v>
      </c>
      <c r="H203" s="72" t="s">
        <v>39</v>
      </c>
      <c r="I203" s="72">
        <v>1</v>
      </c>
      <c r="J203" s="37" t="s">
        <v>31</v>
      </c>
      <c r="K203" s="37">
        <v>5</v>
      </c>
      <c r="L203" s="26">
        <v>0.24</v>
      </c>
      <c r="M203" s="26">
        <v>1.62</v>
      </c>
      <c r="N203" s="29">
        <f t="shared" si="104"/>
        <v>1.3800000000000001</v>
      </c>
      <c r="O203" s="58" t="str">
        <f t="shared" si="105"/>
        <v>OK</v>
      </c>
    </row>
    <row r="204" spans="1:15" x14ac:dyDescent="0.25">
      <c r="A204" s="54" t="s">
        <v>16</v>
      </c>
      <c r="B204" s="32">
        <v>4</v>
      </c>
      <c r="C204" s="32">
        <v>1119598</v>
      </c>
      <c r="D204" s="39">
        <v>46148</v>
      </c>
      <c r="E204" s="32" t="s">
        <v>15</v>
      </c>
      <c r="F204" s="32" t="str">
        <f t="shared" si="103"/>
        <v>M20</v>
      </c>
      <c r="G204" s="61" t="str">
        <f t="shared" si="103"/>
        <v>013</v>
      </c>
      <c r="H204" s="72" t="str">
        <f t="shared" si="103"/>
        <v>C2</v>
      </c>
      <c r="I204" s="72">
        <f t="shared" si="103"/>
        <v>1</v>
      </c>
      <c r="J204" s="37" t="s">
        <v>32</v>
      </c>
      <c r="K204" s="37">
        <v>5</v>
      </c>
      <c r="L204" s="26">
        <v>0.41</v>
      </c>
      <c r="M204" s="26">
        <v>2.48</v>
      </c>
      <c r="N204" s="29">
        <f t="shared" si="104"/>
        <v>2.0699999999999998</v>
      </c>
      <c r="O204" s="58" t="str">
        <f t="shared" si="105"/>
        <v>OK</v>
      </c>
    </row>
    <row r="205" spans="1:15" x14ac:dyDescent="0.25">
      <c r="A205" s="54" t="s">
        <v>16</v>
      </c>
      <c r="B205" s="32">
        <v>4</v>
      </c>
      <c r="C205" s="32">
        <v>1119598</v>
      </c>
      <c r="D205" s="39">
        <v>46148</v>
      </c>
      <c r="E205" s="32" t="s">
        <v>15</v>
      </c>
      <c r="F205" s="32" t="str">
        <f t="shared" si="103"/>
        <v>M20</v>
      </c>
      <c r="G205" s="61" t="str">
        <f t="shared" si="103"/>
        <v>013</v>
      </c>
      <c r="H205" s="72" t="str">
        <f t="shared" si="103"/>
        <v>C2</v>
      </c>
      <c r="I205" s="72">
        <f t="shared" si="103"/>
        <v>1</v>
      </c>
      <c r="J205" s="37" t="s">
        <v>33</v>
      </c>
      <c r="K205" s="37">
        <v>6</v>
      </c>
      <c r="L205" s="26">
        <v>0.72</v>
      </c>
      <c r="M205" s="26">
        <v>4.49</v>
      </c>
      <c r="N205" s="29">
        <f t="shared" si="104"/>
        <v>3.7700000000000005</v>
      </c>
      <c r="O205" s="58" t="str">
        <f t="shared" si="105"/>
        <v>OK</v>
      </c>
    </row>
    <row r="206" spans="1:15" x14ac:dyDescent="0.25">
      <c r="A206" s="54" t="s">
        <v>16</v>
      </c>
      <c r="B206" s="32">
        <v>4</v>
      </c>
      <c r="C206" s="32">
        <v>1119598</v>
      </c>
      <c r="D206" s="39">
        <v>46148</v>
      </c>
      <c r="E206" s="32" t="s">
        <v>15</v>
      </c>
      <c r="F206" s="32" t="str">
        <f t="shared" si="103"/>
        <v>M20</v>
      </c>
      <c r="G206" s="61" t="str">
        <f t="shared" si="103"/>
        <v>013</v>
      </c>
      <c r="H206" s="72" t="str">
        <f t="shared" si="103"/>
        <v>C2</v>
      </c>
      <c r="I206" s="72">
        <f t="shared" si="103"/>
        <v>1</v>
      </c>
      <c r="J206" s="37" t="s">
        <v>34</v>
      </c>
      <c r="K206" s="37">
        <v>6</v>
      </c>
      <c r="L206" s="26">
        <v>0.28000000000000003</v>
      </c>
      <c r="M206" s="26">
        <v>2.0699999999999998</v>
      </c>
      <c r="N206" s="29">
        <f t="shared" si="104"/>
        <v>1.7899999999999998</v>
      </c>
      <c r="O206" s="58" t="str">
        <f t="shared" si="105"/>
        <v>OK</v>
      </c>
    </row>
    <row r="207" spans="1:15" x14ac:dyDescent="0.25">
      <c r="A207" s="54" t="s">
        <v>16</v>
      </c>
      <c r="B207" s="32">
        <v>4</v>
      </c>
      <c r="C207" s="32">
        <v>1119598</v>
      </c>
      <c r="D207" s="39">
        <v>46148</v>
      </c>
      <c r="E207" s="32" t="s">
        <v>15</v>
      </c>
      <c r="F207" s="32" t="str">
        <f t="shared" si="103"/>
        <v>M20</v>
      </c>
      <c r="G207" s="61" t="str">
        <f t="shared" si="103"/>
        <v>013</v>
      </c>
      <c r="H207" s="72" t="str">
        <f t="shared" si="103"/>
        <v>C2</v>
      </c>
      <c r="I207" s="72">
        <v>2</v>
      </c>
      <c r="J207" s="37" t="s">
        <v>35</v>
      </c>
      <c r="K207" s="37">
        <v>7</v>
      </c>
      <c r="L207" s="26">
        <v>0.22</v>
      </c>
      <c r="M207" s="26">
        <v>4.1399999999999997</v>
      </c>
      <c r="N207" s="29">
        <f t="shared" si="104"/>
        <v>3.9199999999999995</v>
      </c>
      <c r="O207" s="58" t="str">
        <f t="shared" si="105"/>
        <v>OK</v>
      </c>
    </row>
    <row r="208" spans="1:15" x14ac:dyDescent="0.25">
      <c r="A208" s="54" t="s">
        <v>16</v>
      </c>
      <c r="B208" s="32">
        <v>4</v>
      </c>
      <c r="C208" s="32">
        <v>1119598</v>
      </c>
      <c r="D208" s="39">
        <v>46148</v>
      </c>
      <c r="E208" s="32" t="s">
        <v>15</v>
      </c>
      <c r="F208" s="32" t="str">
        <f t="shared" si="103"/>
        <v>M20</v>
      </c>
      <c r="G208" s="61" t="str">
        <f t="shared" si="103"/>
        <v>013</v>
      </c>
      <c r="H208" s="72" t="str">
        <f t="shared" si="103"/>
        <v>C2</v>
      </c>
      <c r="I208" s="72">
        <f t="shared" si="103"/>
        <v>2</v>
      </c>
      <c r="J208" s="37" t="s">
        <v>36</v>
      </c>
      <c r="K208" s="37">
        <v>7</v>
      </c>
      <c r="L208" s="26">
        <v>1.43</v>
      </c>
      <c r="M208" s="26">
        <v>3.93</v>
      </c>
      <c r="N208" s="29">
        <f t="shared" si="104"/>
        <v>2.5</v>
      </c>
      <c r="O208" s="58" t="str">
        <f t="shared" si="105"/>
        <v>OK</v>
      </c>
    </row>
    <row r="209" spans="1:15" x14ac:dyDescent="0.25">
      <c r="A209" s="54" t="s">
        <v>16</v>
      </c>
      <c r="B209" s="32">
        <v>4</v>
      </c>
      <c r="C209" s="32">
        <v>1119598</v>
      </c>
      <c r="D209" s="39">
        <v>46148</v>
      </c>
      <c r="E209" s="32" t="s">
        <v>15</v>
      </c>
      <c r="F209" s="32" t="str">
        <f t="shared" si="103"/>
        <v>M20</v>
      </c>
      <c r="G209" s="61" t="str">
        <f t="shared" si="103"/>
        <v>013</v>
      </c>
      <c r="H209" s="72" t="str">
        <f t="shared" si="103"/>
        <v>C2</v>
      </c>
      <c r="I209" s="72">
        <f t="shared" si="103"/>
        <v>2</v>
      </c>
      <c r="J209" s="37" t="s">
        <v>37</v>
      </c>
      <c r="K209" s="37">
        <v>8</v>
      </c>
      <c r="L209" s="26">
        <v>0.06</v>
      </c>
      <c r="M209" s="26">
        <v>5.04</v>
      </c>
      <c r="N209" s="29">
        <f t="shared" si="104"/>
        <v>4.9800000000000004</v>
      </c>
      <c r="O209" s="58" t="str">
        <f t="shared" si="105"/>
        <v>OK</v>
      </c>
    </row>
    <row r="210" spans="1:15" x14ac:dyDescent="0.25">
      <c r="A210" s="54" t="s">
        <v>16</v>
      </c>
      <c r="B210" s="32">
        <v>4</v>
      </c>
      <c r="C210" s="32">
        <v>1119598</v>
      </c>
      <c r="D210" s="39">
        <v>46148</v>
      </c>
      <c r="E210" s="32" t="s">
        <v>15</v>
      </c>
      <c r="F210" s="32" t="str">
        <f t="shared" si="103"/>
        <v>M20</v>
      </c>
      <c r="G210" s="61" t="str">
        <f t="shared" si="103"/>
        <v>013</v>
      </c>
      <c r="H210" s="72" t="str">
        <f t="shared" si="103"/>
        <v>C2</v>
      </c>
      <c r="I210" s="72">
        <f t="shared" si="103"/>
        <v>2</v>
      </c>
      <c r="J210" s="37" t="s">
        <v>38</v>
      </c>
      <c r="K210" s="37">
        <v>8</v>
      </c>
      <c r="L210" s="26">
        <v>0.34</v>
      </c>
      <c r="M210" s="26">
        <v>1.68</v>
      </c>
      <c r="N210" s="29">
        <f t="shared" si="104"/>
        <v>1.3399999999999999</v>
      </c>
      <c r="O210" s="58" t="str">
        <f t="shared" si="105"/>
        <v>OK</v>
      </c>
    </row>
    <row r="211" spans="1:15" x14ac:dyDescent="0.25">
      <c r="A211" s="54" t="s">
        <v>16</v>
      </c>
      <c r="B211" s="32">
        <v>4</v>
      </c>
      <c r="C211" s="32">
        <v>1119598</v>
      </c>
      <c r="D211" s="39">
        <v>46148</v>
      </c>
      <c r="E211" s="32" t="s">
        <v>15</v>
      </c>
      <c r="F211" s="32" t="s">
        <v>40</v>
      </c>
      <c r="G211" s="61" t="s">
        <v>66</v>
      </c>
      <c r="H211" s="72" t="s">
        <v>42</v>
      </c>
      <c r="I211" s="72">
        <v>1</v>
      </c>
      <c r="J211" s="37" t="s">
        <v>31</v>
      </c>
      <c r="K211" s="37">
        <v>9</v>
      </c>
      <c r="L211" s="26">
        <v>0.18</v>
      </c>
      <c r="M211" s="26">
        <v>4.8099999999999996</v>
      </c>
      <c r="N211" s="29">
        <f t="shared" si="104"/>
        <v>4.63</v>
      </c>
      <c r="O211" s="58" t="str">
        <f t="shared" si="105"/>
        <v>OK</v>
      </c>
    </row>
    <row r="212" spans="1:15" x14ac:dyDescent="0.25">
      <c r="A212" s="54" t="s">
        <v>16</v>
      </c>
      <c r="B212" s="32">
        <v>4</v>
      </c>
      <c r="C212" s="32">
        <v>1119598</v>
      </c>
      <c r="D212" s="39">
        <v>46148</v>
      </c>
      <c r="E212" s="32" t="s">
        <v>15</v>
      </c>
      <c r="F212" s="32" t="str">
        <f t="shared" ref="F212:I226" si="106">F211</f>
        <v>M21</v>
      </c>
      <c r="G212" s="61" t="str">
        <f t="shared" si="106"/>
        <v>014</v>
      </c>
      <c r="H212" s="72" t="str">
        <f t="shared" si="106"/>
        <v>C3</v>
      </c>
      <c r="I212" s="72">
        <f t="shared" si="106"/>
        <v>1</v>
      </c>
      <c r="J212" s="37" t="s">
        <v>32</v>
      </c>
      <c r="K212" s="37">
        <v>9</v>
      </c>
      <c r="L212" s="26">
        <v>0.42</v>
      </c>
      <c r="M212" s="26">
        <v>2.4900000000000002</v>
      </c>
      <c r="N212" s="29">
        <f t="shared" si="104"/>
        <v>2.0700000000000003</v>
      </c>
      <c r="O212" s="58" t="str">
        <f t="shared" si="105"/>
        <v>OK</v>
      </c>
    </row>
    <row r="213" spans="1:15" x14ac:dyDescent="0.25">
      <c r="A213" s="54" t="s">
        <v>16</v>
      </c>
      <c r="B213" s="32">
        <v>4</v>
      </c>
      <c r="C213" s="32">
        <v>1119598</v>
      </c>
      <c r="D213" s="39">
        <v>46148</v>
      </c>
      <c r="E213" s="32" t="s">
        <v>15</v>
      </c>
      <c r="F213" s="32" t="str">
        <f t="shared" si="106"/>
        <v>M21</v>
      </c>
      <c r="G213" s="61" t="str">
        <f t="shared" si="106"/>
        <v>014</v>
      </c>
      <c r="H213" s="72" t="str">
        <f t="shared" si="106"/>
        <v>C3</v>
      </c>
      <c r="I213" s="72">
        <f t="shared" si="106"/>
        <v>1</v>
      </c>
      <c r="J213" s="37" t="s">
        <v>33</v>
      </c>
      <c r="K213" s="37">
        <v>10</v>
      </c>
      <c r="L213" s="26">
        <v>0.8</v>
      </c>
      <c r="M213" s="26">
        <v>1.81</v>
      </c>
      <c r="N213" s="29">
        <f t="shared" si="104"/>
        <v>1.01</v>
      </c>
      <c r="O213" s="58" t="str">
        <f t="shared" si="105"/>
        <v>OK</v>
      </c>
    </row>
    <row r="214" spans="1:15" x14ac:dyDescent="0.25">
      <c r="A214" s="54" t="s">
        <v>16</v>
      </c>
      <c r="B214" s="32">
        <v>4</v>
      </c>
      <c r="C214" s="32">
        <v>1119598</v>
      </c>
      <c r="D214" s="39">
        <v>46148</v>
      </c>
      <c r="E214" s="32" t="s">
        <v>15</v>
      </c>
      <c r="F214" s="32" t="str">
        <f t="shared" si="106"/>
        <v>M21</v>
      </c>
      <c r="G214" s="61" t="str">
        <f t="shared" si="106"/>
        <v>014</v>
      </c>
      <c r="H214" s="72" t="str">
        <f t="shared" si="106"/>
        <v>C3</v>
      </c>
      <c r="I214" s="72">
        <f t="shared" si="106"/>
        <v>1</v>
      </c>
      <c r="J214" s="37" t="s">
        <v>34</v>
      </c>
      <c r="K214" s="37">
        <v>10</v>
      </c>
      <c r="L214" s="26">
        <v>0.19</v>
      </c>
      <c r="M214" s="26">
        <v>4.82</v>
      </c>
      <c r="N214" s="29">
        <f t="shared" si="104"/>
        <v>4.63</v>
      </c>
      <c r="O214" s="58" t="str">
        <f t="shared" si="105"/>
        <v>OK</v>
      </c>
    </row>
    <row r="215" spans="1:15" x14ac:dyDescent="0.25">
      <c r="A215" s="54" t="s">
        <v>16</v>
      </c>
      <c r="B215" s="32">
        <v>4</v>
      </c>
      <c r="C215" s="32">
        <v>1119598</v>
      </c>
      <c r="D215" s="39">
        <v>46148</v>
      </c>
      <c r="E215" s="32" t="s">
        <v>15</v>
      </c>
      <c r="F215" s="32" t="str">
        <f t="shared" si="106"/>
        <v>M21</v>
      </c>
      <c r="G215" s="61" t="str">
        <f t="shared" si="106"/>
        <v>014</v>
      </c>
      <c r="H215" s="72" t="str">
        <f t="shared" si="106"/>
        <v>C3</v>
      </c>
      <c r="I215" s="72">
        <v>2</v>
      </c>
      <c r="J215" s="37" t="s">
        <v>35</v>
      </c>
      <c r="K215" s="37">
        <v>11</v>
      </c>
      <c r="L215" s="26">
        <v>0.11</v>
      </c>
      <c r="M215" s="26">
        <v>4.62</v>
      </c>
      <c r="N215" s="29">
        <f t="shared" si="104"/>
        <v>4.51</v>
      </c>
      <c r="O215" s="58" t="str">
        <f t="shared" si="105"/>
        <v>OK</v>
      </c>
    </row>
    <row r="216" spans="1:15" x14ac:dyDescent="0.25">
      <c r="A216" s="54" t="s">
        <v>16</v>
      </c>
      <c r="B216" s="32">
        <v>4</v>
      </c>
      <c r="C216" s="32">
        <v>1119598</v>
      </c>
      <c r="D216" s="39">
        <v>46148</v>
      </c>
      <c r="E216" s="32" t="s">
        <v>15</v>
      </c>
      <c r="F216" s="32" t="str">
        <f t="shared" si="106"/>
        <v>M21</v>
      </c>
      <c r="G216" s="61" t="str">
        <f t="shared" si="106"/>
        <v>014</v>
      </c>
      <c r="H216" s="72" t="str">
        <f t="shared" si="106"/>
        <v>C3</v>
      </c>
      <c r="I216" s="72">
        <f t="shared" si="106"/>
        <v>2</v>
      </c>
      <c r="J216" s="37" t="s">
        <v>36</v>
      </c>
      <c r="K216" s="37">
        <v>11</v>
      </c>
      <c r="L216" s="26">
        <v>0.08</v>
      </c>
      <c r="M216" s="26">
        <v>4.66</v>
      </c>
      <c r="N216" s="29">
        <f t="shared" si="104"/>
        <v>4.58</v>
      </c>
      <c r="O216" s="58" t="str">
        <f t="shared" si="105"/>
        <v>OK</v>
      </c>
    </row>
    <row r="217" spans="1:15" x14ac:dyDescent="0.25">
      <c r="A217" s="54" t="s">
        <v>16</v>
      </c>
      <c r="B217" s="32">
        <v>4</v>
      </c>
      <c r="C217" s="32">
        <v>1119598</v>
      </c>
      <c r="D217" s="39">
        <v>46148</v>
      </c>
      <c r="E217" s="32" t="s">
        <v>15</v>
      </c>
      <c r="F217" s="32" t="str">
        <f t="shared" si="106"/>
        <v>M21</v>
      </c>
      <c r="G217" s="61" t="str">
        <f t="shared" si="106"/>
        <v>014</v>
      </c>
      <c r="H217" s="72" t="str">
        <f t="shared" si="106"/>
        <v>C3</v>
      </c>
      <c r="I217" s="72">
        <f t="shared" si="106"/>
        <v>2</v>
      </c>
      <c r="J217" s="37" t="s">
        <v>37</v>
      </c>
      <c r="K217" s="37">
        <v>12</v>
      </c>
      <c r="L217" s="26">
        <v>0.13</v>
      </c>
      <c r="M217" s="26">
        <v>4.2300000000000004</v>
      </c>
      <c r="N217" s="29">
        <f t="shared" si="104"/>
        <v>4.1000000000000005</v>
      </c>
      <c r="O217" s="58" t="str">
        <f t="shared" si="105"/>
        <v>OK</v>
      </c>
    </row>
    <row r="218" spans="1:15" x14ac:dyDescent="0.25">
      <c r="A218" s="54" t="s">
        <v>16</v>
      </c>
      <c r="B218" s="32">
        <v>4</v>
      </c>
      <c r="C218" s="32">
        <v>1119598</v>
      </c>
      <c r="D218" s="39">
        <v>46148</v>
      </c>
      <c r="E218" s="32" t="s">
        <v>15</v>
      </c>
      <c r="F218" s="32" t="str">
        <f t="shared" si="106"/>
        <v>M21</v>
      </c>
      <c r="G218" s="61" t="str">
        <f t="shared" si="106"/>
        <v>014</v>
      </c>
      <c r="H218" s="72" t="str">
        <f t="shared" si="106"/>
        <v>C3</v>
      </c>
      <c r="I218" s="72">
        <f t="shared" si="106"/>
        <v>2</v>
      </c>
      <c r="J218" s="37" t="s">
        <v>38</v>
      </c>
      <c r="K218" s="37">
        <v>12</v>
      </c>
      <c r="L218" s="26">
        <v>0.37</v>
      </c>
      <c r="M218" s="26">
        <v>1.71</v>
      </c>
      <c r="N218" s="29">
        <f t="shared" si="104"/>
        <v>1.3399999999999999</v>
      </c>
      <c r="O218" s="58" t="str">
        <f t="shared" si="105"/>
        <v>OK</v>
      </c>
    </row>
    <row r="219" spans="1:15" x14ac:dyDescent="0.25">
      <c r="A219" s="54" t="s">
        <v>16</v>
      </c>
      <c r="B219" s="32">
        <v>4</v>
      </c>
      <c r="C219" s="32">
        <v>1119598</v>
      </c>
      <c r="D219" s="39">
        <v>46148</v>
      </c>
      <c r="E219" s="32" t="s">
        <v>15</v>
      </c>
      <c r="F219" s="32" t="str">
        <f t="shared" si="106"/>
        <v>M21</v>
      </c>
      <c r="G219" s="61" t="str">
        <f t="shared" si="106"/>
        <v>014</v>
      </c>
      <c r="H219" s="72" t="s">
        <v>43</v>
      </c>
      <c r="I219" s="72">
        <v>1</v>
      </c>
      <c r="J219" s="37" t="s">
        <v>31</v>
      </c>
      <c r="K219" s="37">
        <v>13</v>
      </c>
      <c r="L219" s="26">
        <v>0.84</v>
      </c>
      <c r="M219" s="26">
        <v>3.23</v>
      </c>
      <c r="N219" s="29">
        <f t="shared" si="104"/>
        <v>2.39</v>
      </c>
      <c r="O219" s="58" t="str">
        <f t="shared" si="105"/>
        <v>OK</v>
      </c>
    </row>
    <row r="220" spans="1:15" x14ac:dyDescent="0.25">
      <c r="A220" s="54" t="s">
        <v>16</v>
      </c>
      <c r="B220" s="32">
        <v>4</v>
      </c>
      <c r="C220" s="32">
        <v>1119598</v>
      </c>
      <c r="D220" s="39">
        <v>46148</v>
      </c>
      <c r="E220" s="32" t="s">
        <v>15</v>
      </c>
      <c r="F220" s="32" t="str">
        <f t="shared" si="106"/>
        <v>M21</v>
      </c>
      <c r="G220" s="61" t="str">
        <f t="shared" si="106"/>
        <v>014</v>
      </c>
      <c r="H220" s="72" t="str">
        <f t="shared" si="106"/>
        <v>C4</v>
      </c>
      <c r="I220" s="72">
        <f t="shared" si="106"/>
        <v>1</v>
      </c>
      <c r="J220" s="37" t="s">
        <v>32</v>
      </c>
      <c r="K220" s="37">
        <v>13</v>
      </c>
      <c r="L220" s="26">
        <v>0.59</v>
      </c>
      <c r="M220" s="26">
        <v>2.98</v>
      </c>
      <c r="N220" s="29">
        <f t="shared" si="104"/>
        <v>2.39</v>
      </c>
      <c r="O220" s="58" t="str">
        <f t="shared" si="105"/>
        <v>OK</v>
      </c>
    </row>
    <row r="221" spans="1:15" x14ac:dyDescent="0.25">
      <c r="A221" s="54" t="s">
        <v>16</v>
      </c>
      <c r="B221" s="32">
        <v>4</v>
      </c>
      <c r="C221" s="32">
        <v>1119598</v>
      </c>
      <c r="D221" s="39">
        <v>46148</v>
      </c>
      <c r="E221" s="32" t="s">
        <v>15</v>
      </c>
      <c r="F221" s="32" t="str">
        <f t="shared" si="106"/>
        <v>M21</v>
      </c>
      <c r="G221" s="61" t="str">
        <f t="shared" si="106"/>
        <v>014</v>
      </c>
      <c r="H221" s="72" t="str">
        <f t="shared" si="106"/>
        <v>C4</v>
      </c>
      <c r="I221" s="72">
        <f t="shared" si="106"/>
        <v>1</v>
      </c>
      <c r="J221" s="37" t="s">
        <v>33</v>
      </c>
      <c r="K221" s="37">
        <v>14</v>
      </c>
      <c r="L221" s="26">
        <v>0.16</v>
      </c>
      <c r="M221" s="26">
        <v>1.52</v>
      </c>
      <c r="N221" s="29">
        <f t="shared" si="104"/>
        <v>1.36</v>
      </c>
      <c r="O221" s="58" t="str">
        <f t="shared" si="105"/>
        <v>OK</v>
      </c>
    </row>
    <row r="222" spans="1:15" x14ac:dyDescent="0.25">
      <c r="A222" s="54" t="s">
        <v>16</v>
      </c>
      <c r="B222" s="32">
        <v>4</v>
      </c>
      <c r="C222" s="32">
        <v>1119598</v>
      </c>
      <c r="D222" s="39">
        <v>46148</v>
      </c>
      <c r="E222" s="32" t="s">
        <v>15</v>
      </c>
      <c r="F222" s="32" t="str">
        <f t="shared" si="106"/>
        <v>M21</v>
      </c>
      <c r="G222" s="61" t="str">
        <f t="shared" si="106"/>
        <v>014</v>
      </c>
      <c r="H222" s="72" t="str">
        <f t="shared" si="106"/>
        <v>C4</v>
      </c>
      <c r="I222" s="72">
        <f t="shared" si="106"/>
        <v>1</v>
      </c>
      <c r="J222" s="37" t="s">
        <v>34</v>
      </c>
      <c r="K222" s="37">
        <v>14</v>
      </c>
      <c r="L222" s="26">
        <v>0.17</v>
      </c>
      <c r="M222" s="26">
        <v>2.09</v>
      </c>
      <c r="N222" s="29">
        <f t="shared" si="104"/>
        <v>1.92</v>
      </c>
      <c r="O222" s="58" t="str">
        <f t="shared" si="105"/>
        <v>OK</v>
      </c>
    </row>
    <row r="223" spans="1:15" x14ac:dyDescent="0.25">
      <c r="A223" s="54" t="s">
        <v>16</v>
      </c>
      <c r="B223" s="32">
        <v>4</v>
      </c>
      <c r="C223" s="32">
        <v>1119598</v>
      </c>
      <c r="D223" s="39">
        <v>46148</v>
      </c>
      <c r="E223" s="32" t="s">
        <v>15</v>
      </c>
      <c r="F223" s="32" t="str">
        <f t="shared" si="106"/>
        <v>M21</v>
      </c>
      <c r="G223" s="61" t="str">
        <f t="shared" si="106"/>
        <v>014</v>
      </c>
      <c r="H223" s="72" t="str">
        <f t="shared" si="106"/>
        <v>C4</v>
      </c>
      <c r="I223" s="72">
        <v>2</v>
      </c>
      <c r="J223" s="37" t="s">
        <v>35</v>
      </c>
      <c r="K223" s="37">
        <v>15</v>
      </c>
      <c r="L223" s="26">
        <v>0.16</v>
      </c>
      <c r="M223" s="26">
        <v>1.46</v>
      </c>
      <c r="N223" s="29">
        <f t="shared" si="104"/>
        <v>1.3</v>
      </c>
      <c r="O223" s="58" t="str">
        <f t="shared" si="105"/>
        <v>OK</v>
      </c>
    </row>
    <row r="224" spans="1:15" x14ac:dyDescent="0.25">
      <c r="A224" s="54" t="s">
        <v>16</v>
      </c>
      <c r="B224" s="32">
        <v>4</v>
      </c>
      <c r="C224" s="32">
        <v>1119598</v>
      </c>
      <c r="D224" s="39">
        <v>46148</v>
      </c>
      <c r="E224" s="32" t="s">
        <v>15</v>
      </c>
      <c r="F224" s="32" t="str">
        <f t="shared" si="106"/>
        <v>M21</v>
      </c>
      <c r="G224" s="61" t="str">
        <f t="shared" si="106"/>
        <v>014</v>
      </c>
      <c r="H224" s="72" t="str">
        <f t="shared" si="106"/>
        <v>C4</v>
      </c>
      <c r="I224" s="72">
        <f t="shared" si="106"/>
        <v>2</v>
      </c>
      <c r="J224" s="37" t="s">
        <v>36</v>
      </c>
      <c r="K224" s="37">
        <v>15</v>
      </c>
      <c r="L224" s="26">
        <v>0.75</v>
      </c>
      <c r="M224" s="26">
        <v>2.69</v>
      </c>
      <c r="N224" s="29">
        <f t="shared" si="104"/>
        <v>1.94</v>
      </c>
      <c r="O224" s="58" t="str">
        <f t="shared" si="105"/>
        <v>OK</v>
      </c>
    </row>
    <row r="225" spans="1:15" x14ac:dyDescent="0.25">
      <c r="A225" s="54" t="s">
        <v>16</v>
      </c>
      <c r="B225" s="32">
        <v>4</v>
      </c>
      <c r="C225" s="32">
        <v>1119598</v>
      </c>
      <c r="D225" s="39">
        <v>46148</v>
      </c>
      <c r="E225" s="32" t="s">
        <v>15</v>
      </c>
      <c r="F225" s="32" t="str">
        <f t="shared" si="106"/>
        <v>M21</v>
      </c>
      <c r="G225" s="61" t="str">
        <f t="shared" si="106"/>
        <v>014</v>
      </c>
      <c r="H225" s="72" t="str">
        <f t="shared" si="106"/>
        <v>C4</v>
      </c>
      <c r="I225" s="72">
        <f t="shared" si="106"/>
        <v>2</v>
      </c>
      <c r="J225" s="37" t="s">
        <v>37</v>
      </c>
      <c r="K225" s="37">
        <v>16</v>
      </c>
      <c r="L225" s="26">
        <v>0.79</v>
      </c>
      <c r="M225" s="26">
        <v>2.4900000000000002</v>
      </c>
      <c r="N225" s="29">
        <f t="shared" si="104"/>
        <v>1.7000000000000002</v>
      </c>
      <c r="O225" s="58" t="str">
        <f t="shared" si="105"/>
        <v>OK</v>
      </c>
    </row>
    <row r="226" spans="1:15" x14ac:dyDescent="0.25">
      <c r="A226" s="54" t="s">
        <v>16</v>
      </c>
      <c r="B226" s="32">
        <v>4</v>
      </c>
      <c r="C226" s="32">
        <v>1119598</v>
      </c>
      <c r="D226" s="39">
        <v>46148</v>
      </c>
      <c r="E226" s="32" t="s">
        <v>15</v>
      </c>
      <c r="F226" s="32" t="str">
        <f t="shared" si="106"/>
        <v>M21</v>
      </c>
      <c r="G226" s="61" t="str">
        <f t="shared" si="106"/>
        <v>014</v>
      </c>
      <c r="H226" s="72" t="str">
        <f t="shared" si="106"/>
        <v>C4</v>
      </c>
      <c r="I226" s="72">
        <f t="shared" si="106"/>
        <v>2</v>
      </c>
      <c r="J226" s="37" t="s">
        <v>38</v>
      </c>
      <c r="K226" s="37">
        <v>16</v>
      </c>
      <c r="L226" s="26">
        <v>0.81</v>
      </c>
      <c r="M226" s="26">
        <v>2.95</v>
      </c>
      <c r="N226" s="29">
        <f t="shared" si="104"/>
        <v>2.14</v>
      </c>
      <c r="O226" s="58" t="str">
        <f t="shared" si="105"/>
        <v>OK</v>
      </c>
    </row>
    <row r="227" spans="1:15" x14ac:dyDescent="0.25">
      <c r="A227" s="54" t="s">
        <v>16</v>
      </c>
      <c r="B227" s="32">
        <v>4</v>
      </c>
      <c r="C227" s="32">
        <v>1119598</v>
      </c>
      <c r="D227" s="39">
        <v>46148</v>
      </c>
      <c r="E227" s="32" t="s">
        <v>15</v>
      </c>
      <c r="F227" s="32" t="s">
        <v>44</v>
      </c>
      <c r="G227" s="61" t="s">
        <v>67</v>
      </c>
      <c r="H227" s="72" t="s">
        <v>46</v>
      </c>
      <c r="I227" s="72">
        <v>1</v>
      </c>
      <c r="J227" s="37" t="s">
        <v>31</v>
      </c>
      <c r="K227" s="37">
        <v>17</v>
      </c>
      <c r="L227" s="26">
        <v>0.98</v>
      </c>
      <c r="M227" s="26">
        <v>5.03</v>
      </c>
      <c r="N227" s="29">
        <f t="shared" si="104"/>
        <v>4.0500000000000007</v>
      </c>
      <c r="O227" s="58" t="str">
        <f t="shared" si="105"/>
        <v>OK</v>
      </c>
    </row>
    <row r="228" spans="1:15" x14ac:dyDescent="0.25">
      <c r="A228" s="54" t="s">
        <v>16</v>
      </c>
      <c r="B228" s="32">
        <v>4</v>
      </c>
      <c r="C228" s="32">
        <v>1119598</v>
      </c>
      <c r="D228" s="39">
        <v>46148</v>
      </c>
      <c r="E228" s="32" t="s">
        <v>15</v>
      </c>
      <c r="F228" s="32" t="str">
        <f t="shared" ref="F228:I242" si="107">F227</f>
        <v>M22</v>
      </c>
      <c r="G228" s="61" t="str">
        <f t="shared" si="107"/>
        <v>308</v>
      </c>
      <c r="H228" s="72" t="str">
        <f t="shared" si="107"/>
        <v>C5</v>
      </c>
      <c r="I228" s="72">
        <f t="shared" si="107"/>
        <v>1</v>
      </c>
      <c r="J228" s="37" t="s">
        <v>32</v>
      </c>
      <c r="K228" s="37">
        <v>17</v>
      </c>
      <c r="L228" s="26">
        <v>0.73</v>
      </c>
      <c r="M228" s="26">
        <v>4.8600000000000003</v>
      </c>
      <c r="N228" s="29">
        <f t="shared" si="104"/>
        <v>4.1300000000000008</v>
      </c>
      <c r="O228" s="58" t="str">
        <f t="shared" si="105"/>
        <v>OK</v>
      </c>
    </row>
    <row r="229" spans="1:15" x14ac:dyDescent="0.25">
      <c r="A229" s="54" t="s">
        <v>16</v>
      </c>
      <c r="B229" s="32">
        <v>4</v>
      </c>
      <c r="C229" s="32">
        <v>1119598</v>
      </c>
      <c r="D229" s="39">
        <v>46148</v>
      </c>
      <c r="E229" s="32" t="s">
        <v>15</v>
      </c>
      <c r="F229" s="32" t="str">
        <f t="shared" si="107"/>
        <v>M22</v>
      </c>
      <c r="G229" s="61" t="str">
        <f t="shared" si="107"/>
        <v>308</v>
      </c>
      <c r="H229" s="72" t="str">
        <f t="shared" si="107"/>
        <v>C5</v>
      </c>
      <c r="I229" s="72">
        <f t="shared" si="107"/>
        <v>1</v>
      </c>
      <c r="J229" s="37" t="s">
        <v>33</v>
      </c>
      <c r="K229" s="37">
        <v>18</v>
      </c>
      <c r="L229" s="26">
        <v>0.66</v>
      </c>
      <c r="M229" s="26">
        <v>4.8899999999999997</v>
      </c>
      <c r="N229" s="29">
        <f t="shared" si="104"/>
        <v>4.2299999999999995</v>
      </c>
      <c r="O229" s="58" t="str">
        <f t="shared" si="105"/>
        <v>OK</v>
      </c>
    </row>
    <row r="230" spans="1:15" x14ac:dyDescent="0.25">
      <c r="A230" s="54" t="s">
        <v>16</v>
      </c>
      <c r="B230" s="32">
        <v>4</v>
      </c>
      <c r="C230" s="32">
        <v>1119598</v>
      </c>
      <c r="D230" s="39">
        <v>46148</v>
      </c>
      <c r="E230" s="32" t="s">
        <v>15</v>
      </c>
      <c r="F230" s="32" t="str">
        <f t="shared" si="107"/>
        <v>M22</v>
      </c>
      <c r="G230" s="61" t="str">
        <f t="shared" si="107"/>
        <v>308</v>
      </c>
      <c r="H230" s="72" t="str">
        <f t="shared" si="107"/>
        <v>C5</v>
      </c>
      <c r="I230" s="72">
        <f t="shared" si="107"/>
        <v>1</v>
      </c>
      <c r="J230" s="37" t="s">
        <v>34</v>
      </c>
      <c r="K230" s="37">
        <v>18</v>
      </c>
      <c r="L230" s="26">
        <v>1.36</v>
      </c>
      <c r="M230" s="26">
        <v>4.83</v>
      </c>
      <c r="N230" s="29">
        <f t="shared" si="104"/>
        <v>3.4699999999999998</v>
      </c>
      <c r="O230" s="58" t="str">
        <f t="shared" si="105"/>
        <v>OK</v>
      </c>
    </row>
    <row r="231" spans="1:15" x14ac:dyDescent="0.25">
      <c r="A231" s="54" t="s">
        <v>16</v>
      </c>
      <c r="B231" s="32">
        <v>4</v>
      </c>
      <c r="C231" s="32">
        <v>1119598</v>
      </c>
      <c r="D231" s="39">
        <v>46148</v>
      </c>
      <c r="E231" s="32" t="s">
        <v>15</v>
      </c>
      <c r="F231" s="32" t="str">
        <f t="shared" si="107"/>
        <v>M22</v>
      </c>
      <c r="G231" s="61" t="str">
        <f t="shared" si="107"/>
        <v>308</v>
      </c>
      <c r="H231" s="72" t="str">
        <f t="shared" si="107"/>
        <v>C5</v>
      </c>
      <c r="I231" s="72">
        <v>2</v>
      </c>
      <c r="J231" s="37" t="s">
        <v>35</v>
      </c>
      <c r="K231" s="37">
        <v>19</v>
      </c>
      <c r="L231" s="26">
        <v>0.67</v>
      </c>
      <c r="M231" s="26">
        <v>5</v>
      </c>
      <c r="N231" s="29">
        <f t="shared" si="104"/>
        <v>4.33</v>
      </c>
      <c r="O231" s="58" t="str">
        <f t="shared" si="105"/>
        <v>OK</v>
      </c>
    </row>
    <row r="232" spans="1:15" x14ac:dyDescent="0.25">
      <c r="A232" s="54" t="s">
        <v>16</v>
      </c>
      <c r="B232" s="32">
        <v>4</v>
      </c>
      <c r="C232" s="32">
        <v>1119598</v>
      </c>
      <c r="D232" s="39">
        <v>46148</v>
      </c>
      <c r="E232" s="32" t="s">
        <v>15</v>
      </c>
      <c r="F232" s="32" t="str">
        <f t="shared" si="107"/>
        <v>M22</v>
      </c>
      <c r="G232" s="61" t="str">
        <f t="shared" si="107"/>
        <v>308</v>
      </c>
      <c r="H232" s="72" t="str">
        <f t="shared" si="107"/>
        <v>C5</v>
      </c>
      <c r="I232" s="72">
        <f t="shared" si="107"/>
        <v>2</v>
      </c>
      <c r="J232" s="37" t="s">
        <v>36</v>
      </c>
      <c r="K232" s="37">
        <v>19</v>
      </c>
      <c r="L232" s="26">
        <v>1.22</v>
      </c>
      <c r="M232" s="26">
        <v>1.59</v>
      </c>
      <c r="N232" s="29">
        <f t="shared" si="104"/>
        <v>0.37000000000000011</v>
      </c>
      <c r="O232" s="58" t="str">
        <f t="shared" si="105"/>
        <v>Seguimiento</v>
      </c>
    </row>
    <row r="233" spans="1:15" x14ac:dyDescent="0.25">
      <c r="A233" s="54" t="s">
        <v>16</v>
      </c>
      <c r="B233" s="32">
        <v>4</v>
      </c>
      <c r="C233" s="32">
        <v>1119598</v>
      </c>
      <c r="D233" s="39">
        <v>46148</v>
      </c>
      <c r="E233" s="32" t="s">
        <v>15</v>
      </c>
      <c r="F233" s="32" t="str">
        <f t="shared" si="107"/>
        <v>M22</v>
      </c>
      <c r="G233" s="61" t="str">
        <f t="shared" si="107"/>
        <v>308</v>
      </c>
      <c r="H233" s="72" t="str">
        <f t="shared" si="107"/>
        <v>C5</v>
      </c>
      <c r="I233" s="72">
        <f t="shared" si="107"/>
        <v>2</v>
      </c>
      <c r="J233" s="37" t="s">
        <v>37</v>
      </c>
      <c r="K233" s="37">
        <v>20</v>
      </c>
      <c r="L233" s="26">
        <v>0.87</v>
      </c>
      <c r="M233" s="26">
        <v>2.08</v>
      </c>
      <c r="N233" s="29">
        <f t="shared" si="104"/>
        <v>1.21</v>
      </c>
      <c r="O233" s="58" t="str">
        <f t="shared" si="105"/>
        <v>OK</v>
      </c>
    </row>
    <row r="234" spans="1:15" x14ac:dyDescent="0.25">
      <c r="A234" s="54" t="s">
        <v>16</v>
      </c>
      <c r="B234" s="32">
        <v>4</v>
      </c>
      <c r="C234" s="32">
        <v>1119598</v>
      </c>
      <c r="D234" s="39">
        <v>46148</v>
      </c>
      <c r="E234" s="32" t="s">
        <v>15</v>
      </c>
      <c r="F234" s="32" t="str">
        <f t="shared" si="107"/>
        <v>M22</v>
      </c>
      <c r="G234" s="61" t="str">
        <f t="shared" si="107"/>
        <v>308</v>
      </c>
      <c r="H234" s="72" t="str">
        <f t="shared" si="107"/>
        <v>C5</v>
      </c>
      <c r="I234" s="72">
        <f t="shared" si="107"/>
        <v>2</v>
      </c>
      <c r="J234" s="37" t="s">
        <v>38</v>
      </c>
      <c r="K234" s="37">
        <v>20</v>
      </c>
      <c r="L234" s="26">
        <v>0.45</v>
      </c>
      <c r="M234" s="26">
        <v>4.3899999999999997</v>
      </c>
      <c r="N234" s="29">
        <f t="shared" si="104"/>
        <v>3.9399999999999995</v>
      </c>
      <c r="O234" s="58" t="str">
        <f t="shared" si="105"/>
        <v>OK</v>
      </c>
    </row>
    <row r="235" spans="1:15" x14ac:dyDescent="0.25">
      <c r="A235" s="54" t="s">
        <v>16</v>
      </c>
      <c r="B235" s="32">
        <v>4</v>
      </c>
      <c r="C235" s="32">
        <v>1119598</v>
      </c>
      <c r="D235" s="39">
        <v>46148</v>
      </c>
      <c r="E235" s="32" t="s">
        <v>15</v>
      </c>
      <c r="F235" s="32" t="str">
        <f t="shared" si="107"/>
        <v>M22</v>
      </c>
      <c r="G235" s="61" t="str">
        <f t="shared" si="107"/>
        <v>308</v>
      </c>
      <c r="H235" s="72" t="s">
        <v>47</v>
      </c>
      <c r="I235" s="72">
        <v>1</v>
      </c>
      <c r="J235" s="37" t="s">
        <v>31</v>
      </c>
      <c r="K235" s="37">
        <v>21</v>
      </c>
      <c r="L235" s="26">
        <v>0.48</v>
      </c>
      <c r="M235" s="26">
        <v>4.8899999999999997</v>
      </c>
      <c r="N235" s="29">
        <f t="shared" si="104"/>
        <v>4.41</v>
      </c>
      <c r="O235" s="58" t="str">
        <f t="shared" si="105"/>
        <v>OK</v>
      </c>
    </row>
    <row r="236" spans="1:15" x14ac:dyDescent="0.25">
      <c r="A236" s="54" t="s">
        <v>16</v>
      </c>
      <c r="B236" s="32">
        <v>4</v>
      </c>
      <c r="C236" s="32">
        <v>1119598</v>
      </c>
      <c r="D236" s="39">
        <v>46148</v>
      </c>
      <c r="E236" s="32" t="s">
        <v>15</v>
      </c>
      <c r="F236" s="32" t="str">
        <f t="shared" si="107"/>
        <v>M22</v>
      </c>
      <c r="G236" s="61" t="str">
        <f t="shared" si="107"/>
        <v>308</v>
      </c>
      <c r="H236" s="72" t="str">
        <f t="shared" si="107"/>
        <v>C6</v>
      </c>
      <c r="I236" s="72">
        <f t="shared" si="107"/>
        <v>1</v>
      </c>
      <c r="J236" s="37" t="s">
        <v>32</v>
      </c>
      <c r="K236" s="37">
        <v>21</v>
      </c>
      <c r="L236" s="26">
        <v>0.6</v>
      </c>
      <c r="M236" s="26">
        <v>5.07</v>
      </c>
      <c r="N236" s="29">
        <f t="shared" si="104"/>
        <v>4.4700000000000006</v>
      </c>
      <c r="O236" s="58" t="str">
        <f t="shared" si="105"/>
        <v>OK</v>
      </c>
    </row>
    <row r="237" spans="1:15" x14ac:dyDescent="0.25">
      <c r="A237" s="54" t="s">
        <v>16</v>
      </c>
      <c r="B237" s="32">
        <v>4</v>
      </c>
      <c r="C237" s="32">
        <v>1119598</v>
      </c>
      <c r="D237" s="39">
        <v>46148</v>
      </c>
      <c r="E237" s="32" t="s">
        <v>15</v>
      </c>
      <c r="F237" s="32" t="str">
        <f t="shared" si="107"/>
        <v>M22</v>
      </c>
      <c r="G237" s="61" t="str">
        <f t="shared" si="107"/>
        <v>308</v>
      </c>
      <c r="H237" s="72" t="str">
        <f t="shared" si="107"/>
        <v>C6</v>
      </c>
      <c r="I237" s="72">
        <f t="shared" si="107"/>
        <v>1</v>
      </c>
      <c r="J237" s="37" t="s">
        <v>33</v>
      </c>
      <c r="K237" s="37">
        <v>22</v>
      </c>
      <c r="L237" s="26">
        <v>1.95</v>
      </c>
      <c r="M237" s="26">
        <v>4.82</v>
      </c>
      <c r="N237" s="29">
        <f t="shared" si="104"/>
        <v>2.87</v>
      </c>
      <c r="O237" s="58" t="str">
        <f t="shared" si="105"/>
        <v>Reperfilado</v>
      </c>
    </row>
    <row r="238" spans="1:15" x14ac:dyDescent="0.25">
      <c r="A238" s="54" t="s">
        <v>16</v>
      </c>
      <c r="B238" s="32">
        <v>4</v>
      </c>
      <c r="C238" s="32">
        <v>1119598</v>
      </c>
      <c r="D238" s="39">
        <v>46148</v>
      </c>
      <c r="E238" s="32" t="s">
        <v>15</v>
      </c>
      <c r="F238" s="32" t="str">
        <f t="shared" si="107"/>
        <v>M22</v>
      </c>
      <c r="G238" s="61" t="str">
        <f t="shared" si="107"/>
        <v>308</v>
      </c>
      <c r="H238" s="72" t="str">
        <f t="shared" si="107"/>
        <v>C6</v>
      </c>
      <c r="I238" s="72">
        <f t="shared" si="107"/>
        <v>1</v>
      </c>
      <c r="J238" s="37" t="s">
        <v>34</v>
      </c>
      <c r="K238" s="37">
        <v>22</v>
      </c>
      <c r="L238" s="26">
        <v>1.24</v>
      </c>
      <c r="M238" s="26">
        <v>1.81</v>
      </c>
      <c r="N238" s="29">
        <f t="shared" si="104"/>
        <v>0.57000000000000006</v>
      </c>
      <c r="O238" s="58" t="str">
        <f t="shared" si="105"/>
        <v>Seguimiento</v>
      </c>
    </row>
    <row r="239" spans="1:15" x14ac:dyDescent="0.25">
      <c r="A239" s="54" t="s">
        <v>16</v>
      </c>
      <c r="B239" s="32">
        <v>4</v>
      </c>
      <c r="C239" s="32">
        <v>1119598</v>
      </c>
      <c r="D239" s="39">
        <v>46148</v>
      </c>
      <c r="E239" s="32" t="s">
        <v>15</v>
      </c>
      <c r="F239" s="32" t="str">
        <f t="shared" si="107"/>
        <v>M22</v>
      </c>
      <c r="G239" s="61" t="str">
        <f t="shared" si="107"/>
        <v>308</v>
      </c>
      <c r="H239" s="72" t="str">
        <f t="shared" si="107"/>
        <v>C6</v>
      </c>
      <c r="I239" s="72">
        <v>2</v>
      </c>
      <c r="J239" s="37" t="s">
        <v>35</v>
      </c>
      <c r="K239" s="37">
        <v>23</v>
      </c>
      <c r="L239" s="26">
        <v>0.4</v>
      </c>
      <c r="M239" s="26">
        <v>5.04</v>
      </c>
      <c r="N239" s="29">
        <f t="shared" si="104"/>
        <v>4.6399999999999997</v>
      </c>
      <c r="O239" s="58" t="str">
        <f t="shared" si="105"/>
        <v>OK</v>
      </c>
    </row>
    <row r="240" spans="1:15" x14ac:dyDescent="0.25">
      <c r="A240" s="54" t="s">
        <v>16</v>
      </c>
      <c r="B240" s="32">
        <v>4</v>
      </c>
      <c r="C240" s="32">
        <v>1119598</v>
      </c>
      <c r="D240" s="39">
        <v>46148</v>
      </c>
      <c r="E240" s="32" t="s">
        <v>15</v>
      </c>
      <c r="F240" s="32" t="str">
        <f t="shared" si="107"/>
        <v>M22</v>
      </c>
      <c r="G240" s="61" t="str">
        <f t="shared" si="107"/>
        <v>308</v>
      </c>
      <c r="H240" s="72" t="str">
        <f t="shared" si="107"/>
        <v>C6</v>
      </c>
      <c r="I240" s="72">
        <f t="shared" si="107"/>
        <v>2</v>
      </c>
      <c r="J240" s="37" t="s">
        <v>36</v>
      </c>
      <c r="K240" s="37">
        <v>23</v>
      </c>
      <c r="L240" s="26">
        <v>0.76</v>
      </c>
      <c r="M240" s="26">
        <v>4.76</v>
      </c>
      <c r="N240" s="29">
        <f t="shared" si="104"/>
        <v>4</v>
      </c>
      <c r="O240" s="58" t="str">
        <f t="shared" si="105"/>
        <v>OK</v>
      </c>
    </row>
    <row r="241" spans="1:15" x14ac:dyDescent="0.25">
      <c r="A241" s="54" t="s">
        <v>16</v>
      </c>
      <c r="B241" s="32">
        <v>4</v>
      </c>
      <c r="C241" s="32">
        <v>1119598</v>
      </c>
      <c r="D241" s="39">
        <v>46148</v>
      </c>
      <c r="E241" s="32" t="s">
        <v>15</v>
      </c>
      <c r="F241" s="32" t="str">
        <f t="shared" si="107"/>
        <v>M22</v>
      </c>
      <c r="G241" s="61" t="str">
        <f t="shared" si="107"/>
        <v>308</v>
      </c>
      <c r="H241" s="72" t="str">
        <f t="shared" si="107"/>
        <v>C6</v>
      </c>
      <c r="I241" s="72">
        <f t="shared" si="107"/>
        <v>2</v>
      </c>
      <c r="J241" s="37" t="s">
        <v>37</v>
      </c>
      <c r="K241" s="37">
        <v>24</v>
      </c>
      <c r="L241" s="26">
        <v>0.37</v>
      </c>
      <c r="M241" s="26">
        <v>5.03</v>
      </c>
      <c r="N241" s="29">
        <f t="shared" si="104"/>
        <v>4.66</v>
      </c>
      <c r="O241" s="58" t="str">
        <f t="shared" si="105"/>
        <v>OK</v>
      </c>
    </row>
    <row r="242" spans="1:15" x14ac:dyDescent="0.25">
      <c r="A242" s="54" t="s">
        <v>16</v>
      </c>
      <c r="B242" s="32">
        <v>4</v>
      </c>
      <c r="C242" s="32">
        <v>1119598</v>
      </c>
      <c r="D242" s="39">
        <v>46148</v>
      </c>
      <c r="E242" s="32" t="s">
        <v>15</v>
      </c>
      <c r="F242" s="32" t="str">
        <f t="shared" si="107"/>
        <v>M22</v>
      </c>
      <c r="G242" s="61" t="str">
        <f t="shared" si="107"/>
        <v>308</v>
      </c>
      <c r="H242" s="72" t="str">
        <f t="shared" si="107"/>
        <v>C6</v>
      </c>
      <c r="I242" s="72">
        <f t="shared" si="107"/>
        <v>2</v>
      </c>
      <c r="J242" s="37" t="s">
        <v>38</v>
      </c>
      <c r="K242" s="37">
        <v>24</v>
      </c>
      <c r="L242" s="26">
        <v>0.7</v>
      </c>
      <c r="M242" s="26">
        <v>4.68</v>
      </c>
      <c r="N242" s="29">
        <f t="shared" si="104"/>
        <v>3.9799999999999995</v>
      </c>
      <c r="O242" s="58" t="str">
        <f t="shared" si="105"/>
        <v>OK</v>
      </c>
    </row>
    <row r="243" spans="1:15" x14ac:dyDescent="0.25">
      <c r="A243" s="54" t="s">
        <v>16</v>
      </c>
      <c r="B243" s="32">
        <v>4</v>
      </c>
      <c r="C243" s="32">
        <v>1119598</v>
      </c>
      <c r="D243" s="39">
        <v>46148</v>
      </c>
      <c r="E243" s="32" t="s">
        <v>15</v>
      </c>
      <c r="F243" s="32" t="s">
        <v>44</v>
      </c>
      <c r="G243" s="61" t="s">
        <v>68</v>
      </c>
      <c r="H243" s="72" t="s">
        <v>47</v>
      </c>
      <c r="I243" s="72">
        <v>2</v>
      </c>
      <c r="J243" s="37" t="s">
        <v>31</v>
      </c>
      <c r="K243" s="37">
        <v>25</v>
      </c>
      <c r="L243" s="26">
        <v>0.5</v>
      </c>
      <c r="M243" s="26">
        <v>2.36</v>
      </c>
      <c r="N243" s="29">
        <f t="shared" si="104"/>
        <v>1.8599999999999999</v>
      </c>
      <c r="O243" s="58" t="str">
        <f t="shared" si="105"/>
        <v>OK</v>
      </c>
    </row>
    <row r="244" spans="1:15" x14ac:dyDescent="0.25">
      <c r="A244" s="54" t="s">
        <v>16</v>
      </c>
      <c r="B244" s="32">
        <v>4</v>
      </c>
      <c r="C244" s="32">
        <v>1119598</v>
      </c>
      <c r="D244" s="39">
        <v>46148</v>
      </c>
      <c r="E244" s="32" t="s">
        <v>15</v>
      </c>
      <c r="F244" s="32" t="str">
        <f t="shared" ref="F244:I258" si="108">F243</f>
        <v>M22</v>
      </c>
      <c r="G244" s="61" t="str">
        <f t="shared" si="108"/>
        <v>309</v>
      </c>
      <c r="H244" s="72" t="str">
        <f t="shared" si="108"/>
        <v>C6</v>
      </c>
      <c r="I244" s="72">
        <f t="shared" si="108"/>
        <v>2</v>
      </c>
      <c r="J244" s="37" t="s">
        <v>32</v>
      </c>
      <c r="K244" s="37">
        <v>25</v>
      </c>
      <c r="L244" s="26">
        <v>0.84</v>
      </c>
      <c r="M244" s="26">
        <v>4.7</v>
      </c>
      <c r="N244" s="29">
        <f t="shared" si="104"/>
        <v>3.8600000000000003</v>
      </c>
      <c r="O244" s="58" t="str">
        <f t="shared" si="105"/>
        <v>OK</v>
      </c>
    </row>
    <row r="245" spans="1:15" x14ac:dyDescent="0.25">
      <c r="A245" s="54" t="s">
        <v>16</v>
      </c>
      <c r="B245" s="32">
        <v>4</v>
      </c>
      <c r="C245" s="32">
        <v>1119598</v>
      </c>
      <c r="D245" s="39">
        <v>46148</v>
      </c>
      <c r="E245" s="32" t="s">
        <v>15</v>
      </c>
      <c r="F245" s="32" t="str">
        <f t="shared" si="108"/>
        <v>M22</v>
      </c>
      <c r="G245" s="61" t="str">
        <f t="shared" si="108"/>
        <v>309</v>
      </c>
      <c r="H245" s="72" t="str">
        <f t="shared" si="108"/>
        <v>C6</v>
      </c>
      <c r="I245" s="72">
        <f t="shared" si="108"/>
        <v>2</v>
      </c>
      <c r="J245" s="37" t="s">
        <v>33</v>
      </c>
      <c r="K245" s="37">
        <v>26</v>
      </c>
      <c r="L245" s="26">
        <v>1.05</v>
      </c>
      <c r="M245" s="26">
        <v>5.08</v>
      </c>
      <c r="N245" s="29">
        <f t="shared" si="104"/>
        <v>4.03</v>
      </c>
      <c r="O245" s="58" t="str">
        <f t="shared" si="105"/>
        <v>OK</v>
      </c>
    </row>
    <row r="246" spans="1:15" x14ac:dyDescent="0.25">
      <c r="A246" s="54" t="s">
        <v>16</v>
      </c>
      <c r="B246" s="32">
        <v>4</v>
      </c>
      <c r="C246" s="32">
        <v>1119598</v>
      </c>
      <c r="D246" s="39">
        <v>46148</v>
      </c>
      <c r="E246" s="32" t="s">
        <v>15</v>
      </c>
      <c r="F246" s="32" t="str">
        <f t="shared" si="108"/>
        <v>M22</v>
      </c>
      <c r="G246" s="61" t="str">
        <f t="shared" si="108"/>
        <v>309</v>
      </c>
      <c r="H246" s="72" t="str">
        <f t="shared" si="108"/>
        <v>C6</v>
      </c>
      <c r="I246" s="72">
        <f t="shared" si="108"/>
        <v>2</v>
      </c>
      <c r="J246" s="37" t="s">
        <v>34</v>
      </c>
      <c r="K246" s="37">
        <v>26</v>
      </c>
      <c r="L246" s="26">
        <v>0.97</v>
      </c>
      <c r="M246" s="26">
        <v>4.07</v>
      </c>
      <c r="N246" s="29">
        <f t="shared" si="104"/>
        <v>3.1000000000000005</v>
      </c>
      <c r="O246" s="58" t="str">
        <f t="shared" si="105"/>
        <v>OK</v>
      </c>
    </row>
    <row r="247" spans="1:15" x14ac:dyDescent="0.25">
      <c r="A247" s="54" t="s">
        <v>16</v>
      </c>
      <c r="B247" s="32">
        <v>4</v>
      </c>
      <c r="C247" s="32">
        <v>1119598</v>
      </c>
      <c r="D247" s="39">
        <v>46148</v>
      </c>
      <c r="E247" s="32" t="s">
        <v>15</v>
      </c>
      <c r="F247" s="32" t="str">
        <f t="shared" si="108"/>
        <v>M22</v>
      </c>
      <c r="G247" s="61" t="str">
        <f t="shared" si="108"/>
        <v>309</v>
      </c>
      <c r="H247" s="72" t="str">
        <f t="shared" si="108"/>
        <v>C6</v>
      </c>
      <c r="I247" s="72">
        <v>1</v>
      </c>
      <c r="J247" s="37" t="s">
        <v>35</v>
      </c>
      <c r="K247" s="37">
        <v>27</v>
      </c>
      <c r="L247" s="26">
        <v>1.89</v>
      </c>
      <c r="M247" s="26">
        <v>3.4</v>
      </c>
      <c r="N247" s="29">
        <f t="shared" si="104"/>
        <v>1.51</v>
      </c>
      <c r="O247" s="58" t="str">
        <f t="shared" si="105"/>
        <v>Reperfilado</v>
      </c>
    </row>
    <row r="248" spans="1:15" x14ac:dyDescent="0.25">
      <c r="A248" s="54" t="s">
        <v>16</v>
      </c>
      <c r="B248" s="32">
        <v>4</v>
      </c>
      <c r="C248" s="32">
        <v>1119598</v>
      </c>
      <c r="D248" s="39">
        <v>46148</v>
      </c>
      <c r="E248" s="32" t="s">
        <v>15</v>
      </c>
      <c r="F248" s="32" t="str">
        <f t="shared" si="108"/>
        <v>M22</v>
      </c>
      <c r="G248" s="61" t="str">
        <f t="shared" si="108"/>
        <v>309</v>
      </c>
      <c r="H248" s="72" t="str">
        <f t="shared" si="108"/>
        <v>C6</v>
      </c>
      <c r="I248" s="72">
        <f t="shared" si="108"/>
        <v>1</v>
      </c>
      <c r="J248" s="37" t="s">
        <v>36</v>
      </c>
      <c r="K248" s="37">
        <v>27</v>
      </c>
      <c r="L248" s="26">
        <v>1.2</v>
      </c>
      <c r="M248" s="26">
        <v>2.71</v>
      </c>
      <c r="N248" s="29">
        <f t="shared" si="104"/>
        <v>1.51</v>
      </c>
      <c r="O248" s="58" t="str">
        <f t="shared" si="105"/>
        <v>OK</v>
      </c>
    </row>
    <row r="249" spans="1:15" x14ac:dyDescent="0.25">
      <c r="A249" s="54" t="s">
        <v>16</v>
      </c>
      <c r="B249" s="32">
        <v>4</v>
      </c>
      <c r="C249" s="32">
        <v>1119598</v>
      </c>
      <c r="D249" s="39">
        <v>46148</v>
      </c>
      <c r="E249" s="32" t="s">
        <v>15</v>
      </c>
      <c r="F249" s="32" t="str">
        <f t="shared" si="108"/>
        <v>M22</v>
      </c>
      <c r="G249" s="61" t="str">
        <f t="shared" si="108"/>
        <v>309</v>
      </c>
      <c r="H249" s="72" t="str">
        <f t="shared" si="108"/>
        <v>C6</v>
      </c>
      <c r="I249" s="72">
        <f t="shared" si="108"/>
        <v>1</v>
      </c>
      <c r="J249" s="37" t="s">
        <v>37</v>
      </c>
      <c r="K249" s="37">
        <v>28</v>
      </c>
      <c r="L249" s="26">
        <v>0.95</v>
      </c>
      <c r="M249" s="26">
        <v>2.65</v>
      </c>
      <c r="N249" s="29">
        <f t="shared" si="104"/>
        <v>1.7</v>
      </c>
      <c r="O249" s="58" t="str">
        <f t="shared" si="105"/>
        <v>OK</v>
      </c>
    </row>
    <row r="250" spans="1:15" x14ac:dyDescent="0.25">
      <c r="A250" s="54" t="s">
        <v>16</v>
      </c>
      <c r="B250" s="32">
        <v>4</v>
      </c>
      <c r="C250" s="32">
        <v>1119598</v>
      </c>
      <c r="D250" s="39">
        <v>46148</v>
      </c>
      <c r="E250" s="32" t="s">
        <v>15</v>
      </c>
      <c r="F250" s="32" t="str">
        <f t="shared" si="108"/>
        <v>M22</v>
      </c>
      <c r="G250" s="61" t="str">
        <f t="shared" si="108"/>
        <v>309</v>
      </c>
      <c r="H250" s="72" t="str">
        <f t="shared" si="108"/>
        <v>C6</v>
      </c>
      <c r="I250" s="72">
        <f t="shared" si="108"/>
        <v>1</v>
      </c>
      <c r="J250" s="37" t="s">
        <v>38</v>
      </c>
      <c r="K250" s="37">
        <v>28</v>
      </c>
      <c r="L250" s="26">
        <v>0.89</v>
      </c>
      <c r="M250" s="26">
        <v>3.52</v>
      </c>
      <c r="N250" s="29">
        <f t="shared" si="104"/>
        <v>2.63</v>
      </c>
      <c r="O250" s="58" t="str">
        <f t="shared" si="105"/>
        <v>OK</v>
      </c>
    </row>
    <row r="251" spans="1:15" x14ac:dyDescent="0.25">
      <c r="A251" s="54" t="s">
        <v>16</v>
      </c>
      <c r="B251" s="32">
        <v>4</v>
      </c>
      <c r="C251" s="32">
        <v>1119598</v>
      </c>
      <c r="D251" s="39">
        <v>46148</v>
      </c>
      <c r="E251" s="32" t="s">
        <v>15</v>
      </c>
      <c r="F251" s="32" t="str">
        <f t="shared" si="108"/>
        <v>M22</v>
      </c>
      <c r="G251" s="61" t="str">
        <f t="shared" si="108"/>
        <v>309</v>
      </c>
      <c r="H251" s="72" t="s">
        <v>46</v>
      </c>
      <c r="I251" s="72">
        <v>2</v>
      </c>
      <c r="J251" s="37" t="s">
        <v>31</v>
      </c>
      <c r="K251" s="37">
        <v>29</v>
      </c>
      <c r="L251" s="26">
        <v>1.28</v>
      </c>
      <c r="M251" s="26">
        <v>1.96</v>
      </c>
      <c r="N251" s="29">
        <f t="shared" si="104"/>
        <v>0.67999999999999994</v>
      </c>
      <c r="O251" s="58" t="str">
        <f t="shared" si="105"/>
        <v>Seguimiento</v>
      </c>
    </row>
    <row r="252" spans="1:15" x14ac:dyDescent="0.25">
      <c r="A252" s="54" t="s">
        <v>16</v>
      </c>
      <c r="B252" s="32">
        <v>4</v>
      </c>
      <c r="C252" s="32">
        <v>1119598</v>
      </c>
      <c r="D252" s="39">
        <v>46148</v>
      </c>
      <c r="E252" s="32" t="s">
        <v>15</v>
      </c>
      <c r="F252" s="32" t="str">
        <f t="shared" si="108"/>
        <v>M22</v>
      </c>
      <c r="G252" s="61" t="str">
        <f t="shared" si="108"/>
        <v>309</v>
      </c>
      <c r="H252" s="72" t="str">
        <f t="shared" si="108"/>
        <v>C5</v>
      </c>
      <c r="I252" s="72">
        <f t="shared" si="108"/>
        <v>2</v>
      </c>
      <c r="J252" s="37" t="s">
        <v>32</v>
      </c>
      <c r="K252" s="37">
        <v>29</v>
      </c>
      <c r="L252" s="26">
        <v>0.8</v>
      </c>
      <c r="M252" s="26">
        <v>1.1599999999999999</v>
      </c>
      <c r="N252" s="29">
        <f t="shared" si="104"/>
        <v>0.35999999999999988</v>
      </c>
      <c r="O252" s="58" t="str">
        <f t="shared" si="105"/>
        <v>Seguimiento</v>
      </c>
    </row>
    <row r="253" spans="1:15" x14ac:dyDescent="0.25">
      <c r="A253" s="54" t="s">
        <v>16</v>
      </c>
      <c r="B253" s="32">
        <v>4</v>
      </c>
      <c r="C253" s="32">
        <v>1119598</v>
      </c>
      <c r="D253" s="39">
        <v>46148</v>
      </c>
      <c r="E253" s="32" t="s">
        <v>15</v>
      </c>
      <c r="F253" s="32" t="str">
        <f t="shared" si="108"/>
        <v>M22</v>
      </c>
      <c r="G253" s="61" t="str">
        <f t="shared" si="108"/>
        <v>309</v>
      </c>
      <c r="H253" s="72" t="str">
        <f t="shared" si="108"/>
        <v>C5</v>
      </c>
      <c r="I253" s="72">
        <f t="shared" si="108"/>
        <v>2</v>
      </c>
      <c r="J253" s="37" t="s">
        <v>33</v>
      </c>
      <c r="K253" s="37">
        <v>30</v>
      </c>
      <c r="L253" s="26">
        <v>0.93</v>
      </c>
      <c r="M253" s="26">
        <v>5.0199999999999996</v>
      </c>
      <c r="N253" s="29">
        <f t="shared" si="104"/>
        <v>4.09</v>
      </c>
      <c r="O253" s="58" t="str">
        <f t="shared" si="105"/>
        <v>OK</v>
      </c>
    </row>
    <row r="254" spans="1:15" x14ac:dyDescent="0.25">
      <c r="A254" s="54" t="s">
        <v>16</v>
      </c>
      <c r="B254" s="32">
        <v>4</v>
      </c>
      <c r="C254" s="32">
        <v>1119598</v>
      </c>
      <c r="D254" s="39">
        <v>46148</v>
      </c>
      <c r="E254" s="32" t="s">
        <v>15</v>
      </c>
      <c r="F254" s="32" t="str">
        <f t="shared" si="108"/>
        <v>M22</v>
      </c>
      <c r="G254" s="61" t="str">
        <f t="shared" si="108"/>
        <v>309</v>
      </c>
      <c r="H254" s="72" t="str">
        <f t="shared" si="108"/>
        <v>C5</v>
      </c>
      <c r="I254" s="72">
        <f t="shared" si="108"/>
        <v>2</v>
      </c>
      <c r="J254" s="37" t="s">
        <v>34</v>
      </c>
      <c r="K254" s="37">
        <v>30</v>
      </c>
      <c r="L254" s="26">
        <v>0.68</v>
      </c>
      <c r="M254" s="26">
        <v>4.93</v>
      </c>
      <c r="N254" s="29">
        <f t="shared" si="104"/>
        <v>4.25</v>
      </c>
      <c r="O254" s="58" t="str">
        <f t="shared" si="105"/>
        <v>OK</v>
      </c>
    </row>
    <row r="255" spans="1:15" x14ac:dyDescent="0.25">
      <c r="A255" s="54" t="s">
        <v>16</v>
      </c>
      <c r="B255" s="32">
        <v>4</v>
      </c>
      <c r="C255" s="32">
        <v>1119598</v>
      </c>
      <c r="D255" s="39">
        <v>46148</v>
      </c>
      <c r="E255" s="32" t="s">
        <v>15</v>
      </c>
      <c r="F255" s="32" t="str">
        <f t="shared" si="108"/>
        <v>M22</v>
      </c>
      <c r="G255" s="61" t="str">
        <f t="shared" si="108"/>
        <v>309</v>
      </c>
      <c r="H255" s="72" t="str">
        <f t="shared" si="108"/>
        <v>C5</v>
      </c>
      <c r="I255" s="72">
        <v>1</v>
      </c>
      <c r="J255" s="37" t="s">
        <v>35</v>
      </c>
      <c r="K255" s="37">
        <v>31</v>
      </c>
      <c r="L255" s="26">
        <v>1.52</v>
      </c>
      <c r="M255" s="26">
        <v>4.66</v>
      </c>
      <c r="N255" s="29">
        <f t="shared" si="104"/>
        <v>3.14</v>
      </c>
      <c r="O255" s="58" t="str">
        <f t="shared" si="105"/>
        <v>OK</v>
      </c>
    </row>
    <row r="256" spans="1:15" x14ac:dyDescent="0.25">
      <c r="A256" s="54" t="s">
        <v>16</v>
      </c>
      <c r="B256" s="32">
        <v>4</v>
      </c>
      <c r="C256" s="32">
        <v>1119598</v>
      </c>
      <c r="D256" s="39">
        <v>46148</v>
      </c>
      <c r="E256" s="32" t="s">
        <v>15</v>
      </c>
      <c r="F256" s="32" t="str">
        <f t="shared" si="108"/>
        <v>M22</v>
      </c>
      <c r="G256" s="61" t="str">
        <f t="shared" si="108"/>
        <v>309</v>
      </c>
      <c r="H256" s="72" t="str">
        <f t="shared" si="108"/>
        <v>C5</v>
      </c>
      <c r="I256" s="72">
        <f t="shared" si="108"/>
        <v>1</v>
      </c>
      <c r="J256" s="37" t="s">
        <v>36</v>
      </c>
      <c r="K256" s="37">
        <v>31</v>
      </c>
      <c r="L256" s="26">
        <v>1.01</v>
      </c>
      <c r="M256" s="26">
        <v>4.8099999999999996</v>
      </c>
      <c r="N256" s="29">
        <f t="shared" si="104"/>
        <v>3.8</v>
      </c>
      <c r="O256" s="58" t="str">
        <f t="shared" si="105"/>
        <v>OK</v>
      </c>
    </row>
    <row r="257" spans="1:15" x14ac:dyDescent="0.25">
      <c r="A257" s="54" t="s">
        <v>16</v>
      </c>
      <c r="B257" s="32">
        <v>4</v>
      </c>
      <c r="C257" s="32">
        <v>1119598</v>
      </c>
      <c r="D257" s="39">
        <v>46148</v>
      </c>
      <c r="E257" s="32" t="s">
        <v>15</v>
      </c>
      <c r="F257" s="32" t="str">
        <f t="shared" si="108"/>
        <v>M22</v>
      </c>
      <c r="G257" s="61" t="str">
        <f t="shared" si="108"/>
        <v>309</v>
      </c>
      <c r="H257" s="72" t="str">
        <f t="shared" si="108"/>
        <v>C5</v>
      </c>
      <c r="I257" s="72">
        <f t="shared" si="108"/>
        <v>1</v>
      </c>
      <c r="J257" s="37" t="s">
        <v>37</v>
      </c>
      <c r="K257" s="37">
        <v>32</v>
      </c>
      <c r="L257" s="26">
        <v>0.65</v>
      </c>
      <c r="M257" s="26">
        <v>4.7</v>
      </c>
      <c r="N257" s="29">
        <f t="shared" si="104"/>
        <v>4.05</v>
      </c>
      <c r="O257" s="58" t="str">
        <f t="shared" si="105"/>
        <v>OK</v>
      </c>
    </row>
    <row r="258" spans="1:15" x14ac:dyDescent="0.25">
      <c r="A258" s="54" t="s">
        <v>16</v>
      </c>
      <c r="B258" s="32">
        <v>4</v>
      </c>
      <c r="C258" s="32">
        <v>1119598</v>
      </c>
      <c r="D258" s="39">
        <v>46148</v>
      </c>
      <c r="E258" s="32" t="s">
        <v>15</v>
      </c>
      <c r="F258" s="32" t="str">
        <f t="shared" si="108"/>
        <v>M22</v>
      </c>
      <c r="G258" s="61" t="str">
        <f t="shared" si="108"/>
        <v>309</v>
      </c>
      <c r="H258" s="72" t="str">
        <f t="shared" si="108"/>
        <v>C5</v>
      </c>
      <c r="I258" s="72">
        <f t="shared" si="108"/>
        <v>1</v>
      </c>
      <c r="J258" s="37" t="s">
        <v>38</v>
      </c>
      <c r="K258" s="37">
        <v>32</v>
      </c>
      <c r="L258" s="26">
        <v>0.97</v>
      </c>
      <c r="M258" s="26">
        <v>1.62</v>
      </c>
      <c r="N258" s="29">
        <f t="shared" si="104"/>
        <v>0.65000000000000013</v>
      </c>
      <c r="O258" s="58" t="str">
        <f t="shared" si="105"/>
        <v>Seguimiento</v>
      </c>
    </row>
    <row r="259" spans="1:15" x14ac:dyDescent="0.25">
      <c r="A259" s="54" t="s">
        <v>16</v>
      </c>
      <c r="B259" s="32">
        <v>4</v>
      </c>
      <c r="C259" s="32">
        <v>1119598</v>
      </c>
      <c r="D259" s="39">
        <v>46148</v>
      </c>
      <c r="E259" s="32" t="s">
        <v>15</v>
      </c>
      <c r="F259" s="32" t="s">
        <v>40</v>
      </c>
      <c r="G259" s="61" t="s">
        <v>69</v>
      </c>
      <c r="H259" s="72" t="s">
        <v>43</v>
      </c>
      <c r="I259" s="72">
        <v>2</v>
      </c>
      <c r="J259" s="37" t="s">
        <v>31</v>
      </c>
      <c r="K259" s="37">
        <v>33</v>
      </c>
      <c r="L259" s="26">
        <v>0.11</v>
      </c>
      <c r="M259" s="26">
        <v>4.83</v>
      </c>
      <c r="N259" s="29">
        <f t="shared" si="104"/>
        <v>4.72</v>
      </c>
      <c r="O259" s="58" t="str">
        <f t="shared" si="105"/>
        <v>OK</v>
      </c>
    </row>
    <row r="260" spans="1:15" x14ac:dyDescent="0.25">
      <c r="A260" s="54" t="s">
        <v>16</v>
      </c>
      <c r="B260" s="32">
        <v>4</v>
      </c>
      <c r="C260" s="32">
        <v>1119598</v>
      </c>
      <c r="D260" s="39">
        <v>46148</v>
      </c>
      <c r="E260" s="32" t="s">
        <v>15</v>
      </c>
      <c r="F260" s="32" t="str">
        <f t="shared" ref="F260:I274" si="109">F259</f>
        <v>M21</v>
      </c>
      <c r="G260" s="61" t="str">
        <f t="shared" si="109"/>
        <v>016</v>
      </c>
      <c r="H260" s="72" t="str">
        <f t="shared" si="109"/>
        <v>C4</v>
      </c>
      <c r="I260" s="72">
        <f t="shared" si="109"/>
        <v>2</v>
      </c>
      <c r="J260" s="37" t="s">
        <v>32</v>
      </c>
      <c r="K260" s="37">
        <v>33</v>
      </c>
      <c r="L260" s="26">
        <v>1.05</v>
      </c>
      <c r="M260" s="26">
        <v>2.41</v>
      </c>
      <c r="N260" s="29">
        <f t="shared" ref="N260:N290" si="110">+M260-L260</f>
        <v>1.36</v>
      </c>
      <c r="O260" s="58" t="str">
        <f t="shared" ref="O260:O290" si="111">IF(N260&lt;=0,"Critico",IF(N260&lt;=0.2,"Cambio",IF(N260&lt;=1,"Seguimiento",IF(L260&gt;=1.7,"Reperfilado","OK"))))</f>
        <v>OK</v>
      </c>
    </row>
    <row r="261" spans="1:15" x14ac:dyDescent="0.25">
      <c r="A261" s="54" t="s">
        <v>16</v>
      </c>
      <c r="B261" s="32">
        <v>4</v>
      </c>
      <c r="C261" s="32">
        <v>1119598</v>
      </c>
      <c r="D261" s="39">
        <v>46148</v>
      </c>
      <c r="E261" s="32" t="s">
        <v>15</v>
      </c>
      <c r="F261" s="32" t="str">
        <f t="shared" si="109"/>
        <v>M21</v>
      </c>
      <c r="G261" s="61" t="str">
        <f t="shared" si="109"/>
        <v>016</v>
      </c>
      <c r="H261" s="72" t="str">
        <f t="shared" si="109"/>
        <v>C4</v>
      </c>
      <c r="I261" s="72">
        <f t="shared" si="109"/>
        <v>2</v>
      </c>
      <c r="J261" s="37" t="s">
        <v>33</v>
      </c>
      <c r="K261" s="37">
        <v>34</v>
      </c>
      <c r="L261" s="26">
        <v>0.21</v>
      </c>
      <c r="M261" s="26">
        <v>2.06</v>
      </c>
      <c r="N261" s="29">
        <f t="shared" si="110"/>
        <v>1.85</v>
      </c>
      <c r="O261" s="58" t="str">
        <f t="shared" si="111"/>
        <v>OK</v>
      </c>
    </row>
    <row r="262" spans="1:15" x14ac:dyDescent="0.25">
      <c r="A262" s="54" t="s">
        <v>16</v>
      </c>
      <c r="B262" s="32">
        <v>4</v>
      </c>
      <c r="C262" s="32">
        <v>1119598</v>
      </c>
      <c r="D262" s="39">
        <v>46148</v>
      </c>
      <c r="E262" s="32" t="s">
        <v>15</v>
      </c>
      <c r="F262" s="32" t="str">
        <f t="shared" si="109"/>
        <v>M21</v>
      </c>
      <c r="G262" s="61" t="str">
        <f t="shared" si="109"/>
        <v>016</v>
      </c>
      <c r="H262" s="72" t="str">
        <f t="shared" si="109"/>
        <v>C4</v>
      </c>
      <c r="I262" s="72">
        <f t="shared" si="109"/>
        <v>2</v>
      </c>
      <c r="J262" s="37" t="s">
        <v>34</v>
      </c>
      <c r="K262" s="37">
        <v>34</v>
      </c>
      <c r="L262" s="26">
        <v>0.28000000000000003</v>
      </c>
      <c r="M262" s="26">
        <v>1.31</v>
      </c>
      <c r="N262" s="29">
        <f t="shared" si="110"/>
        <v>1.03</v>
      </c>
      <c r="O262" s="58" t="str">
        <f t="shared" si="111"/>
        <v>OK</v>
      </c>
    </row>
    <row r="263" spans="1:15" x14ac:dyDescent="0.25">
      <c r="A263" s="54" t="s">
        <v>16</v>
      </c>
      <c r="B263" s="32">
        <v>4</v>
      </c>
      <c r="C263" s="32">
        <v>1119598</v>
      </c>
      <c r="D263" s="39">
        <v>46148</v>
      </c>
      <c r="E263" s="32" t="s">
        <v>15</v>
      </c>
      <c r="F263" s="32" t="str">
        <f t="shared" si="109"/>
        <v>M21</v>
      </c>
      <c r="G263" s="61" t="str">
        <f t="shared" si="109"/>
        <v>016</v>
      </c>
      <c r="H263" s="72" t="str">
        <f t="shared" si="109"/>
        <v>C4</v>
      </c>
      <c r="I263" s="72">
        <v>1</v>
      </c>
      <c r="J263" s="37" t="s">
        <v>35</v>
      </c>
      <c r="K263" s="37">
        <v>35</v>
      </c>
      <c r="L263" s="26">
        <v>0.13</v>
      </c>
      <c r="M263" s="26">
        <v>4.88</v>
      </c>
      <c r="N263" s="29">
        <f t="shared" si="110"/>
        <v>4.75</v>
      </c>
      <c r="O263" s="58" t="str">
        <f t="shared" si="111"/>
        <v>OK</v>
      </c>
    </row>
    <row r="264" spans="1:15" x14ac:dyDescent="0.25">
      <c r="A264" s="54" t="s">
        <v>16</v>
      </c>
      <c r="B264" s="32">
        <v>4</v>
      </c>
      <c r="C264" s="32">
        <v>1119598</v>
      </c>
      <c r="D264" s="39">
        <v>46148</v>
      </c>
      <c r="E264" s="32" t="s">
        <v>15</v>
      </c>
      <c r="F264" s="32" t="str">
        <f t="shared" si="109"/>
        <v>M21</v>
      </c>
      <c r="G264" s="61" t="str">
        <f t="shared" si="109"/>
        <v>016</v>
      </c>
      <c r="H264" s="72" t="str">
        <f t="shared" si="109"/>
        <v>C4</v>
      </c>
      <c r="I264" s="72">
        <f t="shared" si="109"/>
        <v>1</v>
      </c>
      <c r="J264" s="37" t="s">
        <v>36</v>
      </c>
      <c r="K264" s="37">
        <v>35</v>
      </c>
      <c r="L264" s="26">
        <v>0.49</v>
      </c>
      <c r="M264" s="26">
        <v>2.41</v>
      </c>
      <c r="N264" s="29">
        <f t="shared" si="110"/>
        <v>1.9200000000000002</v>
      </c>
      <c r="O264" s="58" t="str">
        <f t="shared" si="111"/>
        <v>OK</v>
      </c>
    </row>
    <row r="265" spans="1:15" x14ac:dyDescent="0.25">
      <c r="A265" s="54" t="s">
        <v>16</v>
      </c>
      <c r="B265" s="32">
        <v>4</v>
      </c>
      <c r="C265" s="32">
        <v>1119598</v>
      </c>
      <c r="D265" s="39">
        <v>46148</v>
      </c>
      <c r="E265" s="32" t="s">
        <v>15</v>
      </c>
      <c r="F265" s="32" t="str">
        <f t="shared" si="109"/>
        <v>M21</v>
      </c>
      <c r="G265" s="61" t="str">
        <f t="shared" si="109"/>
        <v>016</v>
      </c>
      <c r="H265" s="72" t="str">
        <f t="shared" si="109"/>
        <v>C4</v>
      </c>
      <c r="I265" s="72">
        <f t="shared" si="109"/>
        <v>1</v>
      </c>
      <c r="J265" s="37" t="s">
        <v>37</v>
      </c>
      <c r="K265" s="37">
        <v>36</v>
      </c>
      <c r="L265" s="26">
        <v>1.1299999999999999</v>
      </c>
      <c r="M265" s="26">
        <v>2.58</v>
      </c>
      <c r="N265" s="29">
        <f t="shared" si="110"/>
        <v>1.4500000000000002</v>
      </c>
      <c r="O265" s="58" t="str">
        <f t="shared" si="111"/>
        <v>OK</v>
      </c>
    </row>
    <row r="266" spans="1:15" x14ac:dyDescent="0.25">
      <c r="A266" s="54" t="s">
        <v>16</v>
      </c>
      <c r="B266" s="32">
        <v>4</v>
      </c>
      <c r="C266" s="32">
        <v>1119598</v>
      </c>
      <c r="D266" s="39">
        <v>46148</v>
      </c>
      <c r="E266" s="32" t="s">
        <v>15</v>
      </c>
      <c r="F266" s="32" t="str">
        <f t="shared" si="109"/>
        <v>M21</v>
      </c>
      <c r="G266" s="61" t="str">
        <f t="shared" si="109"/>
        <v>016</v>
      </c>
      <c r="H266" s="72" t="str">
        <f t="shared" si="109"/>
        <v>C4</v>
      </c>
      <c r="I266" s="72">
        <f t="shared" si="109"/>
        <v>1</v>
      </c>
      <c r="J266" s="37" t="s">
        <v>38</v>
      </c>
      <c r="K266" s="37">
        <v>36</v>
      </c>
      <c r="L266" s="26">
        <v>7.0000000000000007E-2</v>
      </c>
      <c r="M266" s="26">
        <v>4.88</v>
      </c>
      <c r="N266" s="29">
        <f t="shared" si="110"/>
        <v>4.8099999999999996</v>
      </c>
      <c r="O266" s="58" t="str">
        <f t="shared" si="111"/>
        <v>OK</v>
      </c>
    </row>
    <row r="267" spans="1:15" x14ac:dyDescent="0.25">
      <c r="A267" s="54" t="s">
        <v>16</v>
      </c>
      <c r="B267" s="32">
        <v>4</v>
      </c>
      <c r="C267" s="32">
        <v>1119598</v>
      </c>
      <c r="D267" s="39">
        <v>46148</v>
      </c>
      <c r="E267" s="32" t="s">
        <v>15</v>
      </c>
      <c r="F267" s="32" t="str">
        <f t="shared" si="109"/>
        <v>M21</v>
      </c>
      <c r="G267" s="61" t="str">
        <f t="shared" si="109"/>
        <v>016</v>
      </c>
      <c r="H267" s="72" t="s">
        <v>42</v>
      </c>
      <c r="I267" s="72">
        <v>2</v>
      </c>
      <c r="J267" s="37" t="s">
        <v>31</v>
      </c>
      <c r="K267" s="37">
        <v>37</v>
      </c>
      <c r="L267" s="26">
        <v>0.13</v>
      </c>
      <c r="M267" s="26">
        <v>4.8600000000000003</v>
      </c>
      <c r="N267" s="29">
        <f t="shared" si="110"/>
        <v>4.7300000000000004</v>
      </c>
      <c r="O267" s="58" t="str">
        <f t="shared" si="111"/>
        <v>OK</v>
      </c>
    </row>
    <row r="268" spans="1:15" x14ac:dyDescent="0.25">
      <c r="A268" s="54" t="s">
        <v>16</v>
      </c>
      <c r="B268" s="32">
        <v>4</v>
      </c>
      <c r="C268" s="32">
        <v>1119598</v>
      </c>
      <c r="D268" s="39">
        <v>46148</v>
      </c>
      <c r="E268" s="32" t="s">
        <v>15</v>
      </c>
      <c r="F268" s="32" t="str">
        <f t="shared" si="109"/>
        <v>M21</v>
      </c>
      <c r="G268" s="61" t="str">
        <f t="shared" si="109"/>
        <v>016</v>
      </c>
      <c r="H268" s="72" t="str">
        <f t="shared" si="109"/>
        <v>C3</v>
      </c>
      <c r="I268" s="72">
        <f t="shared" si="109"/>
        <v>2</v>
      </c>
      <c r="J268" s="37" t="s">
        <v>32</v>
      </c>
      <c r="K268" s="37">
        <v>37</v>
      </c>
      <c r="L268" s="26">
        <v>0.15</v>
      </c>
      <c r="M268" s="26">
        <v>2.11</v>
      </c>
      <c r="N268" s="29">
        <f t="shared" si="110"/>
        <v>1.96</v>
      </c>
      <c r="O268" s="58" t="str">
        <f t="shared" si="111"/>
        <v>OK</v>
      </c>
    </row>
    <row r="269" spans="1:15" x14ac:dyDescent="0.25">
      <c r="A269" s="54" t="s">
        <v>16</v>
      </c>
      <c r="B269" s="32">
        <v>4</v>
      </c>
      <c r="C269" s="32">
        <v>1119598</v>
      </c>
      <c r="D269" s="39">
        <v>46148</v>
      </c>
      <c r="E269" s="32" t="s">
        <v>15</v>
      </c>
      <c r="F269" s="32" t="str">
        <f t="shared" si="109"/>
        <v>M21</v>
      </c>
      <c r="G269" s="61" t="str">
        <f t="shared" si="109"/>
        <v>016</v>
      </c>
      <c r="H269" s="72" t="str">
        <f t="shared" si="109"/>
        <v>C3</v>
      </c>
      <c r="I269" s="72">
        <f t="shared" si="109"/>
        <v>2</v>
      </c>
      <c r="J269" s="37" t="s">
        <v>33</v>
      </c>
      <c r="K269" s="37">
        <v>38</v>
      </c>
      <c r="L269" s="26">
        <v>0.45</v>
      </c>
      <c r="M269" s="26">
        <v>1.49</v>
      </c>
      <c r="N269" s="29">
        <f t="shared" si="110"/>
        <v>1.04</v>
      </c>
      <c r="O269" s="58" t="str">
        <f t="shared" si="111"/>
        <v>OK</v>
      </c>
    </row>
    <row r="270" spans="1:15" x14ac:dyDescent="0.25">
      <c r="A270" s="54" t="s">
        <v>16</v>
      </c>
      <c r="B270" s="32">
        <v>4</v>
      </c>
      <c r="C270" s="32">
        <v>1119598</v>
      </c>
      <c r="D270" s="39">
        <v>46148</v>
      </c>
      <c r="E270" s="32" t="s">
        <v>15</v>
      </c>
      <c r="F270" s="32" t="str">
        <f t="shared" si="109"/>
        <v>M21</v>
      </c>
      <c r="G270" s="61" t="str">
        <f t="shared" si="109"/>
        <v>016</v>
      </c>
      <c r="H270" s="72" t="str">
        <f t="shared" si="109"/>
        <v>C3</v>
      </c>
      <c r="I270" s="72">
        <f t="shared" si="109"/>
        <v>2</v>
      </c>
      <c r="J270" s="37" t="s">
        <v>34</v>
      </c>
      <c r="K270" s="37">
        <v>38</v>
      </c>
      <c r="L270" s="26">
        <v>0.12</v>
      </c>
      <c r="M270" s="26">
        <v>4.88</v>
      </c>
      <c r="N270" s="29">
        <f t="shared" si="110"/>
        <v>4.76</v>
      </c>
      <c r="O270" s="58" t="str">
        <f t="shared" si="111"/>
        <v>OK</v>
      </c>
    </row>
    <row r="271" spans="1:15" x14ac:dyDescent="0.25">
      <c r="A271" s="54" t="s">
        <v>16</v>
      </c>
      <c r="B271" s="32">
        <v>4</v>
      </c>
      <c r="C271" s="32">
        <v>1119598</v>
      </c>
      <c r="D271" s="39">
        <v>46148</v>
      </c>
      <c r="E271" s="32" t="s">
        <v>15</v>
      </c>
      <c r="F271" s="32" t="str">
        <f t="shared" si="109"/>
        <v>M21</v>
      </c>
      <c r="G271" s="61" t="str">
        <f t="shared" si="109"/>
        <v>016</v>
      </c>
      <c r="H271" s="72" t="str">
        <f t="shared" si="109"/>
        <v>C3</v>
      </c>
      <c r="I271" s="72">
        <v>1</v>
      </c>
      <c r="J271" s="37" t="s">
        <v>35</v>
      </c>
      <c r="K271" s="37">
        <v>39</v>
      </c>
      <c r="L271" s="26">
        <v>0.12</v>
      </c>
      <c r="M271" s="26">
        <v>4.8499999999999996</v>
      </c>
      <c r="N271" s="29">
        <f t="shared" si="110"/>
        <v>4.7299999999999995</v>
      </c>
      <c r="O271" s="58" t="str">
        <f t="shared" si="111"/>
        <v>OK</v>
      </c>
    </row>
    <row r="272" spans="1:15" x14ac:dyDescent="0.25">
      <c r="A272" s="54" t="s">
        <v>16</v>
      </c>
      <c r="B272" s="32">
        <v>4</v>
      </c>
      <c r="C272" s="32">
        <v>1119598</v>
      </c>
      <c r="D272" s="39">
        <v>46148</v>
      </c>
      <c r="E272" s="32" t="s">
        <v>15</v>
      </c>
      <c r="F272" s="32" t="str">
        <f t="shared" si="109"/>
        <v>M21</v>
      </c>
      <c r="G272" s="61" t="str">
        <f t="shared" si="109"/>
        <v>016</v>
      </c>
      <c r="H272" s="72" t="str">
        <f t="shared" si="109"/>
        <v>C3</v>
      </c>
      <c r="I272" s="72">
        <f t="shared" si="109"/>
        <v>1</v>
      </c>
      <c r="J272" s="37" t="s">
        <v>36</v>
      </c>
      <c r="K272" s="37">
        <v>39</v>
      </c>
      <c r="L272" s="26">
        <v>0.14000000000000001</v>
      </c>
      <c r="M272" s="26">
        <v>1.95</v>
      </c>
      <c r="N272" s="29">
        <f t="shared" si="110"/>
        <v>1.81</v>
      </c>
      <c r="O272" s="58" t="str">
        <f t="shared" si="111"/>
        <v>OK</v>
      </c>
    </row>
    <row r="273" spans="1:15" x14ac:dyDescent="0.25">
      <c r="A273" s="54" t="s">
        <v>16</v>
      </c>
      <c r="B273" s="32">
        <v>4</v>
      </c>
      <c r="C273" s="32">
        <v>1119598</v>
      </c>
      <c r="D273" s="39">
        <v>46148</v>
      </c>
      <c r="E273" s="32" t="s">
        <v>15</v>
      </c>
      <c r="F273" s="32" t="str">
        <f t="shared" si="109"/>
        <v>M21</v>
      </c>
      <c r="G273" s="61" t="str">
        <f t="shared" si="109"/>
        <v>016</v>
      </c>
      <c r="H273" s="72" t="str">
        <f t="shared" si="109"/>
        <v>C3</v>
      </c>
      <c r="I273" s="72">
        <f t="shared" si="109"/>
        <v>1</v>
      </c>
      <c r="J273" s="37" t="s">
        <v>37</v>
      </c>
      <c r="K273" s="37">
        <v>40</v>
      </c>
      <c r="L273" s="26">
        <v>0.22</v>
      </c>
      <c r="M273" s="26">
        <v>1.77</v>
      </c>
      <c r="N273" s="29">
        <f t="shared" si="110"/>
        <v>1.55</v>
      </c>
      <c r="O273" s="58" t="str">
        <f t="shared" si="111"/>
        <v>OK</v>
      </c>
    </row>
    <row r="274" spans="1:15" x14ac:dyDescent="0.25">
      <c r="A274" s="54" t="s">
        <v>16</v>
      </c>
      <c r="B274" s="32">
        <v>4</v>
      </c>
      <c r="C274" s="32">
        <v>1119598</v>
      </c>
      <c r="D274" s="39">
        <v>46148</v>
      </c>
      <c r="E274" s="32" t="s">
        <v>15</v>
      </c>
      <c r="F274" s="32" t="str">
        <f t="shared" si="109"/>
        <v>M21</v>
      </c>
      <c r="G274" s="61" t="str">
        <f t="shared" si="109"/>
        <v>016</v>
      </c>
      <c r="H274" s="72" t="str">
        <f t="shared" si="109"/>
        <v>C3</v>
      </c>
      <c r="I274" s="72">
        <f t="shared" si="109"/>
        <v>1</v>
      </c>
      <c r="J274" s="37" t="s">
        <v>38</v>
      </c>
      <c r="K274" s="37">
        <v>40</v>
      </c>
      <c r="L274" s="26">
        <v>0.19</v>
      </c>
      <c r="M274" s="26">
        <v>4.4400000000000004</v>
      </c>
      <c r="N274" s="29">
        <f t="shared" si="110"/>
        <v>4.25</v>
      </c>
      <c r="O274" s="58" t="str">
        <f t="shared" si="111"/>
        <v>OK</v>
      </c>
    </row>
    <row r="275" spans="1:15" x14ac:dyDescent="0.25">
      <c r="A275" s="54" t="s">
        <v>16</v>
      </c>
      <c r="B275" s="32">
        <v>4</v>
      </c>
      <c r="C275" s="32">
        <v>1119598</v>
      </c>
      <c r="D275" s="39">
        <v>46148</v>
      </c>
      <c r="E275" s="32" t="s">
        <v>15</v>
      </c>
      <c r="F275" s="32" t="s">
        <v>28</v>
      </c>
      <c r="G275" s="61" t="s">
        <v>70</v>
      </c>
      <c r="H275" s="72" t="s">
        <v>39</v>
      </c>
      <c r="I275" s="72">
        <v>2</v>
      </c>
      <c r="J275" s="37" t="s">
        <v>31</v>
      </c>
      <c r="K275" s="37">
        <v>41</v>
      </c>
      <c r="L275" s="26">
        <v>0.73</v>
      </c>
      <c r="M275" s="26">
        <v>2.41</v>
      </c>
      <c r="N275" s="29">
        <f t="shared" si="110"/>
        <v>1.6800000000000002</v>
      </c>
      <c r="O275" s="58" t="str">
        <f t="shared" si="111"/>
        <v>OK</v>
      </c>
    </row>
    <row r="276" spans="1:15" x14ac:dyDescent="0.25">
      <c r="A276" s="54" t="s">
        <v>16</v>
      </c>
      <c r="B276" s="32">
        <v>4</v>
      </c>
      <c r="C276" s="32">
        <v>1119598</v>
      </c>
      <c r="D276" s="39">
        <v>46148</v>
      </c>
      <c r="E276" s="32" t="s">
        <v>15</v>
      </c>
      <c r="F276" s="32" t="str">
        <f t="shared" ref="F276:I290" si="112">F275</f>
        <v>M20</v>
      </c>
      <c r="G276" s="61" t="str">
        <f t="shared" si="112"/>
        <v>015</v>
      </c>
      <c r="H276" s="72" t="str">
        <f t="shared" si="112"/>
        <v>C2</v>
      </c>
      <c r="I276" s="72">
        <f t="shared" si="112"/>
        <v>2</v>
      </c>
      <c r="J276" s="37" t="s">
        <v>32</v>
      </c>
      <c r="K276" s="37">
        <v>41</v>
      </c>
      <c r="L276" s="26">
        <v>0.44</v>
      </c>
      <c r="M276" s="26">
        <v>1.66</v>
      </c>
      <c r="N276" s="29">
        <f t="shared" si="110"/>
        <v>1.22</v>
      </c>
      <c r="O276" s="58" t="str">
        <f t="shared" si="111"/>
        <v>OK</v>
      </c>
    </row>
    <row r="277" spans="1:15" x14ac:dyDescent="0.25">
      <c r="A277" s="54" t="s">
        <v>16</v>
      </c>
      <c r="B277" s="32">
        <v>4</v>
      </c>
      <c r="C277" s="32">
        <v>1119598</v>
      </c>
      <c r="D277" s="39">
        <v>46148</v>
      </c>
      <c r="E277" s="32" t="s">
        <v>15</v>
      </c>
      <c r="F277" s="32" t="str">
        <f t="shared" si="112"/>
        <v>M20</v>
      </c>
      <c r="G277" s="61" t="str">
        <f t="shared" si="112"/>
        <v>015</v>
      </c>
      <c r="H277" s="72" t="str">
        <f t="shared" si="112"/>
        <v>C2</v>
      </c>
      <c r="I277" s="72">
        <f t="shared" si="112"/>
        <v>2</v>
      </c>
      <c r="J277" s="37" t="s">
        <v>33</v>
      </c>
      <c r="K277" s="37">
        <v>42</v>
      </c>
      <c r="L277" s="26">
        <v>1.79</v>
      </c>
      <c r="M277" s="26">
        <v>4.1500000000000004</v>
      </c>
      <c r="N277" s="29">
        <f t="shared" si="110"/>
        <v>2.3600000000000003</v>
      </c>
      <c r="O277" s="58" t="str">
        <f t="shared" si="111"/>
        <v>Reperfilado</v>
      </c>
    </row>
    <row r="278" spans="1:15" x14ac:dyDescent="0.25">
      <c r="A278" s="54" t="s">
        <v>16</v>
      </c>
      <c r="B278" s="32">
        <v>4</v>
      </c>
      <c r="C278" s="32">
        <v>1119598</v>
      </c>
      <c r="D278" s="39">
        <v>46148</v>
      </c>
      <c r="E278" s="32" t="s">
        <v>15</v>
      </c>
      <c r="F278" s="32" t="str">
        <f t="shared" si="112"/>
        <v>M20</v>
      </c>
      <c r="G278" s="61" t="str">
        <f t="shared" si="112"/>
        <v>015</v>
      </c>
      <c r="H278" s="72" t="str">
        <f t="shared" si="112"/>
        <v>C2</v>
      </c>
      <c r="I278" s="72">
        <f t="shared" si="112"/>
        <v>2</v>
      </c>
      <c r="J278" s="37" t="s">
        <v>34</v>
      </c>
      <c r="K278" s="37">
        <v>42</v>
      </c>
      <c r="L278" s="26">
        <v>0.21</v>
      </c>
      <c r="M278" s="26">
        <v>4.55</v>
      </c>
      <c r="N278" s="29">
        <f t="shared" si="110"/>
        <v>4.34</v>
      </c>
      <c r="O278" s="58" t="str">
        <f t="shared" si="111"/>
        <v>OK</v>
      </c>
    </row>
    <row r="279" spans="1:15" x14ac:dyDescent="0.25">
      <c r="A279" s="54" t="s">
        <v>16</v>
      </c>
      <c r="B279" s="32">
        <v>4</v>
      </c>
      <c r="C279" s="32">
        <v>1119598</v>
      </c>
      <c r="D279" s="39">
        <v>46148</v>
      </c>
      <c r="E279" s="32" t="s">
        <v>15</v>
      </c>
      <c r="F279" s="32" t="str">
        <f t="shared" si="112"/>
        <v>M20</v>
      </c>
      <c r="G279" s="61" t="str">
        <f t="shared" si="112"/>
        <v>015</v>
      </c>
      <c r="H279" s="72" t="str">
        <f t="shared" si="112"/>
        <v>C2</v>
      </c>
      <c r="I279" s="72">
        <v>1</v>
      </c>
      <c r="J279" s="37" t="s">
        <v>35</v>
      </c>
      <c r="K279" s="37">
        <v>43</v>
      </c>
      <c r="L279" s="26">
        <v>0.22</v>
      </c>
      <c r="M279" s="26">
        <v>4.5599999999999996</v>
      </c>
      <c r="N279" s="29">
        <f t="shared" si="110"/>
        <v>4.34</v>
      </c>
      <c r="O279" s="58" t="str">
        <f t="shared" si="111"/>
        <v>OK</v>
      </c>
    </row>
    <row r="280" spans="1:15" x14ac:dyDescent="0.25">
      <c r="A280" s="54" t="s">
        <v>16</v>
      </c>
      <c r="B280" s="32">
        <v>4</v>
      </c>
      <c r="C280" s="32">
        <v>1119598</v>
      </c>
      <c r="D280" s="39">
        <v>46148</v>
      </c>
      <c r="E280" s="32" t="s">
        <v>15</v>
      </c>
      <c r="F280" s="32" t="str">
        <f t="shared" si="112"/>
        <v>M20</v>
      </c>
      <c r="G280" s="61" t="str">
        <f t="shared" si="112"/>
        <v>015</v>
      </c>
      <c r="H280" s="72" t="str">
        <f t="shared" si="112"/>
        <v>C2</v>
      </c>
      <c r="I280" s="72">
        <f t="shared" si="112"/>
        <v>1</v>
      </c>
      <c r="J280" s="37" t="s">
        <v>36</v>
      </c>
      <c r="K280" s="37">
        <v>43</v>
      </c>
      <c r="L280" s="26">
        <v>0.92</v>
      </c>
      <c r="M280" s="26">
        <v>2.67</v>
      </c>
      <c r="N280" s="29">
        <f t="shared" si="110"/>
        <v>1.75</v>
      </c>
      <c r="O280" s="58" t="str">
        <f t="shared" si="111"/>
        <v>OK</v>
      </c>
    </row>
    <row r="281" spans="1:15" x14ac:dyDescent="0.25">
      <c r="A281" s="54" t="s">
        <v>16</v>
      </c>
      <c r="B281" s="32">
        <v>4</v>
      </c>
      <c r="C281" s="32">
        <v>1119598</v>
      </c>
      <c r="D281" s="39">
        <v>46148</v>
      </c>
      <c r="E281" s="32" t="s">
        <v>15</v>
      </c>
      <c r="F281" s="32" t="str">
        <f t="shared" si="112"/>
        <v>M20</v>
      </c>
      <c r="G281" s="61" t="str">
        <f t="shared" si="112"/>
        <v>015</v>
      </c>
      <c r="H281" s="72" t="str">
        <f t="shared" si="112"/>
        <v>C2</v>
      </c>
      <c r="I281" s="72">
        <f t="shared" si="112"/>
        <v>1</v>
      </c>
      <c r="J281" s="37" t="s">
        <v>37</v>
      </c>
      <c r="K281" s="37">
        <v>44</v>
      </c>
      <c r="L281" s="26">
        <v>0.22</v>
      </c>
      <c r="M281" s="26">
        <v>0.97</v>
      </c>
      <c r="N281" s="29">
        <f t="shared" si="110"/>
        <v>0.75</v>
      </c>
      <c r="O281" s="58" t="str">
        <f t="shared" si="111"/>
        <v>Seguimiento</v>
      </c>
    </row>
    <row r="282" spans="1:15" x14ac:dyDescent="0.25">
      <c r="A282" s="54" t="s">
        <v>16</v>
      </c>
      <c r="B282" s="32">
        <v>4</v>
      </c>
      <c r="C282" s="32">
        <v>1119598</v>
      </c>
      <c r="D282" s="39">
        <v>46148</v>
      </c>
      <c r="E282" s="32" t="s">
        <v>15</v>
      </c>
      <c r="F282" s="32" t="str">
        <f t="shared" si="112"/>
        <v>M20</v>
      </c>
      <c r="G282" s="61" t="str">
        <f t="shared" si="112"/>
        <v>015</v>
      </c>
      <c r="H282" s="72" t="str">
        <f t="shared" si="112"/>
        <v>C2</v>
      </c>
      <c r="I282" s="72">
        <f t="shared" si="112"/>
        <v>1</v>
      </c>
      <c r="J282" s="37" t="s">
        <v>38</v>
      </c>
      <c r="K282" s="37">
        <v>44</v>
      </c>
      <c r="L282" s="26">
        <v>0.19</v>
      </c>
      <c r="M282" s="26">
        <v>1.3</v>
      </c>
      <c r="N282" s="29">
        <f t="shared" si="110"/>
        <v>1.1100000000000001</v>
      </c>
      <c r="O282" s="58" t="str">
        <f t="shared" si="111"/>
        <v>OK</v>
      </c>
    </row>
    <row r="283" spans="1:15" x14ac:dyDescent="0.25">
      <c r="A283" s="54" t="s">
        <v>16</v>
      </c>
      <c r="B283" s="32">
        <v>4</v>
      </c>
      <c r="C283" s="32">
        <v>1119598</v>
      </c>
      <c r="D283" s="39">
        <v>46148</v>
      </c>
      <c r="E283" s="32" t="s">
        <v>15</v>
      </c>
      <c r="F283" s="32" t="str">
        <f t="shared" si="112"/>
        <v>M20</v>
      </c>
      <c r="G283" s="61" t="str">
        <f t="shared" si="112"/>
        <v>015</v>
      </c>
      <c r="H283" s="72" t="s">
        <v>30</v>
      </c>
      <c r="I283" s="72">
        <v>2</v>
      </c>
      <c r="J283" s="37" t="s">
        <v>31</v>
      </c>
      <c r="K283" s="37">
        <v>45</v>
      </c>
      <c r="L283" s="26">
        <v>0.09</v>
      </c>
      <c r="M283" s="26">
        <v>4.96</v>
      </c>
      <c r="N283" s="29">
        <f t="shared" si="110"/>
        <v>4.87</v>
      </c>
      <c r="O283" s="58" t="str">
        <f t="shared" si="111"/>
        <v>OK</v>
      </c>
    </row>
    <row r="284" spans="1:15" x14ac:dyDescent="0.25">
      <c r="A284" s="54" t="s">
        <v>16</v>
      </c>
      <c r="B284" s="32">
        <v>4</v>
      </c>
      <c r="C284" s="32">
        <v>1119598</v>
      </c>
      <c r="D284" s="39">
        <v>46148</v>
      </c>
      <c r="E284" s="32" t="s">
        <v>15</v>
      </c>
      <c r="F284" s="32" t="str">
        <f t="shared" si="112"/>
        <v>M20</v>
      </c>
      <c r="G284" s="61" t="str">
        <f t="shared" si="112"/>
        <v>015</v>
      </c>
      <c r="H284" s="72" t="str">
        <f t="shared" si="112"/>
        <v>C1</v>
      </c>
      <c r="I284" s="72">
        <f t="shared" si="112"/>
        <v>2</v>
      </c>
      <c r="J284" s="37" t="s">
        <v>32</v>
      </c>
      <c r="K284" s="37">
        <v>45</v>
      </c>
      <c r="L284" s="26">
        <v>0.06</v>
      </c>
      <c r="M284" s="26">
        <v>4.3499999999999996</v>
      </c>
      <c r="N284" s="29">
        <f t="shared" si="110"/>
        <v>4.29</v>
      </c>
      <c r="O284" s="58" t="str">
        <f t="shared" si="111"/>
        <v>OK</v>
      </c>
    </row>
    <row r="285" spans="1:15" x14ac:dyDescent="0.25">
      <c r="A285" s="54" t="s">
        <v>16</v>
      </c>
      <c r="B285" s="32">
        <v>4</v>
      </c>
      <c r="C285" s="32">
        <v>1119598</v>
      </c>
      <c r="D285" s="39">
        <v>46148</v>
      </c>
      <c r="E285" s="32" t="s">
        <v>15</v>
      </c>
      <c r="F285" s="32" t="str">
        <f t="shared" si="112"/>
        <v>M20</v>
      </c>
      <c r="G285" s="61" t="str">
        <f t="shared" si="112"/>
        <v>015</v>
      </c>
      <c r="H285" s="72" t="str">
        <f t="shared" si="112"/>
        <v>C1</v>
      </c>
      <c r="I285" s="72">
        <f t="shared" si="112"/>
        <v>2</v>
      </c>
      <c r="J285" s="37" t="s">
        <v>33</v>
      </c>
      <c r="K285" s="37">
        <v>46</v>
      </c>
      <c r="L285" s="26">
        <v>0.67</v>
      </c>
      <c r="M285" s="26">
        <v>3.08</v>
      </c>
      <c r="N285" s="29">
        <f t="shared" si="110"/>
        <v>2.41</v>
      </c>
      <c r="O285" s="58" t="str">
        <f t="shared" si="111"/>
        <v>OK</v>
      </c>
    </row>
    <row r="286" spans="1:15" x14ac:dyDescent="0.25">
      <c r="A286" s="54" t="s">
        <v>16</v>
      </c>
      <c r="B286" s="32">
        <v>4</v>
      </c>
      <c r="C286" s="32">
        <v>1119598</v>
      </c>
      <c r="D286" s="39">
        <v>46148</v>
      </c>
      <c r="E286" s="32" t="s">
        <v>15</v>
      </c>
      <c r="F286" s="32" t="str">
        <f t="shared" si="112"/>
        <v>M20</v>
      </c>
      <c r="G286" s="61" t="str">
        <f t="shared" si="112"/>
        <v>015</v>
      </c>
      <c r="H286" s="72" t="str">
        <f t="shared" si="112"/>
        <v>C1</v>
      </c>
      <c r="I286" s="72">
        <f t="shared" si="112"/>
        <v>2</v>
      </c>
      <c r="J286" s="37" t="s">
        <v>34</v>
      </c>
      <c r="K286" s="37">
        <v>46</v>
      </c>
      <c r="L286" s="26">
        <v>1</v>
      </c>
      <c r="M286" s="26">
        <v>1.64</v>
      </c>
      <c r="N286" s="29">
        <f t="shared" si="110"/>
        <v>0.6399999999999999</v>
      </c>
      <c r="O286" s="58" t="str">
        <f t="shared" si="111"/>
        <v>Seguimiento</v>
      </c>
    </row>
    <row r="287" spans="1:15" x14ac:dyDescent="0.25">
      <c r="A287" s="54" t="s">
        <v>16</v>
      </c>
      <c r="B287" s="32">
        <v>4</v>
      </c>
      <c r="C287" s="32">
        <v>1119598</v>
      </c>
      <c r="D287" s="39">
        <v>46148</v>
      </c>
      <c r="E287" s="32" t="s">
        <v>15</v>
      </c>
      <c r="F287" s="32" t="str">
        <f t="shared" si="112"/>
        <v>M20</v>
      </c>
      <c r="G287" s="61" t="str">
        <f t="shared" si="112"/>
        <v>015</v>
      </c>
      <c r="H287" s="72" t="str">
        <f t="shared" si="112"/>
        <v>C1</v>
      </c>
      <c r="I287" s="72">
        <v>1</v>
      </c>
      <c r="J287" s="37" t="s">
        <v>35</v>
      </c>
      <c r="K287" s="37">
        <v>47</v>
      </c>
      <c r="L287" s="26">
        <v>0.97</v>
      </c>
      <c r="M287" s="26">
        <v>1.86</v>
      </c>
      <c r="N287" s="29">
        <f t="shared" si="110"/>
        <v>0.89000000000000012</v>
      </c>
      <c r="O287" s="58" t="str">
        <f t="shared" si="111"/>
        <v>Seguimiento</v>
      </c>
    </row>
    <row r="288" spans="1:15" x14ac:dyDescent="0.25">
      <c r="A288" s="54" t="s">
        <v>16</v>
      </c>
      <c r="B288" s="32">
        <v>4</v>
      </c>
      <c r="C288" s="32">
        <v>1119598</v>
      </c>
      <c r="D288" s="39">
        <v>46148</v>
      </c>
      <c r="E288" s="32" t="s">
        <v>15</v>
      </c>
      <c r="F288" s="32" t="str">
        <f t="shared" si="112"/>
        <v>M20</v>
      </c>
      <c r="G288" s="61" t="str">
        <f t="shared" si="112"/>
        <v>015</v>
      </c>
      <c r="H288" s="72" t="str">
        <f t="shared" si="112"/>
        <v>C1</v>
      </c>
      <c r="I288" s="72">
        <f t="shared" si="112"/>
        <v>1</v>
      </c>
      <c r="J288" s="37" t="s">
        <v>36</v>
      </c>
      <c r="K288" s="37">
        <v>47</v>
      </c>
      <c r="L288" s="26">
        <v>0.13</v>
      </c>
      <c r="M288" s="26">
        <v>4.63</v>
      </c>
      <c r="N288" s="29">
        <f t="shared" si="110"/>
        <v>4.5</v>
      </c>
      <c r="O288" s="58" t="str">
        <f t="shared" si="111"/>
        <v>OK</v>
      </c>
    </row>
    <row r="289" spans="1:15" x14ac:dyDescent="0.25">
      <c r="A289" s="54" t="s">
        <v>16</v>
      </c>
      <c r="B289" s="32">
        <v>4</v>
      </c>
      <c r="C289" s="32">
        <v>1119598</v>
      </c>
      <c r="D289" s="39">
        <v>46148</v>
      </c>
      <c r="E289" s="32" t="s">
        <v>15</v>
      </c>
      <c r="F289" s="32" t="str">
        <f t="shared" si="112"/>
        <v>M20</v>
      </c>
      <c r="G289" s="61" t="str">
        <f t="shared" si="112"/>
        <v>015</v>
      </c>
      <c r="H289" s="72" t="str">
        <f t="shared" si="112"/>
        <v>C1</v>
      </c>
      <c r="I289" s="72">
        <f t="shared" si="112"/>
        <v>1</v>
      </c>
      <c r="J289" s="37" t="s">
        <v>37</v>
      </c>
      <c r="K289" s="37">
        <v>48</v>
      </c>
      <c r="L289" s="26">
        <v>0.62</v>
      </c>
      <c r="M289" s="26">
        <v>2.44</v>
      </c>
      <c r="N289" s="29">
        <f t="shared" si="110"/>
        <v>1.8199999999999998</v>
      </c>
      <c r="O289" s="58" t="str">
        <f t="shared" si="111"/>
        <v>OK</v>
      </c>
    </row>
    <row r="290" spans="1:15" x14ac:dyDescent="0.25">
      <c r="A290" s="54" t="s">
        <v>16</v>
      </c>
      <c r="B290" s="32">
        <v>4</v>
      </c>
      <c r="C290" s="32">
        <v>1119598</v>
      </c>
      <c r="D290" s="39">
        <v>46148</v>
      </c>
      <c r="E290" s="32" t="s">
        <v>15</v>
      </c>
      <c r="F290" s="32" t="str">
        <f t="shared" si="112"/>
        <v>M20</v>
      </c>
      <c r="G290" s="61" t="str">
        <f t="shared" si="112"/>
        <v>015</v>
      </c>
      <c r="H290" s="72" t="str">
        <f t="shared" si="112"/>
        <v>C1</v>
      </c>
      <c r="I290" s="72">
        <f t="shared" si="112"/>
        <v>1</v>
      </c>
      <c r="J290" s="37" t="s">
        <v>38</v>
      </c>
      <c r="K290" s="37">
        <v>48</v>
      </c>
      <c r="L290" s="26">
        <v>0.2</v>
      </c>
      <c r="M290" s="26">
        <v>4.18</v>
      </c>
      <c r="N290" s="29">
        <f t="shared" si="110"/>
        <v>3.9799999999999995</v>
      </c>
      <c r="O290" s="58" t="str">
        <f t="shared" si="111"/>
        <v>OK</v>
      </c>
    </row>
  </sheetData>
  <conditionalFormatting sqref="L3:L290">
    <cfRule type="cellIs" dxfId="76" priority="15" operator="greaterThan">
      <formula>1.7</formula>
    </cfRule>
  </conditionalFormatting>
  <conditionalFormatting sqref="N3:N290">
    <cfRule type="cellIs" dxfId="75" priority="14" operator="lessThan">
      <formula>1</formula>
    </cfRule>
  </conditionalFormatting>
  <conditionalFormatting sqref="O3:O290">
    <cfRule type="cellIs" dxfId="74" priority="1" operator="equal">
      <formula>"OK"</formula>
    </cfRule>
    <cfRule type="cellIs" dxfId="73" priority="2" operator="equal">
      <formula>"Cambio"</formula>
    </cfRule>
    <cfRule type="cellIs" dxfId="72" priority="3" operator="equal">
      <formula>"Reperfilado"</formula>
    </cfRule>
    <cfRule type="cellIs" dxfId="71" priority="4" operator="equal">
      <formula>"Seguimiento"</formula>
    </cfRule>
    <cfRule type="cellIs" dxfId="70" priority="5" operator="equal">
      <formula>"Critico"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A01F9-D469-4A2E-8CB3-110377FD1D84}">
  <sheetPr codeName="Hoja9">
    <tabColor rgb="FFFF0000"/>
  </sheetPr>
  <dimension ref="A1:O579"/>
  <sheetViews>
    <sheetView topLeftCell="A539" workbookViewId="0">
      <selection activeCell="R368" sqref="R368"/>
    </sheetView>
  </sheetViews>
  <sheetFormatPr baseColWidth="10" defaultColWidth="9.140625" defaultRowHeight="12" customHeight="1" x14ac:dyDescent="0.25"/>
  <cols>
    <col min="1" max="1" width="18.7109375" style="2" bestFit="1" customWidth="1"/>
    <col min="2" max="2" width="9" style="2" bestFit="1" customWidth="1"/>
    <col min="3" max="3" width="14.42578125" style="2" bestFit="1" customWidth="1"/>
    <col min="4" max="4" width="10.140625" style="2" bestFit="1" customWidth="1"/>
    <col min="5" max="5" width="12.42578125" style="2" bestFit="1" customWidth="1"/>
    <col min="6" max="6" width="10.42578125" style="2" bestFit="1" customWidth="1"/>
    <col min="7" max="7" width="12.7109375" style="2" bestFit="1" customWidth="1"/>
    <col min="8" max="8" width="9.85546875" style="2" bestFit="1" customWidth="1"/>
    <col min="9" max="9" width="7.7109375" style="2" bestFit="1" customWidth="1"/>
    <col min="10" max="10" width="17.28515625" style="2" bestFit="1" customWidth="1"/>
    <col min="11" max="11" width="10.42578125" style="2" bestFit="1" customWidth="1"/>
    <col min="12" max="12" width="6.5703125" style="2" bestFit="1" customWidth="1"/>
    <col min="13" max="13" width="6.28515625" style="2" bestFit="1" customWidth="1"/>
    <col min="14" max="14" width="8.140625" style="2" bestFit="1" customWidth="1"/>
    <col min="15" max="15" width="11.5703125" style="2" bestFit="1" customWidth="1"/>
    <col min="16" max="16384" width="9.140625" style="2"/>
  </cols>
  <sheetData>
    <row r="1" spans="1:15" ht="24.95" customHeight="1" x14ac:dyDescent="0.25"/>
    <row r="2" spans="1:15" x14ac:dyDescent="0.25">
      <c r="A2" s="89" t="s">
        <v>0</v>
      </c>
      <c r="B2" s="90" t="s">
        <v>1</v>
      </c>
      <c r="C2" s="90" t="s">
        <v>2</v>
      </c>
      <c r="D2" s="90" t="s">
        <v>3</v>
      </c>
      <c r="E2" s="90" t="s">
        <v>4</v>
      </c>
      <c r="F2" s="90" t="s">
        <v>5</v>
      </c>
      <c r="G2" s="90" t="s">
        <v>6</v>
      </c>
      <c r="H2" s="90" t="s">
        <v>7</v>
      </c>
      <c r="I2" s="90" t="s">
        <v>8</v>
      </c>
      <c r="J2" s="90" t="s">
        <v>9</v>
      </c>
      <c r="K2" s="90" t="s">
        <v>10</v>
      </c>
      <c r="L2" s="90" t="s">
        <v>11</v>
      </c>
      <c r="M2" s="90" t="s">
        <v>12</v>
      </c>
      <c r="N2" s="90" t="s">
        <v>13</v>
      </c>
      <c r="O2" s="60" t="s">
        <v>14</v>
      </c>
    </row>
    <row r="3" spans="1:15" ht="15" x14ac:dyDescent="0.25">
      <c r="A3" s="93"/>
      <c r="B3" s="36">
        <v>5</v>
      </c>
      <c r="C3" s="36">
        <v>1108954</v>
      </c>
      <c r="D3" s="52">
        <v>45734</v>
      </c>
      <c r="E3" s="36" t="s">
        <v>15</v>
      </c>
      <c r="F3" s="36" t="s">
        <v>28</v>
      </c>
      <c r="G3" s="80" t="s">
        <v>58</v>
      </c>
      <c r="H3" s="81" t="s">
        <v>30</v>
      </c>
      <c r="I3" s="81">
        <v>1</v>
      </c>
      <c r="J3" s="40" t="s">
        <v>31</v>
      </c>
      <c r="K3" s="37">
        <v>1</v>
      </c>
      <c r="L3" s="21">
        <v>0.15</v>
      </c>
      <c r="M3" s="19">
        <v>4.79</v>
      </c>
      <c r="N3" s="22">
        <f t="shared" ref="N3:N34" si="0">+M3-L3</f>
        <v>4.6399999999999997</v>
      </c>
      <c r="O3" s="20" t="str">
        <f>IF(N3&lt;=0,"Critico",IF(N3&lt;=0.2,"Cambio",IF(N3&lt;=1,"Seguimiento",IF(L3&gt;=2,"Reperfilado","OK"))))</f>
        <v>OK</v>
      </c>
    </row>
    <row r="4" spans="1:15" ht="15" x14ac:dyDescent="0.25">
      <c r="A4" s="91"/>
      <c r="B4" s="32">
        <v>5</v>
      </c>
      <c r="C4" s="32">
        <v>1108954</v>
      </c>
      <c r="D4" s="39">
        <v>45734</v>
      </c>
      <c r="E4" s="32" t="s">
        <v>15</v>
      </c>
      <c r="F4" s="32" t="str">
        <f t="shared" ref="F4:F18" si="1">F3</f>
        <v>M20</v>
      </c>
      <c r="G4" s="61" t="str">
        <f t="shared" ref="G4:G18" si="2">G3</f>
        <v>007</v>
      </c>
      <c r="H4" s="72" t="str">
        <f t="shared" ref="H4:H10" si="3">H3</f>
        <v>C1</v>
      </c>
      <c r="I4" s="72">
        <f t="shared" ref="I4:I6" si="4">I3</f>
        <v>1</v>
      </c>
      <c r="J4" s="37" t="s">
        <v>32</v>
      </c>
      <c r="K4" s="37">
        <v>1</v>
      </c>
      <c r="L4" s="17">
        <v>0.06</v>
      </c>
      <c r="M4" s="19">
        <v>4.66</v>
      </c>
      <c r="N4" s="18">
        <f t="shared" si="0"/>
        <v>4.6000000000000005</v>
      </c>
      <c r="O4" s="20" t="str">
        <f t="shared" ref="O4:O67" si="5">IF(N4&lt;=0,"Critico",IF(N4&lt;=0.2,"Cambio",IF(N4&lt;=1,"Seguimiento",IF(L4&gt;=2,"Reperfilado","OK"))))</f>
        <v>OK</v>
      </c>
    </row>
    <row r="5" spans="1:15" ht="15" x14ac:dyDescent="0.25">
      <c r="A5" s="91"/>
      <c r="B5" s="32">
        <v>5</v>
      </c>
      <c r="C5" s="32">
        <v>1108954</v>
      </c>
      <c r="D5" s="39">
        <v>45734</v>
      </c>
      <c r="E5" s="32" t="s">
        <v>15</v>
      </c>
      <c r="F5" s="32" t="str">
        <f t="shared" si="1"/>
        <v>M20</v>
      </c>
      <c r="G5" s="61" t="str">
        <f t="shared" si="2"/>
        <v>007</v>
      </c>
      <c r="H5" s="72" t="str">
        <f t="shared" si="3"/>
        <v>C1</v>
      </c>
      <c r="I5" s="72">
        <f t="shared" si="4"/>
        <v>1</v>
      </c>
      <c r="J5" s="37" t="s">
        <v>33</v>
      </c>
      <c r="K5" s="37">
        <v>2</v>
      </c>
      <c r="L5" s="17">
        <v>0.95</v>
      </c>
      <c r="M5" s="19">
        <v>2.86</v>
      </c>
      <c r="N5" s="18">
        <f t="shared" si="0"/>
        <v>1.91</v>
      </c>
      <c r="O5" s="20" t="str">
        <f t="shared" si="5"/>
        <v>OK</v>
      </c>
    </row>
    <row r="6" spans="1:15" ht="15" x14ac:dyDescent="0.25">
      <c r="A6" s="91"/>
      <c r="B6" s="32">
        <v>5</v>
      </c>
      <c r="C6" s="32">
        <v>1108954</v>
      </c>
      <c r="D6" s="39">
        <v>45734</v>
      </c>
      <c r="E6" s="32" t="s">
        <v>15</v>
      </c>
      <c r="F6" s="32" t="str">
        <f t="shared" si="1"/>
        <v>M20</v>
      </c>
      <c r="G6" s="61" t="str">
        <f t="shared" si="2"/>
        <v>007</v>
      </c>
      <c r="H6" s="72" t="str">
        <f t="shared" si="3"/>
        <v>C1</v>
      </c>
      <c r="I6" s="72">
        <f t="shared" si="4"/>
        <v>1</v>
      </c>
      <c r="J6" s="37" t="s">
        <v>34</v>
      </c>
      <c r="K6" s="37">
        <v>2</v>
      </c>
      <c r="L6" s="17">
        <v>0.08</v>
      </c>
      <c r="M6" s="19">
        <v>4.72</v>
      </c>
      <c r="N6" s="18">
        <f t="shared" si="0"/>
        <v>4.6399999999999997</v>
      </c>
      <c r="O6" s="20" t="str">
        <f t="shared" si="5"/>
        <v>OK</v>
      </c>
    </row>
    <row r="7" spans="1:15" ht="15" x14ac:dyDescent="0.25">
      <c r="A7" s="91"/>
      <c r="B7" s="32">
        <v>5</v>
      </c>
      <c r="C7" s="32">
        <v>1108954</v>
      </c>
      <c r="D7" s="39">
        <v>45734</v>
      </c>
      <c r="E7" s="32" t="s">
        <v>15</v>
      </c>
      <c r="F7" s="32" t="str">
        <f t="shared" si="1"/>
        <v>M20</v>
      </c>
      <c r="G7" s="61" t="str">
        <f t="shared" si="2"/>
        <v>007</v>
      </c>
      <c r="H7" s="72" t="str">
        <f t="shared" si="3"/>
        <v>C1</v>
      </c>
      <c r="I7" s="72">
        <v>2</v>
      </c>
      <c r="J7" s="37" t="s">
        <v>35</v>
      </c>
      <c r="K7" s="37">
        <v>3</v>
      </c>
      <c r="L7" s="17">
        <v>0.31</v>
      </c>
      <c r="M7" s="19">
        <v>2.33</v>
      </c>
      <c r="N7" s="18">
        <f t="shared" si="0"/>
        <v>2.02</v>
      </c>
      <c r="O7" s="20" t="str">
        <f t="shared" si="5"/>
        <v>OK</v>
      </c>
    </row>
    <row r="8" spans="1:15" ht="15" x14ac:dyDescent="0.25">
      <c r="A8" s="91"/>
      <c r="B8" s="32">
        <v>5</v>
      </c>
      <c r="C8" s="32">
        <v>1108954</v>
      </c>
      <c r="D8" s="39">
        <v>45734</v>
      </c>
      <c r="E8" s="32" t="s">
        <v>15</v>
      </c>
      <c r="F8" s="32" t="str">
        <f t="shared" si="1"/>
        <v>M20</v>
      </c>
      <c r="G8" s="61" t="str">
        <f t="shared" si="2"/>
        <v>007</v>
      </c>
      <c r="H8" s="72" t="str">
        <f t="shared" si="3"/>
        <v>C1</v>
      </c>
      <c r="I8" s="72">
        <f t="shared" ref="I8:I10" si="6">I7</f>
        <v>2</v>
      </c>
      <c r="J8" s="37" t="s">
        <v>36</v>
      </c>
      <c r="K8" s="37">
        <v>3</v>
      </c>
      <c r="L8" s="17">
        <v>0.26</v>
      </c>
      <c r="M8" s="19">
        <v>1.28</v>
      </c>
      <c r="N8" s="18">
        <f t="shared" si="0"/>
        <v>1.02</v>
      </c>
      <c r="O8" s="20" t="str">
        <f t="shared" si="5"/>
        <v>OK</v>
      </c>
    </row>
    <row r="9" spans="1:15" ht="15" x14ac:dyDescent="0.25">
      <c r="A9" s="91"/>
      <c r="B9" s="32">
        <v>5</v>
      </c>
      <c r="C9" s="32">
        <v>1108954</v>
      </c>
      <c r="D9" s="39">
        <v>45734</v>
      </c>
      <c r="E9" s="32" t="s">
        <v>15</v>
      </c>
      <c r="F9" s="32" t="str">
        <f t="shared" si="1"/>
        <v>M20</v>
      </c>
      <c r="G9" s="61" t="str">
        <f t="shared" si="2"/>
        <v>007</v>
      </c>
      <c r="H9" s="72" t="str">
        <f t="shared" si="3"/>
        <v>C1</v>
      </c>
      <c r="I9" s="72">
        <f t="shared" si="6"/>
        <v>2</v>
      </c>
      <c r="J9" s="37" t="s">
        <v>37</v>
      </c>
      <c r="K9" s="37">
        <v>4</v>
      </c>
      <c r="L9" s="17">
        <v>0.99</v>
      </c>
      <c r="M9" s="19">
        <v>3.21</v>
      </c>
      <c r="N9" s="18">
        <f t="shared" si="0"/>
        <v>2.2199999999999998</v>
      </c>
      <c r="O9" s="20" t="str">
        <f t="shared" si="5"/>
        <v>OK</v>
      </c>
    </row>
    <row r="10" spans="1:15" ht="15" x14ac:dyDescent="0.25">
      <c r="A10" s="91"/>
      <c r="B10" s="32">
        <v>5</v>
      </c>
      <c r="C10" s="32">
        <v>1108954</v>
      </c>
      <c r="D10" s="39">
        <v>45734</v>
      </c>
      <c r="E10" s="32" t="s">
        <v>15</v>
      </c>
      <c r="F10" s="32" t="str">
        <f t="shared" si="1"/>
        <v>M20</v>
      </c>
      <c r="G10" s="61" t="str">
        <f t="shared" si="2"/>
        <v>007</v>
      </c>
      <c r="H10" s="72" t="str">
        <f t="shared" si="3"/>
        <v>C1</v>
      </c>
      <c r="I10" s="72">
        <f t="shared" si="6"/>
        <v>2</v>
      </c>
      <c r="J10" s="37" t="s">
        <v>38</v>
      </c>
      <c r="K10" s="37">
        <v>4</v>
      </c>
      <c r="L10" s="17">
        <v>7.0000000000000007E-2</v>
      </c>
      <c r="M10" s="19">
        <v>4.82</v>
      </c>
      <c r="N10" s="18">
        <f t="shared" si="0"/>
        <v>4.75</v>
      </c>
      <c r="O10" s="20" t="str">
        <f t="shared" si="5"/>
        <v>OK</v>
      </c>
    </row>
    <row r="11" spans="1:15" ht="15" x14ac:dyDescent="0.25">
      <c r="A11" s="91"/>
      <c r="B11" s="32">
        <v>5</v>
      </c>
      <c r="C11" s="32">
        <v>1108954</v>
      </c>
      <c r="D11" s="39">
        <v>45734</v>
      </c>
      <c r="E11" s="32" t="s">
        <v>15</v>
      </c>
      <c r="F11" s="32" t="str">
        <f t="shared" si="1"/>
        <v>M20</v>
      </c>
      <c r="G11" s="61" t="str">
        <f t="shared" si="2"/>
        <v>007</v>
      </c>
      <c r="H11" s="72" t="s">
        <v>39</v>
      </c>
      <c r="I11" s="72">
        <v>1</v>
      </c>
      <c r="J11" s="37" t="s">
        <v>31</v>
      </c>
      <c r="K11" s="37">
        <v>5</v>
      </c>
      <c r="L11" s="17">
        <v>0.14000000000000001</v>
      </c>
      <c r="M11" s="19">
        <v>1.28</v>
      </c>
      <c r="N11" s="18">
        <f t="shared" si="0"/>
        <v>1.1400000000000001</v>
      </c>
      <c r="O11" s="20" t="str">
        <f t="shared" si="5"/>
        <v>OK</v>
      </c>
    </row>
    <row r="12" spans="1:15" ht="15" x14ac:dyDescent="0.25">
      <c r="A12" s="91"/>
      <c r="B12" s="32">
        <v>5</v>
      </c>
      <c r="C12" s="32">
        <v>1108954</v>
      </c>
      <c r="D12" s="39">
        <v>45734</v>
      </c>
      <c r="E12" s="32" t="s">
        <v>15</v>
      </c>
      <c r="F12" s="32" t="str">
        <f t="shared" si="1"/>
        <v>M20</v>
      </c>
      <c r="G12" s="61" t="str">
        <f t="shared" si="2"/>
        <v>007</v>
      </c>
      <c r="H12" s="72" t="str">
        <f t="shared" ref="H12:H18" si="7">H11</f>
        <v>C2</v>
      </c>
      <c r="I12" s="72">
        <f t="shared" ref="I12:I14" si="8">I11</f>
        <v>1</v>
      </c>
      <c r="J12" s="37" t="s">
        <v>32</v>
      </c>
      <c r="K12" s="37">
        <v>5</v>
      </c>
      <c r="L12" s="17">
        <v>0.61</v>
      </c>
      <c r="M12" s="19">
        <v>3.29</v>
      </c>
      <c r="N12" s="18">
        <f t="shared" si="0"/>
        <v>2.68</v>
      </c>
      <c r="O12" s="20" t="str">
        <f t="shared" si="5"/>
        <v>OK</v>
      </c>
    </row>
    <row r="13" spans="1:15" ht="15" x14ac:dyDescent="0.25">
      <c r="A13" s="91"/>
      <c r="B13" s="32">
        <v>5</v>
      </c>
      <c r="C13" s="32">
        <v>1108954</v>
      </c>
      <c r="D13" s="39">
        <v>45734</v>
      </c>
      <c r="E13" s="32" t="s">
        <v>15</v>
      </c>
      <c r="F13" s="32" t="str">
        <f t="shared" si="1"/>
        <v>M20</v>
      </c>
      <c r="G13" s="61" t="str">
        <f t="shared" si="2"/>
        <v>007</v>
      </c>
      <c r="H13" s="72" t="str">
        <f t="shared" si="7"/>
        <v>C2</v>
      </c>
      <c r="I13" s="72">
        <f t="shared" si="8"/>
        <v>1</v>
      </c>
      <c r="J13" s="37" t="s">
        <v>33</v>
      </c>
      <c r="K13" s="37">
        <v>6</v>
      </c>
      <c r="L13" s="17">
        <v>0.48</v>
      </c>
      <c r="M13" s="19">
        <v>3.32</v>
      </c>
      <c r="N13" s="18">
        <f t="shared" si="0"/>
        <v>2.84</v>
      </c>
      <c r="O13" s="20" t="str">
        <f t="shared" si="5"/>
        <v>OK</v>
      </c>
    </row>
    <row r="14" spans="1:15" ht="15" x14ac:dyDescent="0.25">
      <c r="A14" s="91"/>
      <c r="B14" s="32">
        <v>5</v>
      </c>
      <c r="C14" s="32">
        <v>1108954</v>
      </c>
      <c r="D14" s="39">
        <v>45734</v>
      </c>
      <c r="E14" s="32" t="s">
        <v>15</v>
      </c>
      <c r="F14" s="32" t="str">
        <f t="shared" si="1"/>
        <v>M20</v>
      </c>
      <c r="G14" s="61" t="str">
        <f t="shared" si="2"/>
        <v>007</v>
      </c>
      <c r="H14" s="72" t="str">
        <f t="shared" si="7"/>
        <v>C2</v>
      </c>
      <c r="I14" s="72">
        <f t="shared" si="8"/>
        <v>1</v>
      </c>
      <c r="J14" s="37" t="s">
        <v>34</v>
      </c>
      <c r="K14" s="37">
        <v>6</v>
      </c>
      <c r="L14" s="17">
        <v>0.95</v>
      </c>
      <c r="M14" s="19">
        <v>3.48</v>
      </c>
      <c r="N14" s="18">
        <f t="shared" si="0"/>
        <v>2.5300000000000002</v>
      </c>
      <c r="O14" s="20" t="str">
        <f t="shared" si="5"/>
        <v>OK</v>
      </c>
    </row>
    <row r="15" spans="1:15" ht="15" x14ac:dyDescent="0.25">
      <c r="A15" s="91"/>
      <c r="B15" s="32">
        <v>5</v>
      </c>
      <c r="C15" s="32">
        <v>1108954</v>
      </c>
      <c r="D15" s="39">
        <v>45734</v>
      </c>
      <c r="E15" s="32" t="s">
        <v>15</v>
      </c>
      <c r="F15" s="32" t="str">
        <f t="shared" si="1"/>
        <v>M20</v>
      </c>
      <c r="G15" s="61" t="str">
        <f t="shared" si="2"/>
        <v>007</v>
      </c>
      <c r="H15" s="72" t="str">
        <f t="shared" si="7"/>
        <v>C2</v>
      </c>
      <c r="I15" s="72">
        <v>2</v>
      </c>
      <c r="J15" s="37" t="s">
        <v>35</v>
      </c>
      <c r="K15" s="37">
        <v>7</v>
      </c>
      <c r="L15" s="17">
        <v>0.56000000000000005</v>
      </c>
      <c r="M15" s="19">
        <v>2.23</v>
      </c>
      <c r="N15" s="18">
        <f t="shared" si="0"/>
        <v>1.67</v>
      </c>
      <c r="O15" s="20" t="str">
        <f t="shared" si="5"/>
        <v>OK</v>
      </c>
    </row>
    <row r="16" spans="1:15" ht="15" x14ac:dyDescent="0.25">
      <c r="A16" s="91"/>
      <c r="B16" s="32">
        <v>5</v>
      </c>
      <c r="C16" s="32">
        <v>1108954</v>
      </c>
      <c r="D16" s="39">
        <v>45734</v>
      </c>
      <c r="E16" s="32" t="s">
        <v>15</v>
      </c>
      <c r="F16" s="32" t="str">
        <f t="shared" si="1"/>
        <v>M20</v>
      </c>
      <c r="G16" s="61" t="str">
        <f t="shared" si="2"/>
        <v>007</v>
      </c>
      <c r="H16" s="72" t="str">
        <f t="shared" si="7"/>
        <v>C2</v>
      </c>
      <c r="I16" s="72">
        <f t="shared" ref="I16:I18" si="9">I15</f>
        <v>2</v>
      </c>
      <c r="J16" s="37" t="s">
        <v>36</v>
      </c>
      <c r="K16" s="37">
        <v>7</v>
      </c>
      <c r="L16" s="17">
        <v>0.68</v>
      </c>
      <c r="M16" s="19">
        <v>3.51</v>
      </c>
      <c r="N16" s="18">
        <f t="shared" si="0"/>
        <v>2.8299999999999996</v>
      </c>
      <c r="O16" s="20" t="str">
        <f t="shared" si="5"/>
        <v>OK</v>
      </c>
    </row>
    <row r="17" spans="1:15" ht="15" x14ac:dyDescent="0.25">
      <c r="A17" s="91"/>
      <c r="B17" s="32">
        <v>5</v>
      </c>
      <c r="C17" s="32">
        <v>1108954</v>
      </c>
      <c r="D17" s="39">
        <v>45734</v>
      </c>
      <c r="E17" s="32" t="s">
        <v>15</v>
      </c>
      <c r="F17" s="32" t="str">
        <f t="shared" si="1"/>
        <v>M20</v>
      </c>
      <c r="G17" s="61" t="str">
        <f t="shared" si="2"/>
        <v>007</v>
      </c>
      <c r="H17" s="72" t="str">
        <f t="shared" si="7"/>
        <v>C2</v>
      </c>
      <c r="I17" s="72">
        <f t="shared" si="9"/>
        <v>2</v>
      </c>
      <c r="J17" s="37" t="s">
        <v>37</v>
      </c>
      <c r="K17" s="37">
        <v>8</v>
      </c>
      <c r="L17" s="17">
        <v>0.8</v>
      </c>
      <c r="M17" s="19">
        <v>4.17</v>
      </c>
      <c r="N17" s="18">
        <f t="shared" si="0"/>
        <v>3.37</v>
      </c>
      <c r="O17" s="20" t="str">
        <f t="shared" si="5"/>
        <v>OK</v>
      </c>
    </row>
    <row r="18" spans="1:15" ht="15" x14ac:dyDescent="0.25">
      <c r="A18" s="91"/>
      <c r="B18" s="32">
        <v>5</v>
      </c>
      <c r="C18" s="32">
        <v>1108954</v>
      </c>
      <c r="D18" s="39">
        <v>45734</v>
      </c>
      <c r="E18" s="32" t="s">
        <v>15</v>
      </c>
      <c r="F18" s="32" t="str">
        <f t="shared" si="1"/>
        <v>M20</v>
      </c>
      <c r="G18" s="61" t="str">
        <f t="shared" si="2"/>
        <v>007</v>
      </c>
      <c r="H18" s="72" t="str">
        <f t="shared" si="7"/>
        <v>C2</v>
      </c>
      <c r="I18" s="72">
        <f t="shared" si="9"/>
        <v>2</v>
      </c>
      <c r="J18" s="37" t="s">
        <v>38</v>
      </c>
      <c r="K18" s="37">
        <v>8</v>
      </c>
      <c r="L18" s="17">
        <v>0.09</v>
      </c>
      <c r="M18" s="19">
        <v>2.63</v>
      </c>
      <c r="N18" s="18">
        <f t="shared" si="0"/>
        <v>2.54</v>
      </c>
      <c r="O18" s="20" t="str">
        <f t="shared" si="5"/>
        <v>OK</v>
      </c>
    </row>
    <row r="19" spans="1:15" ht="15" x14ac:dyDescent="0.25">
      <c r="A19" s="91"/>
      <c r="B19" s="32">
        <v>5</v>
      </c>
      <c r="C19" s="32">
        <v>1108954</v>
      </c>
      <c r="D19" s="39">
        <v>45734</v>
      </c>
      <c r="E19" s="32" t="s">
        <v>15</v>
      </c>
      <c r="F19" s="32" t="s">
        <v>40</v>
      </c>
      <c r="G19" s="61" t="s">
        <v>57</v>
      </c>
      <c r="H19" s="72" t="s">
        <v>42</v>
      </c>
      <c r="I19" s="72">
        <v>1</v>
      </c>
      <c r="J19" s="37" t="s">
        <v>31</v>
      </c>
      <c r="K19" s="37">
        <v>9</v>
      </c>
      <c r="L19" s="17">
        <v>0.22</v>
      </c>
      <c r="M19" s="19">
        <v>4.72</v>
      </c>
      <c r="N19" s="18">
        <f t="shared" si="0"/>
        <v>4.5</v>
      </c>
      <c r="O19" s="20" t="str">
        <f t="shared" si="5"/>
        <v>OK</v>
      </c>
    </row>
    <row r="20" spans="1:15" ht="15" x14ac:dyDescent="0.25">
      <c r="A20" s="91"/>
      <c r="B20" s="32">
        <v>5</v>
      </c>
      <c r="C20" s="32">
        <v>1108954</v>
      </c>
      <c r="D20" s="39">
        <v>45734</v>
      </c>
      <c r="E20" s="32" t="s">
        <v>15</v>
      </c>
      <c r="F20" s="32" t="str">
        <f t="shared" ref="F20:F34" si="10">F19</f>
        <v>M21</v>
      </c>
      <c r="G20" s="61" t="str">
        <f t="shared" ref="G20:G34" si="11">G19</f>
        <v>008</v>
      </c>
      <c r="H20" s="72" t="str">
        <f t="shared" ref="H20:H26" si="12">H19</f>
        <v>C3</v>
      </c>
      <c r="I20" s="72">
        <f t="shared" ref="I20:I22" si="13">I19</f>
        <v>1</v>
      </c>
      <c r="J20" s="37" t="s">
        <v>32</v>
      </c>
      <c r="K20" s="37">
        <v>9</v>
      </c>
      <c r="L20" s="17">
        <v>0.24</v>
      </c>
      <c r="M20" s="19">
        <v>4.5999999999999996</v>
      </c>
      <c r="N20" s="18">
        <f t="shared" si="0"/>
        <v>4.3599999999999994</v>
      </c>
      <c r="O20" s="20" t="str">
        <f t="shared" si="5"/>
        <v>OK</v>
      </c>
    </row>
    <row r="21" spans="1:15" ht="15" x14ac:dyDescent="0.25">
      <c r="A21" s="91"/>
      <c r="B21" s="32">
        <v>5</v>
      </c>
      <c r="C21" s="32">
        <v>1108954</v>
      </c>
      <c r="D21" s="39">
        <v>45734</v>
      </c>
      <c r="E21" s="32" t="s">
        <v>15</v>
      </c>
      <c r="F21" s="32" t="str">
        <f t="shared" si="10"/>
        <v>M21</v>
      </c>
      <c r="G21" s="61" t="str">
        <f t="shared" si="11"/>
        <v>008</v>
      </c>
      <c r="H21" s="72" t="str">
        <f t="shared" si="12"/>
        <v>C3</v>
      </c>
      <c r="I21" s="72">
        <f t="shared" si="13"/>
        <v>1</v>
      </c>
      <c r="J21" s="37" t="s">
        <v>33</v>
      </c>
      <c r="K21" s="37">
        <v>10</v>
      </c>
      <c r="L21" s="17">
        <v>0.18</v>
      </c>
      <c r="M21" s="19">
        <v>4.82</v>
      </c>
      <c r="N21" s="18">
        <f t="shared" si="0"/>
        <v>4.6400000000000006</v>
      </c>
      <c r="O21" s="20" t="str">
        <f t="shared" si="5"/>
        <v>OK</v>
      </c>
    </row>
    <row r="22" spans="1:15" ht="15" x14ac:dyDescent="0.25">
      <c r="A22" s="91"/>
      <c r="B22" s="32">
        <v>5</v>
      </c>
      <c r="C22" s="32">
        <v>1108954</v>
      </c>
      <c r="D22" s="39">
        <v>45734</v>
      </c>
      <c r="E22" s="32" t="s">
        <v>15</v>
      </c>
      <c r="F22" s="32" t="str">
        <f t="shared" si="10"/>
        <v>M21</v>
      </c>
      <c r="G22" s="61" t="str">
        <f t="shared" si="11"/>
        <v>008</v>
      </c>
      <c r="H22" s="72" t="str">
        <f t="shared" si="12"/>
        <v>C3</v>
      </c>
      <c r="I22" s="72">
        <f t="shared" si="13"/>
        <v>1</v>
      </c>
      <c r="J22" s="37" t="s">
        <v>34</v>
      </c>
      <c r="K22" s="37">
        <v>10</v>
      </c>
      <c r="L22" s="17">
        <v>0.22</v>
      </c>
      <c r="M22" s="19">
        <v>4.78</v>
      </c>
      <c r="N22" s="18">
        <f t="shared" si="0"/>
        <v>4.5600000000000005</v>
      </c>
      <c r="O22" s="20" t="str">
        <f t="shared" si="5"/>
        <v>OK</v>
      </c>
    </row>
    <row r="23" spans="1:15" ht="15" x14ac:dyDescent="0.25">
      <c r="A23" s="91"/>
      <c r="B23" s="32">
        <v>5</v>
      </c>
      <c r="C23" s="32">
        <v>1108954</v>
      </c>
      <c r="D23" s="39">
        <v>45734</v>
      </c>
      <c r="E23" s="32" t="s">
        <v>15</v>
      </c>
      <c r="F23" s="32" t="str">
        <f t="shared" si="10"/>
        <v>M21</v>
      </c>
      <c r="G23" s="61" t="str">
        <f t="shared" si="11"/>
        <v>008</v>
      </c>
      <c r="H23" s="72" t="str">
        <f t="shared" si="12"/>
        <v>C3</v>
      </c>
      <c r="I23" s="72">
        <v>2</v>
      </c>
      <c r="J23" s="37" t="s">
        <v>35</v>
      </c>
      <c r="K23" s="37">
        <v>11</v>
      </c>
      <c r="L23" s="17">
        <v>0.21</v>
      </c>
      <c r="M23" s="19">
        <v>4.6500000000000004</v>
      </c>
      <c r="N23" s="18">
        <f t="shared" si="0"/>
        <v>4.4400000000000004</v>
      </c>
      <c r="O23" s="20" t="str">
        <f t="shared" si="5"/>
        <v>OK</v>
      </c>
    </row>
    <row r="24" spans="1:15" ht="15" x14ac:dyDescent="0.25">
      <c r="A24" s="91"/>
      <c r="B24" s="32">
        <v>5</v>
      </c>
      <c r="C24" s="32">
        <v>1108954</v>
      </c>
      <c r="D24" s="39">
        <v>45734</v>
      </c>
      <c r="E24" s="32" t="s">
        <v>15</v>
      </c>
      <c r="F24" s="32" t="str">
        <f t="shared" si="10"/>
        <v>M21</v>
      </c>
      <c r="G24" s="61" t="str">
        <f t="shared" si="11"/>
        <v>008</v>
      </c>
      <c r="H24" s="72" t="str">
        <f t="shared" si="12"/>
        <v>C3</v>
      </c>
      <c r="I24" s="72">
        <f t="shared" ref="I24:I26" si="14">I23</f>
        <v>2</v>
      </c>
      <c r="J24" s="37" t="s">
        <v>36</v>
      </c>
      <c r="K24" s="37">
        <v>11</v>
      </c>
      <c r="L24" s="17">
        <v>0.08</v>
      </c>
      <c r="M24" s="19">
        <v>4.51</v>
      </c>
      <c r="N24" s="18">
        <f t="shared" si="0"/>
        <v>4.43</v>
      </c>
      <c r="O24" s="20" t="str">
        <f t="shared" si="5"/>
        <v>OK</v>
      </c>
    </row>
    <row r="25" spans="1:15" ht="15" x14ac:dyDescent="0.25">
      <c r="A25" s="91"/>
      <c r="B25" s="32">
        <v>5</v>
      </c>
      <c r="C25" s="32">
        <v>1108954</v>
      </c>
      <c r="D25" s="39">
        <v>45734</v>
      </c>
      <c r="E25" s="32" t="s">
        <v>15</v>
      </c>
      <c r="F25" s="32" t="str">
        <f t="shared" si="10"/>
        <v>M21</v>
      </c>
      <c r="G25" s="61" t="str">
        <f t="shared" si="11"/>
        <v>008</v>
      </c>
      <c r="H25" s="72" t="str">
        <f t="shared" si="12"/>
        <v>C3</v>
      </c>
      <c r="I25" s="72">
        <f t="shared" si="14"/>
        <v>2</v>
      </c>
      <c r="J25" s="37" t="s">
        <v>37</v>
      </c>
      <c r="K25" s="37">
        <v>12</v>
      </c>
      <c r="L25" s="17">
        <v>0.1</v>
      </c>
      <c r="M25" s="19">
        <v>4.78</v>
      </c>
      <c r="N25" s="18">
        <f t="shared" si="0"/>
        <v>4.6800000000000006</v>
      </c>
      <c r="O25" s="20" t="str">
        <f t="shared" si="5"/>
        <v>OK</v>
      </c>
    </row>
    <row r="26" spans="1:15" ht="15" x14ac:dyDescent="0.25">
      <c r="A26" s="91"/>
      <c r="B26" s="32">
        <v>5</v>
      </c>
      <c r="C26" s="32">
        <v>1108954</v>
      </c>
      <c r="D26" s="39">
        <v>45734</v>
      </c>
      <c r="E26" s="32" t="s">
        <v>15</v>
      </c>
      <c r="F26" s="32" t="str">
        <f t="shared" si="10"/>
        <v>M21</v>
      </c>
      <c r="G26" s="61" t="str">
        <f t="shared" si="11"/>
        <v>008</v>
      </c>
      <c r="H26" s="72" t="str">
        <f t="shared" si="12"/>
        <v>C3</v>
      </c>
      <c r="I26" s="72">
        <f t="shared" si="14"/>
        <v>2</v>
      </c>
      <c r="J26" s="37" t="s">
        <v>38</v>
      </c>
      <c r="K26" s="37">
        <v>12</v>
      </c>
      <c r="L26" s="17">
        <v>0.16</v>
      </c>
      <c r="M26" s="19">
        <v>4.38</v>
      </c>
      <c r="N26" s="18">
        <f t="shared" si="0"/>
        <v>4.22</v>
      </c>
      <c r="O26" s="20" t="str">
        <f t="shared" si="5"/>
        <v>OK</v>
      </c>
    </row>
    <row r="27" spans="1:15" ht="15" x14ac:dyDescent="0.25">
      <c r="A27" s="91"/>
      <c r="B27" s="32">
        <v>5</v>
      </c>
      <c r="C27" s="32">
        <v>1108954</v>
      </c>
      <c r="D27" s="39">
        <v>45734</v>
      </c>
      <c r="E27" s="32" t="s">
        <v>15</v>
      </c>
      <c r="F27" s="32" t="str">
        <f t="shared" si="10"/>
        <v>M21</v>
      </c>
      <c r="G27" s="61" t="str">
        <f t="shared" si="11"/>
        <v>008</v>
      </c>
      <c r="H27" s="72" t="s">
        <v>43</v>
      </c>
      <c r="I27" s="72">
        <v>1</v>
      </c>
      <c r="J27" s="37" t="s">
        <v>31</v>
      </c>
      <c r="K27" s="37">
        <v>13</v>
      </c>
      <c r="L27" s="17">
        <v>0.15</v>
      </c>
      <c r="M27" s="19">
        <v>2.61</v>
      </c>
      <c r="N27" s="18">
        <f t="shared" si="0"/>
        <v>2.46</v>
      </c>
      <c r="O27" s="20" t="str">
        <f t="shared" si="5"/>
        <v>OK</v>
      </c>
    </row>
    <row r="28" spans="1:15" ht="15" x14ac:dyDescent="0.25">
      <c r="A28" s="91"/>
      <c r="B28" s="32">
        <v>5</v>
      </c>
      <c r="C28" s="32">
        <v>1108954</v>
      </c>
      <c r="D28" s="39">
        <v>45734</v>
      </c>
      <c r="E28" s="32" t="s">
        <v>15</v>
      </c>
      <c r="F28" s="32" t="str">
        <f t="shared" si="10"/>
        <v>M21</v>
      </c>
      <c r="G28" s="61" t="str">
        <f t="shared" si="11"/>
        <v>008</v>
      </c>
      <c r="H28" s="72" t="str">
        <f t="shared" ref="H28:H34" si="15">H27</f>
        <v>C4</v>
      </c>
      <c r="I28" s="72">
        <f t="shared" ref="I28:I30" si="16">I27</f>
        <v>1</v>
      </c>
      <c r="J28" s="37" t="s">
        <v>32</v>
      </c>
      <c r="K28" s="37">
        <v>13</v>
      </c>
      <c r="L28" s="17">
        <v>0.57999999999999996</v>
      </c>
      <c r="M28" s="19">
        <v>4.62</v>
      </c>
      <c r="N28" s="18">
        <f t="shared" si="0"/>
        <v>4.04</v>
      </c>
      <c r="O28" s="20" t="str">
        <f t="shared" si="5"/>
        <v>OK</v>
      </c>
    </row>
    <row r="29" spans="1:15" ht="15" x14ac:dyDescent="0.25">
      <c r="A29" s="91"/>
      <c r="B29" s="32">
        <v>5</v>
      </c>
      <c r="C29" s="32">
        <v>1108954</v>
      </c>
      <c r="D29" s="39">
        <v>45734</v>
      </c>
      <c r="E29" s="32" t="s">
        <v>15</v>
      </c>
      <c r="F29" s="32" t="str">
        <f t="shared" si="10"/>
        <v>M21</v>
      </c>
      <c r="G29" s="61" t="str">
        <f t="shared" si="11"/>
        <v>008</v>
      </c>
      <c r="H29" s="72" t="str">
        <f t="shared" si="15"/>
        <v>C4</v>
      </c>
      <c r="I29" s="72">
        <f t="shared" si="16"/>
        <v>1</v>
      </c>
      <c r="J29" s="37" t="s">
        <v>33</v>
      </c>
      <c r="K29" s="37">
        <v>14</v>
      </c>
      <c r="L29" s="17">
        <v>0.97</v>
      </c>
      <c r="M29" s="19">
        <v>3.93</v>
      </c>
      <c r="N29" s="18">
        <f t="shared" si="0"/>
        <v>2.96</v>
      </c>
      <c r="O29" s="20" t="str">
        <f t="shared" si="5"/>
        <v>OK</v>
      </c>
    </row>
    <row r="30" spans="1:15" ht="15" x14ac:dyDescent="0.25">
      <c r="A30" s="91"/>
      <c r="B30" s="32">
        <v>5</v>
      </c>
      <c r="C30" s="32">
        <v>1108954</v>
      </c>
      <c r="D30" s="39">
        <v>45734</v>
      </c>
      <c r="E30" s="32" t="s">
        <v>15</v>
      </c>
      <c r="F30" s="32" t="str">
        <f t="shared" si="10"/>
        <v>M21</v>
      </c>
      <c r="G30" s="61" t="str">
        <f t="shared" si="11"/>
        <v>008</v>
      </c>
      <c r="H30" s="72" t="str">
        <f t="shared" si="15"/>
        <v>C4</v>
      </c>
      <c r="I30" s="72">
        <f t="shared" si="16"/>
        <v>1</v>
      </c>
      <c r="J30" s="37" t="s">
        <v>34</v>
      </c>
      <c r="K30" s="37">
        <v>14</v>
      </c>
      <c r="L30" s="17">
        <v>0.37</v>
      </c>
      <c r="M30" s="19">
        <v>1.3</v>
      </c>
      <c r="N30" s="18">
        <f t="shared" si="0"/>
        <v>0.93</v>
      </c>
      <c r="O30" s="20" t="str">
        <f t="shared" si="5"/>
        <v>Seguimiento</v>
      </c>
    </row>
    <row r="31" spans="1:15" ht="15" x14ac:dyDescent="0.25">
      <c r="A31" s="91"/>
      <c r="B31" s="32">
        <v>5</v>
      </c>
      <c r="C31" s="32">
        <v>1108954</v>
      </c>
      <c r="D31" s="39">
        <v>45734</v>
      </c>
      <c r="E31" s="32" t="s">
        <v>15</v>
      </c>
      <c r="F31" s="32" t="str">
        <f t="shared" si="10"/>
        <v>M21</v>
      </c>
      <c r="G31" s="61" t="str">
        <f t="shared" si="11"/>
        <v>008</v>
      </c>
      <c r="H31" s="72" t="str">
        <f t="shared" si="15"/>
        <v>C4</v>
      </c>
      <c r="I31" s="72">
        <v>2</v>
      </c>
      <c r="J31" s="37" t="s">
        <v>35</v>
      </c>
      <c r="K31" s="37">
        <v>15</v>
      </c>
      <c r="L31" s="17">
        <v>0.25</v>
      </c>
      <c r="M31" s="19">
        <v>2.68</v>
      </c>
      <c r="N31" s="18">
        <f t="shared" si="0"/>
        <v>2.4300000000000002</v>
      </c>
      <c r="O31" s="20" t="str">
        <f t="shared" si="5"/>
        <v>OK</v>
      </c>
    </row>
    <row r="32" spans="1:15" ht="15" x14ac:dyDescent="0.25">
      <c r="A32" s="91"/>
      <c r="B32" s="32">
        <v>5</v>
      </c>
      <c r="C32" s="32">
        <v>1108954</v>
      </c>
      <c r="D32" s="39">
        <v>45734</v>
      </c>
      <c r="E32" s="32" t="s">
        <v>15</v>
      </c>
      <c r="F32" s="32" t="str">
        <f t="shared" si="10"/>
        <v>M21</v>
      </c>
      <c r="G32" s="61" t="str">
        <f t="shared" si="11"/>
        <v>008</v>
      </c>
      <c r="H32" s="72" t="str">
        <f t="shared" si="15"/>
        <v>C4</v>
      </c>
      <c r="I32" s="72">
        <f t="shared" ref="I32:I34" si="17">I31</f>
        <v>2</v>
      </c>
      <c r="J32" s="37" t="s">
        <v>36</v>
      </c>
      <c r="K32" s="37">
        <v>15</v>
      </c>
      <c r="L32" s="17">
        <v>0.46</v>
      </c>
      <c r="M32" s="19">
        <v>2.75</v>
      </c>
      <c r="N32" s="18">
        <f t="shared" si="0"/>
        <v>2.29</v>
      </c>
      <c r="O32" s="20" t="str">
        <f t="shared" si="5"/>
        <v>OK</v>
      </c>
    </row>
    <row r="33" spans="1:15" ht="15" x14ac:dyDescent="0.25">
      <c r="A33" s="91"/>
      <c r="B33" s="32">
        <v>5</v>
      </c>
      <c r="C33" s="32">
        <v>1108954</v>
      </c>
      <c r="D33" s="39">
        <v>45734</v>
      </c>
      <c r="E33" s="32" t="s">
        <v>15</v>
      </c>
      <c r="F33" s="32" t="str">
        <f t="shared" si="10"/>
        <v>M21</v>
      </c>
      <c r="G33" s="61" t="str">
        <f t="shared" si="11"/>
        <v>008</v>
      </c>
      <c r="H33" s="72" t="str">
        <f t="shared" si="15"/>
        <v>C4</v>
      </c>
      <c r="I33" s="72">
        <f t="shared" si="17"/>
        <v>2</v>
      </c>
      <c r="J33" s="37" t="s">
        <v>37</v>
      </c>
      <c r="K33" s="37">
        <v>16</v>
      </c>
      <c r="L33" s="17">
        <v>0.11</v>
      </c>
      <c r="M33" s="19">
        <v>1.61</v>
      </c>
      <c r="N33" s="18">
        <f t="shared" si="0"/>
        <v>1.5</v>
      </c>
      <c r="O33" s="20" t="str">
        <f t="shared" si="5"/>
        <v>OK</v>
      </c>
    </row>
    <row r="34" spans="1:15" ht="15" x14ac:dyDescent="0.25">
      <c r="A34" s="91"/>
      <c r="B34" s="32">
        <v>5</v>
      </c>
      <c r="C34" s="32">
        <v>1108954</v>
      </c>
      <c r="D34" s="39">
        <v>45734</v>
      </c>
      <c r="E34" s="32" t="s">
        <v>15</v>
      </c>
      <c r="F34" s="32" t="str">
        <f t="shared" si="10"/>
        <v>M21</v>
      </c>
      <c r="G34" s="61" t="str">
        <f t="shared" si="11"/>
        <v>008</v>
      </c>
      <c r="H34" s="72" t="str">
        <f t="shared" si="15"/>
        <v>C4</v>
      </c>
      <c r="I34" s="72">
        <f t="shared" si="17"/>
        <v>2</v>
      </c>
      <c r="J34" s="37" t="s">
        <v>38</v>
      </c>
      <c r="K34" s="37">
        <v>16</v>
      </c>
      <c r="L34" s="17">
        <v>0.14000000000000001</v>
      </c>
      <c r="M34" s="19">
        <v>1.38</v>
      </c>
      <c r="N34" s="18">
        <f t="shared" si="0"/>
        <v>1.2399999999999998</v>
      </c>
      <c r="O34" s="20" t="str">
        <f t="shared" si="5"/>
        <v>OK</v>
      </c>
    </row>
    <row r="35" spans="1:15" ht="15" x14ac:dyDescent="0.25">
      <c r="A35" s="91"/>
      <c r="B35" s="32">
        <v>5</v>
      </c>
      <c r="C35" s="32">
        <v>1108954</v>
      </c>
      <c r="D35" s="39">
        <v>45734</v>
      </c>
      <c r="E35" s="32" t="s">
        <v>15</v>
      </c>
      <c r="F35" s="32" t="s">
        <v>44</v>
      </c>
      <c r="G35" s="61" t="s">
        <v>71</v>
      </c>
      <c r="H35" s="72" t="s">
        <v>46</v>
      </c>
      <c r="I35" s="72">
        <v>1</v>
      </c>
      <c r="J35" s="37" t="s">
        <v>31</v>
      </c>
      <c r="K35" s="37">
        <v>17</v>
      </c>
      <c r="L35" s="17">
        <v>0.24</v>
      </c>
      <c r="M35" s="19">
        <v>5.05</v>
      </c>
      <c r="N35" s="18">
        <f t="shared" ref="N35:N67" si="18">+M35-L35</f>
        <v>4.8099999999999996</v>
      </c>
      <c r="O35" s="20" t="str">
        <f t="shared" si="5"/>
        <v>OK</v>
      </c>
    </row>
    <row r="36" spans="1:15" ht="15" x14ac:dyDescent="0.25">
      <c r="A36" s="91"/>
      <c r="B36" s="32">
        <v>5</v>
      </c>
      <c r="C36" s="32">
        <v>1108954</v>
      </c>
      <c r="D36" s="39">
        <v>45734</v>
      </c>
      <c r="E36" s="32" t="s">
        <v>15</v>
      </c>
      <c r="F36" s="32" t="str">
        <f t="shared" ref="F36:F50" si="19">F35</f>
        <v>M22</v>
      </c>
      <c r="G36" s="61" t="str">
        <f t="shared" ref="G36:G50" si="20">G35</f>
        <v>304</v>
      </c>
      <c r="H36" s="72" t="str">
        <f t="shared" ref="H36:H42" si="21">H35</f>
        <v>C5</v>
      </c>
      <c r="I36" s="72">
        <f t="shared" ref="I36:I38" si="22">I35</f>
        <v>1</v>
      </c>
      <c r="J36" s="37" t="s">
        <v>32</v>
      </c>
      <c r="K36" s="37">
        <v>17</v>
      </c>
      <c r="L36" s="17">
        <v>0.63</v>
      </c>
      <c r="M36" s="19">
        <v>2.0299999999999998</v>
      </c>
      <c r="N36" s="18">
        <f t="shared" si="18"/>
        <v>1.4</v>
      </c>
      <c r="O36" s="20" t="str">
        <f t="shared" si="5"/>
        <v>OK</v>
      </c>
    </row>
    <row r="37" spans="1:15" ht="15" x14ac:dyDescent="0.25">
      <c r="A37" s="91"/>
      <c r="B37" s="32">
        <v>5</v>
      </c>
      <c r="C37" s="32">
        <v>1108954</v>
      </c>
      <c r="D37" s="39">
        <v>45734</v>
      </c>
      <c r="E37" s="32" t="s">
        <v>15</v>
      </c>
      <c r="F37" s="32" t="str">
        <f t="shared" si="19"/>
        <v>M22</v>
      </c>
      <c r="G37" s="61" t="str">
        <f t="shared" si="20"/>
        <v>304</v>
      </c>
      <c r="H37" s="72" t="str">
        <f t="shared" si="21"/>
        <v>C5</v>
      </c>
      <c r="I37" s="72">
        <f t="shared" si="22"/>
        <v>1</v>
      </c>
      <c r="J37" s="37" t="s">
        <v>33</v>
      </c>
      <c r="K37" s="37">
        <v>18</v>
      </c>
      <c r="L37" s="17">
        <v>0.14000000000000001</v>
      </c>
      <c r="M37" s="19">
        <v>2.31</v>
      </c>
      <c r="N37" s="18">
        <f t="shared" si="18"/>
        <v>2.17</v>
      </c>
      <c r="O37" s="20" t="str">
        <f t="shared" si="5"/>
        <v>OK</v>
      </c>
    </row>
    <row r="38" spans="1:15" ht="15" x14ac:dyDescent="0.25">
      <c r="A38" s="91"/>
      <c r="B38" s="32">
        <v>5</v>
      </c>
      <c r="C38" s="32">
        <v>1108954</v>
      </c>
      <c r="D38" s="39">
        <v>45734</v>
      </c>
      <c r="E38" s="32" t="s">
        <v>15</v>
      </c>
      <c r="F38" s="32" t="str">
        <f t="shared" si="19"/>
        <v>M22</v>
      </c>
      <c r="G38" s="61" t="str">
        <f t="shared" si="20"/>
        <v>304</v>
      </c>
      <c r="H38" s="72" t="str">
        <f t="shared" si="21"/>
        <v>C5</v>
      </c>
      <c r="I38" s="72">
        <f t="shared" si="22"/>
        <v>1</v>
      </c>
      <c r="J38" s="37" t="s">
        <v>34</v>
      </c>
      <c r="K38" s="37">
        <v>18</v>
      </c>
      <c r="L38" s="17">
        <v>0.28000000000000003</v>
      </c>
      <c r="M38" s="19">
        <v>5.12</v>
      </c>
      <c r="N38" s="18">
        <f t="shared" si="18"/>
        <v>4.84</v>
      </c>
      <c r="O38" s="20" t="str">
        <f t="shared" si="5"/>
        <v>OK</v>
      </c>
    </row>
    <row r="39" spans="1:15" ht="15" x14ac:dyDescent="0.25">
      <c r="A39" s="91"/>
      <c r="B39" s="32">
        <v>5</v>
      </c>
      <c r="C39" s="32">
        <v>1108954</v>
      </c>
      <c r="D39" s="39">
        <v>45734</v>
      </c>
      <c r="E39" s="32" t="s">
        <v>15</v>
      </c>
      <c r="F39" s="32" t="str">
        <f t="shared" si="19"/>
        <v>M22</v>
      </c>
      <c r="G39" s="61" t="str">
        <f t="shared" si="20"/>
        <v>304</v>
      </c>
      <c r="H39" s="72" t="str">
        <f t="shared" si="21"/>
        <v>C5</v>
      </c>
      <c r="I39" s="72">
        <v>2</v>
      </c>
      <c r="J39" s="37" t="s">
        <v>35</v>
      </c>
      <c r="K39" s="37">
        <v>19</v>
      </c>
      <c r="L39" s="17">
        <v>0.24</v>
      </c>
      <c r="M39" s="19">
        <v>2.63</v>
      </c>
      <c r="N39" s="18">
        <f t="shared" si="18"/>
        <v>2.3899999999999997</v>
      </c>
      <c r="O39" s="20" t="str">
        <f t="shared" si="5"/>
        <v>OK</v>
      </c>
    </row>
    <row r="40" spans="1:15" ht="15" x14ac:dyDescent="0.25">
      <c r="A40" s="91"/>
      <c r="B40" s="32">
        <v>5</v>
      </c>
      <c r="C40" s="32">
        <v>1108954</v>
      </c>
      <c r="D40" s="39">
        <v>45734</v>
      </c>
      <c r="E40" s="32" t="s">
        <v>15</v>
      </c>
      <c r="F40" s="32" t="str">
        <f t="shared" si="19"/>
        <v>M22</v>
      </c>
      <c r="G40" s="61" t="str">
        <f t="shared" si="20"/>
        <v>304</v>
      </c>
      <c r="H40" s="72" t="str">
        <f t="shared" si="21"/>
        <v>C5</v>
      </c>
      <c r="I40" s="72">
        <f t="shared" ref="I40:I42" si="23">I39</f>
        <v>2</v>
      </c>
      <c r="J40" s="37" t="s">
        <v>36</v>
      </c>
      <c r="K40" s="37">
        <v>19</v>
      </c>
      <c r="L40" s="17">
        <v>0.15</v>
      </c>
      <c r="M40" s="19">
        <v>4.76</v>
      </c>
      <c r="N40" s="18">
        <f t="shared" si="18"/>
        <v>4.6099999999999994</v>
      </c>
      <c r="O40" s="20" t="str">
        <f t="shared" si="5"/>
        <v>OK</v>
      </c>
    </row>
    <row r="41" spans="1:15" ht="15" x14ac:dyDescent="0.25">
      <c r="A41" s="91"/>
      <c r="B41" s="32">
        <v>5</v>
      </c>
      <c r="C41" s="32">
        <v>1108954</v>
      </c>
      <c r="D41" s="39">
        <v>45734</v>
      </c>
      <c r="E41" s="32" t="s">
        <v>15</v>
      </c>
      <c r="F41" s="32" t="str">
        <f t="shared" si="19"/>
        <v>M22</v>
      </c>
      <c r="G41" s="61" t="str">
        <f t="shared" si="20"/>
        <v>304</v>
      </c>
      <c r="H41" s="72" t="str">
        <f t="shared" si="21"/>
        <v>C5</v>
      </c>
      <c r="I41" s="72">
        <f t="shared" si="23"/>
        <v>2</v>
      </c>
      <c r="J41" s="37" t="s">
        <v>37</v>
      </c>
      <c r="K41" s="37">
        <v>20</v>
      </c>
      <c r="L41" s="17">
        <v>0.21</v>
      </c>
      <c r="M41" s="19">
        <v>4.9400000000000004</v>
      </c>
      <c r="N41" s="18">
        <f t="shared" si="18"/>
        <v>4.7300000000000004</v>
      </c>
      <c r="O41" s="20" t="str">
        <f t="shared" si="5"/>
        <v>OK</v>
      </c>
    </row>
    <row r="42" spans="1:15" ht="15" x14ac:dyDescent="0.25">
      <c r="A42" s="91"/>
      <c r="B42" s="32">
        <v>5</v>
      </c>
      <c r="C42" s="32">
        <v>1108954</v>
      </c>
      <c r="D42" s="39">
        <v>45734</v>
      </c>
      <c r="E42" s="32" t="s">
        <v>15</v>
      </c>
      <c r="F42" s="32" t="str">
        <f t="shared" si="19"/>
        <v>M22</v>
      </c>
      <c r="G42" s="61" t="str">
        <f t="shared" si="20"/>
        <v>304</v>
      </c>
      <c r="H42" s="72" t="str">
        <f t="shared" si="21"/>
        <v>C5</v>
      </c>
      <c r="I42" s="72">
        <f t="shared" si="23"/>
        <v>2</v>
      </c>
      <c r="J42" s="37" t="s">
        <v>38</v>
      </c>
      <c r="K42" s="37">
        <v>20</v>
      </c>
      <c r="L42" s="17">
        <v>0.81</v>
      </c>
      <c r="M42" s="19">
        <v>4.26</v>
      </c>
      <c r="N42" s="18">
        <f t="shared" si="18"/>
        <v>3.4499999999999997</v>
      </c>
      <c r="O42" s="20" t="str">
        <f t="shared" si="5"/>
        <v>OK</v>
      </c>
    </row>
    <row r="43" spans="1:15" ht="15" x14ac:dyDescent="0.25">
      <c r="A43" s="91"/>
      <c r="B43" s="32">
        <v>5</v>
      </c>
      <c r="C43" s="32">
        <v>1108954</v>
      </c>
      <c r="D43" s="39">
        <v>45734</v>
      </c>
      <c r="E43" s="32" t="s">
        <v>15</v>
      </c>
      <c r="F43" s="32" t="str">
        <f t="shared" si="19"/>
        <v>M22</v>
      </c>
      <c r="G43" s="61" t="str">
        <f t="shared" si="20"/>
        <v>304</v>
      </c>
      <c r="H43" s="72" t="s">
        <v>47</v>
      </c>
      <c r="I43" s="72">
        <v>1</v>
      </c>
      <c r="J43" s="37" t="s">
        <v>31</v>
      </c>
      <c r="K43" s="37">
        <v>21</v>
      </c>
      <c r="L43" s="17">
        <v>0.2</v>
      </c>
      <c r="M43" s="19">
        <v>5.01</v>
      </c>
      <c r="N43" s="18">
        <f t="shared" si="18"/>
        <v>4.8099999999999996</v>
      </c>
      <c r="O43" s="20" t="str">
        <f t="shared" si="5"/>
        <v>OK</v>
      </c>
    </row>
    <row r="44" spans="1:15" ht="15" x14ac:dyDescent="0.25">
      <c r="A44" s="91"/>
      <c r="B44" s="32">
        <v>5</v>
      </c>
      <c r="C44" s="32">
        <v>1108954</v>
      </c>
      <c r="D44" s="39">
        <v>45734</v>
      </c>
      <c r="E44" s="32" t="s">
        <v>15</v>
      </c>
      <c r="F44" s="32" t="str">
        <f t="shared" si="19"/>
        <v>M22</v>
      </c>
      <c r="G44" s="61" t="str">
        <f t="shared" si="20"/>
        <v>304</v>
      </c>
      <c r="H44" s="72" t="str">
        <f t="shared" ref="H44:H50" si="24">H43</f>
        <v>C6</v>
      </c>
      <c r="I44" s="72">
        <f t="shared" ref="I44:I46" si="25">I43</f>
        <v>1</v>
      </c>
      <c r="J44" s="37" t="s">
        <v>32</v>
      </c>
      <c r="K44" s="37">
        <v>21</v>
      </c>
      <c r="L44" s="17">
        <v>0.11</v>
      </c>
      <c r="M44" s="19">
        <v>4.9400000000000004</v>
      </c>
      <c r="N44" s="18">
        <f t="shared" si="18"/>
        <v>4.83</v>
      </c>
      <c r="O44" s="20" t="str">
        <f t="shared" si="5"/>
        <v>OK</v>
      </c>
    </row>
    <row r="45" spans="1:15" ht="15" x14ac:dyDescent="0.25">
      <c r="A45" s="91"/>
      <c r="B45" s="32">
        <v>5</v>
      </c>
      <c r="C45" s="32">
        <v>1108954</v>
      </c>
      <c r="D45" s="39">
        <v>45734</v>
      </c>
      <c r="E45" s="32" t="s">
        <v>15</v>
      </c>
      <c r="F45" s="32" t="str">
        <f t="shared" si="19"/>
        <v>M22</v>
      </c>
      <c r="G45" s="61" t="str">
        <f t="shared" si="20"/>
        <v>304</v>
      </c>
      <c r="H45" s="72" t="str">
        <f t="shared" si="24"/>
        <v>C6</v>
      </c>
      <c r="I45" s="72">
        <f t="shared" si="25"/>
        <v>1</v>
      </c>
      <c r="J45" s="37" t="s">
        <v>33</v>
      </c>
      <c r="K45" s="37">
        <v>22</v>
      </c>
      <c r="L45" s="17">
        <v>0.21</v>
      </c>
      <c r="M45" s="19">
        <v>4.96</v>
      </c>
      <c r="N45" s="18">
        <f t="shared" si="18"/>
        <v>4.75</v>
      </c>
      <c r="O45" s="20" t="str">
        <f t="shared" si="5"/>
        <v>OK</v>
      </c>
    </row>
    <row r="46" spans="1:15" ht="15" x14ac:dyDescent="0.25">
      <c r="A46" s="91"/>
      <c r="B46" s="32">
        <v>5</v>
      </c>
      <c r="C46" s="32">
        <v>1108954</v>
      </c>
      <c r="D46" s="39">
        <v>45734</v>
      </c>
      <c r="E46" s="32" t="s">
        <v>15</v>
      </c>
      <c r="F46" s="32" t="str">
        <f t="shared" si="19"/>
        <v>M22</v>
      </c>
      <c r="G46" s="61" t="str">
        <f t="shared" si="20"/>
        <v>304</v>
      </c>
      <c r="H46" s="72" t="str">
        <f t="shared" si="24"/>
        <v>C6</v>
      </c>
      <c r="I46" s="72">
        <f t="shared" si="25"/>
        <v>1</v>
      </c>
      <c r="J46" s="37" t="s">
        <v>34</v>
      </c>
      <c r="K46" s="37">
        <v>22</v>
      </c>
      <c r="L46" s="17">
        <v>0.1</v>
      </c>
      <c r="M46" s="19">
        <v>4.7300000000000004</v>
      </c>
      <c r="N46" s="18">
        <f t="shared" si="18"/>
        <v>4.6300000000000008</v>
      </c>
      <c r="O46" s="20" t="str">
        <f t="shared" si="5"/>
        <v>OK</v>
      </c>
    </row>
    <row r="47" spans="1:15" ht="15" x14ac:dyDescent="0.25">
      <c r="A47" s="91"/>
      <c r="B47" s="32">
        <v>5</v>
      </c>
      <c r="C47" s="32">
        <v>1108954</v>
      </c>
      <c r="D47" s="39">
        <v>45734</v>
      </c>
      <c r="E47" s="32" t="s">
        <v>15</v>
      </c>
      <c r="F47" s="32" t="str">
        <f t="shared" si="19"/>
        <v>M22</v>
      </c>
      <c r="G47" s="61" t="str">
        <f t="shared" si="20"/>
        <v>304</v>
      </c>
      <c r="H47" s="72" t="str">
        <f t="shared" si="24"/>
        <v>C6</v>
      </c>
      <c r="I47" s="72">
        <v>2</v>
      </c>
      <c r="J47" s="37" t="s">
        <v>35</v>
      </c>
      <c r="K47" s="37">
        <v>23</v>
      </c>
      <c r="L47" s="17">
        <v>0.13</v>
      </c>
      <c r="M47" s="19">
        <v>4.84</v>
      </c>
      <c r="N47" s="18">
        <f t="shared" si="18"/>
        <v>4.71</v>
      </c>
      <c r="O47" s="20" t="str">
        <f t="shared" si="5"/>
        <v>OK</v>
      </c>
    </row>
    <row r="48" spans="1:15" ht="15" x14ac:dyDescent="0.25">
      <c r="A48" s="91"/>
      <c r="B48" s="32">
        <v>5</v>
      </c>
      <c r="C48" s="32">
        <v>1108954</v>
      </c>
      <c r="D48" s="39">
        <v>45734</v>
      </c>
      <c r="E48" s="32" t="s">
        <v>15</v>
      </c>
      <c r="F48" s="32" t="str">
        <f t="shared" si="19"/>
        <v>M22</v>
      </c>
      <c r="G48" s="61" t="str">
        <f t="shared" si="20"/>
        <v>304</v>
      </c>
      <c r="H48" s="72" t="str">
        <f t="shared" si="24"/>
        <v>C6</v>
      </c>
      <c r="I48" s="72">
        <f t="shared" ref="I48:I50" si="26">I47</f>
        <v>2</v>
      </c>
      <c r="J48" s="37" t="s">
        <v>36</v>
      </c>
      <c r="K48" s="37">
        <v>23</v>
      </c>
      <c r="L48" s="17">
        <v>0.13</v>
      </c>
      <c r="M48" s="19">
        <v>4.8499999999999996</v>
      </c>
      <c r="N48" s="18">
        <f t="shared" si="18"/>
        <v>4.72</v>
      </c>
      <c r="O48" s="20" t="str">
        <f t="shared" si="5"/>
        <v>OK</v>
      </c>
    </row>
    <row r="49" spans="1:15" ht="15" x14ac:dyDescent="0.25">
      <c r="A49" s="91"/>
      <c r="B49" s="32">
        <v>5</v>
      </c>
      <c r="C49" s="32">
        <v>1108954</v>
      </c>
      <c r="D49" s="39">
        <v>45734</v>
      </c>
      <c r="E49" s="32" t="s">
        <v>15</v>
      </c>
      <c r="F49" s="32" t="str">
        <f t="shared" si="19"/>
        <v>M22</v>
      </c>
      <c r="G49" s="61" t="str">
        <f t="shared" si="20"/>
        <v>304</v>
      </c>
      <c r="H49" s="72" t="str">
        <f t="shared" si="24"/>
        <v>C6</v>
      </c>
      <c r="I49" s="72">
        <f t="shared" si="26"/>
        <v>2</v>
      </c>
      <c r="J49" s="37" t="s">
        <v>37</v>
      </c>
      <c r="K49" s="37">
        <v>24</v>
      </c>
      <c r="L49" s="17">
        <v>0.2</v>
      </c>
      <c r="M49" s="19">
        <v>4.92</v>
      </c>
      <c r="N49" s="18">
        <f t="shared" si="18"/>
        <v>4.72</v>
      </c>
      <c r="O49" s="20" t="str">
        <f t="shared" si="5"/>
        <v>OK</v>
      </c>
    </row>
    <row r="50" spans="1:15" ht="15" x14ac:dyDescent="0.25">
      <c r="A50" s="91"/>
      <c r="B50" s="32">
        <v>5</v>
      </c>
      <c r="C50" s="32">
        <v>1108954</v>
      </c>
      <c r="D50" s="39">
        <v>45734</v>
      </c>
      <c r="E50" s="32" t="s">
        <v>15</v>
      </c>
      <c r="F50" s="32" t="str">
        <f t="shared" si="19"/>
        <v>M22</v>
      </c>
      <c r="G50" s="61" t="str">
        <f t="shared" si="20"/>
        <v>304</v>
      </c>
      <c r="H50" s="72" t="str">
        <f t="shared" si="24"/>
        <v>C6</v>
      </c>
      <c r="I50" s="72">
        <f t="shared" si="26"/>
        <v>2</v>
      </c>
      <c r="J50" s="37" t="s">
        <v>38</v>
      </c>
      <c r="K50" s="37">
        <v>24</v>
      </c>
      <c r="L50" s="17">
        <v>0.24</v>
      </c>
      <c r="M50" s="19">
        <v>4.97</v>
      </c>
      <c r="N50" s="18">
        <f t="shared" si="18"/>
        <v>4.7299999999999995</v>
      </c>
      <c r="O50" s="20" t="str">
        <f t="shared" si="5"/>
        <v>OK</v>
      </c>
    </row>
    <row r="51" spans="1:15" ht="15" x14ac:dyDescent="0.25">
      <c r="A51" s="91"/>
      <c r="B51" s="32">
        <v>5</v>
      </c>
      <c r="C51" s="32">
        <v>1108954</v>
      </c>
      <c r="D51" s="39">
        <v>45734</v>
      </c>
      <c r="E51" s="32" t="s">
        <v>15</v>
      </c>
      <c r="F51" s="32" t="s">
        <v>44</v>
      </c>
      <c r="G51" s="61" t="s">
        <v>72</v>
      </c>
      <c r="H51" s="72" t="s">
        <v>47</v>
      </c>
      <c r="I51" s="72">
        <v>2</v>
      </c>
      <c r="J51" s="37" t="s">
        <v>31</v>
      </c>
      <c r="K51" s="37">
        <v>25</v>
      </c>
      <c r="L51" s="17">
        <v>0.2</v>
      </c>
      <c r="M51" s="19">
        <v>4.7300000000000004</v>
      </c>
      <c r="N51" s="18">
        <f t="shared" si="18"/>
        <v>4.53</v>
      </c>
      <c r="O51" s="20" t="str">
        <f t="shared" si="5"/>
        <v>OK</v>
      </c>
    </row>
    <row r="52" spans="1:15" ht="15" x14ac:dyDescent="0.25">
      <c r="A52" s="91"/>
      <c r="B52" s="32">
        <v>5</v>
      </c>
      <c r="C52" s="32">
        <v>1108954</v>
      </c>
      <c r="D52" s="39">
        <v>45734</v>
      </c>
      <c r="E52" s="32" t="s">
        <v>15</v>
      </c>
      <c r="F52" s="32" t="str">
        <f t="shared" ref="F52:F66" si="27">F51</f>
        <v>M22</v>
      </c>
      <c r="G52" s="61" t="str">
        <f t="shared" ref="G52:G66" si="28">G51</f>
        <v>310</v>
      </c>
      <c r="H52" s="72" t="str">
        <f t="shared" ref="H52:H58" si="29">H51</f>
        <v>C6</v>
      </c>
      <c r="I52" s="72">
        <f t="shared" ref="I52:I54" si="30">I51</f>
        <v>2</v>
      </c>
      <c r="J52" s="37" t="s">
        <v>32</v>
      </c>
      <c r="K52" s="37">
        <v>25</v>
      </c>
      <c r="L52" s="17">
        <v>0.16</v>
      </c>
      <c r="M52" s="19">
        <v>1.56</v>
      </c>
      <c r="N52" s="18">
        <f t="shared" si="18"/>
        <v>1.4000000000000001</v>
      </c>
      <c r="O52" s="20" t="str">
        <f t="shared" si="5"/>
        <v>OK</v>
      </c>
    </row>
    <row r="53" spans="1:15" ht="15" x14ac:dyDescent="0.25">
      <c r="A53" s="91"/>
      <c r="B53" s="32">
        <v>5</v>
      </c>
      <c r="C53" s="32">
        <v>1108954</v>
      </c>
      <c r="D53" s="39">
        <v>45734</v>
      </c>
      <c r="E53" s="32" t="s">
        <v>15</v>
      </c>
      <c r="F53" s="32" t="str">
        <f t="shared" si="27"/>
        <v>M22</v>
      </c>
      <c r="G53" s="61" t="str">
        <f t="shared" si="28"/>
        <v>310</v>
      </c>
      <c r="H53" s="72" t="str">
        <f t="shared" si="29"/>
        <v>C6</v>
      </c>
      <c r="I53" s="72">
        <f t="shared" si="30"/>
        <v>2</v>
      </c>
      <c r="J53" s="37" t="s">
        <v>33</v>
      </c>
      <c r="K53" s="37">
        <v>26</v>
      </c>
      <c r="L53" s="17">
        <v>0.53</v>
      </c>
      <c r="M53" s="19">
        <v>4.1500000000000004</v>
      </c>
      <c r="N53" s="18">
        <f t="shared" si="18"/>
        <v>3.62</v>
      </c>
      <c r="O53" s="20" t="str">
        <f t="shared" si="5"/>
        <v>OK</v>
      </c>
    </row>
    <row r="54" spans="1:15" ht="15" x14ac:dyDescent="0.25">
      <c r="A54" s="91"/>
      <c r="B54" s="32">
        <v>5</v>
      </c>
      <c r="C54" s="32">
        <v>1108954</v>
      </c>
      <c r="D54" s="39">
        <v>45734</v>
      </c>
      <c r="E54" s="32" t="s">
        <v>15</v>
      </c>
      <c r="F54" s="32" t="str">
        <f t="shared" si="27"/>
        <v>M22</v>
      </c>
      <c r="G54" s="61" t="str">
        <f t="shared" si="28"/>
        <v>310</v>
      </c>
      <c r="H54" s="72" t="str">
        <f t="shared" si="29"/>
        <v>C6</v>
      </c>
      <c r="I54" s="72">
        <f t="shared" si="30"/>
        <v>2</v>
      </c>
      <c r="J54" s="37" t="s">
        <v>34</v>
      </c>
      <c r="K54" s="37">
        <v>26</v>
      </c>
      <c r="L54" s="17">
        <v>0.18</v>
      </c>
      <c r="M54" s="19">
        <v>4.8</v>
      </c>
      <c r="N54" s="18">
        <f t="shared" si="18"/>
        <v>4.62</v>
      </c>
      <c r="O54" s="20" t="str">
        <f t="shared" si="5"/>
        <v>OK</v>
      </c>
    </row>
    <row r="55" spans="1:15" ht="15" x14ac:dyDescent="0.25">
      <c r="A55" s="91"/>
      <c r="B55" s="32">
        <v>5</v>
      </c>
      <c r="C55" s="32">
        <v>1108954</v>
      </c>
      <c r="D55" s="39">
        <v>45734</v>
      </c>
      <c r="E55" s="32" t="s">
        <v>15</v>
      </c>
      <c r="F55" s="32" t="str">
        <f t="shared" si="27"/>
        <v>M22</v>
      </c>
      <c r="G55" s="61" t="str">
        <f t="shared" si="28"/>
        <v>310</v>
      </c>
      <c r="H55" s="72" t="str">
        <f t="shared" si="29"/>
        <v>C6</v>
      </c>
      <c r="I55" s="72">
        <v>1</v>
      </c>
      <c r="J55" s="37" t="s">
        <v>35</v>
      </c>
      <c r="K55" s="37">
        <v>27</v>
      </c>
      <c r="L55" s="17">
        <v>0.81</v>
      </c>
      <c r="M55" s="19">
        <v>4.3499999999999996</v>
      </c>
      <c r="N55" s="18">
        <f t="shared" si="18"/>
        <v>3.5399999999999996</v>
      </c>
      <c r="O55" s="20" t="str">
        <f t="shared" si="5"/>
        <v>OK</v>
      </c>
    </row>
    <row r="56" spans="1:15" ht="15" x14ac:dyDescent="0.25">
      <c r="A56" s="91"/>
      <c r="B56" s="32">
        <v>5</v>
      </c>
      <c r="C56" s="32">
        <v>1108954</v>
      </c>
      <c r="D56" s="39">
        <v>45734</v>
      </c>
      <c r="E56" s="32" t="s">
        <v>15</v>
      </c>
      <c r="F56" s="32" t="str">
        <f t="shared" si="27"/>
        <v>M22</v>
      </c>
      <c r="G56" s="61" t="str">
        <f t="shared" si="28"/>
        <v>310</v>
      </c>
      <c r="H56" s="72" t="str">
        <f t="shared" si="29"/>
        <v>C6</v>
      </c>
      <c r="I56" s="72">
        <f t="shared" ref="I56:I58" si="31">I55</f>
        <v>1</v>
      </c>
      <c r="J56" s="37" t="s">
        <v>36</v>
      </c>
      <c r="K56" s="37">
        <v>27</v>
      </c>
      <c r="L56" s="17">
        <v>0.61</v>
      </c>
      <c r="M56" s="19">
        <v>4.42</v>
      </c>
      <c r="N56" s="18">
        <f t="shared" si="18"/>
        <v>3.81</v>
      </c>
      <c r="O56" s="20" t="str">
        <f t="shared" si="5"/>
        <v>OK</v>
      </c>
    </row>
    <row r="57" spans="1:15" ht="15" x14ac:dyDescent="0.25">
      <c r="A57" s="91"/>
      <c r="B57" s="32">
        <v>5</v>
      </c>
      <c r="C57" s="32">
        <v>1108954</v>
      </c>
      <c r="D57" s="39">
        <v>45734</v>
      </c>
      <c r="E57" s="32" t="s">
        <v>15</v>
      </c>
      <c r="F57" s="32" t="str">
        <f t="shared" si="27"/>
        <v>M22</v>
      </c>
      <c r="G57" s="61" t="str">
        <f t="shared" si="28"/>
        <v>310</v>
      </c>
      <c r="H57" s="72" t="str">
        <f t="shared" si="29"/>
        <v>C6</v>
      </c>
      <c r="I57" s="72">
        <f t="shared" si="31"/>
        <v>1</v>
      </c>
      <c r="J57" s="37" t="s">
        <v>37</v>
      </c>
      <c r="K57" s="37">
        <v>28</v>
      </c>
      <c r="L57" s="17">
        <v>0.71</v>
      </c>
      <c r="M57" s="19">
        <v>4.75</v>
      </c>
      <c r="N57" s="18">
        <f t="shared" si="18"/>
        <v>4.04</v>
      </c>
      <c r="O57" s="20" t="str">
        <f t="shared" si="5"/>
        <v>OK</v>
      </c>
    </row>
    <row r="58" spans="1:15" ht="15" x14ac:dyDescent="0.25">
      <c r="A58" s="91"/>
      <c r="B58" s="32">
        <v>5</v>
      </c>
      <c r="C58" s="32">
        <v>1108954</v>
      </c>
      <c r="D58" s="39">
        <v>45734</v>
      </c>
      <c r="E58" s="32" t="s">
        <v>15</v>
      </c>
      <c r="F58" s="32" t="str">
        <f t="shared" si="27"/>
        <v>M22</v>
      </c>
      <c r="G58" s="61" t="str">
        <f t="shared" si="28"/>
        <v>310</v>
      </c>
      <c r="H58" s="72" t="str">
        <f t="shared" si="29"/>
        <v>C6</v>
      </c>
      <c r="I58" s="72">
        <f t="shared" si="31"/>
        <v>1</v>
      </c>
      <c r="J58" s="37" t="s">
        <v>38</v>
      </c>
      <c r="K58" s="37">
        <v>28</v>
      </c>
      <c r="L58" s="17">
        <v>0.21</v>
      </c>
      <c r="M58" s="19">
        <v>4.71</v>
      </c>
      <c r="N58" s="18">
        <f t="shared" si="18"/>
        <v>4.5</v>
      </c>
      <c r="O58" s="20" t="str">
        <f t="shared" si="5"/>
        <v>OK</v>
      </c>
    </row>
    <row r="59" spans="1:15" ht="15" x14ac:dyDescent="0.25">
      <c r="A59" s="91"/>
      <c r="B59" s="32">
        <v>5</v>
      </c>
      <c r="C59" s="32">
        <v>1108954</v>
      </c>
      <c r="D59" s="39">
        <v>45734</v>
      </c>
      <c r="E59" s="32" t="s">
        <v>15</v>
      </c>
      <c r="F59" s="32" t="str">
        <f t="shared" si="27"/>
        <v>M22</v>
      </c>
      <c r="G59" s="61" t="str">
        <f t="shared" si="28"/>
        <v>310</v>
      </c>
      <c r="H59" s="72" t="s">
        <v>46</v>
      </c>
      <c r="I59" s="72">
        <v>2</v>
      </c>
      <c r="J59" s="37" t="s">
        <v>31</v>
      </c>
      <c r="K59" s="37">
        <v>29</v>
      </c>
      <c r="L59" s="17">
        <v>1.01</v>
      </c>
      <c r="M59" s="19">
        <v>4.24</v>
      </c>
      <c r="N59" s="18">
        <f t="shared" si="18"/>
        <v>3.2300000000000004</v>
      </c>
      <c r="O59" s="20" t="str">
        <f t="shared" si="5"/>
        <v>OK</v>
      </c>
    </row>
    <row r="60" spans="1:15" ht="15" x14ac:dyDescent="0.25">
      <c r="A60" s="91"/>
      <c r="B60" s="32">
        <v>5</v>
      </c>
      <c r="C60" s="32">
        <v>1108954</v>
      </c>
      <c r="D60" s="39">
        <v>45734</v>
      </c>
      <c r="E60" s="32" t="s">
        <v>15</v>
      </c>
      <c r="F60" s="32" t="str">
        <f t="shared" si="27"/>
        <v>M22</v>
      </c>
      <c r="G60" s="61" t="str">
        <f t="shared" si="28"/>
        <v>310</v>
      </c>
      <c r="H60" s="72" t="str">
        <f t="shared" ref="H60:H66" si="32">H59</f>
        <v>C5</v>
      </c>
      <c r="I60" s="72">
        <f t="shared" ref="I60:I62" si="33">I59</f>
        <v>2</v>
      </c>
      <c r="J60" s="37" t="s">
        <v>32</v>
      </c>
      <c r="K60" s="37">
        <v>29</v>
      </c>
      <c r="L60" s="17">
        <v>0.14000000000000001</v>
      </c>
      <c r="M60" s="19">
        <v>1.33</v>
      </c>
      <c r="N60" s="18">
        <f t="shared" si="18"/>
        <v>1.19</v>
      </c>
      <c r="O60" s="20" t="str">
        <f t="shared" si="5"/>
        <v>OK</v>
      </c>
    </row>
    <row r="61" spans="1:15" ht="15" x14ac:dyDescent="0.25">
      <c r="A61" s="91"/>
      <c r="B61" s="32">
        <v>5</v>
      </c>
      <c r="C61" s="32">
        <v>1108954</v>
      </c>
      <c r="D61" s="39">
        <v>45734</v>
      </c>
      <c r="E61" s="32" t="s">
        <v>15</v>
      </c>
      <c r="F61" s="32" t="str">
        <f t="shared" si="27"/>
        <v>M22</v>
      </c>
      <c r="G61" s="61" t="str">
        <f t="shared" si="28"/>
        <v>310</v>
      </c>
      <c r="H61" s="72" t="str">
        <f t="shared" si="32"/>
        <v>C5</v>
      </c>
      <c r="I61" s="72">
        <f t="shared" si="33"/>
        <v>2</v>
      </c>
      <c r="J61" s="37" t="s">
        <v>33</v>
      </c>
      <c r="K61" s="37">
        <v>30</v>
      </c>
      <c r="L61" s="17">
        <v>0.48</v>
      </c>
      <c r="M61" s="19">
        <v>1.4</v>
      </c>
      <c r="N61" s="18">
        <f t="shared" si="18"/>
        <v>0.91999999999999993</v>
      </c>
      <c r="O61" s="20" t="str">
        <f t="shared" si="5"/>
        <v>Seguimiento</v>
      </c>
    </row>
    <row r="62" spans="1:15" ht="15" x14ac:dyDescent="0.25">
      <c r="A62" s="91"/>
      <c r="B62" s="32">
        <v>5</v>
      </c>
      <c r="C62" s="32">
        <v>1108954</v>
      </c>
      <c r="D62" s="39">
        <v>45734</v>
      </c>
      <c r="E62" s="32" t="s">
        <v>15</v>
      </c>
      <c r="F62" s="32" t="str">
        <f t="shared" si="27"/>
        <v>M22</v>
      </c>
      <c r="G62" s="61" t="str">
        <f t="shared" si="28"/>
        <v>310</v>
      </c>
      <c r="H62" s="72" t="str">
        <f t="shared" si="32"/>
        <v>C5</v>
      </c>
      <c r="I62" s="72">
        <f t="shared" si="33"/>
        <v>2</v>
      </c>
      <c r="J62" s="37" t="s">
        <v>34</v>
      </c>
      <c r="K62" s="37">
        <v>30</v>
      </c>
      <c r="L62" s="17">
        <v>0.08</v>
      </c>
      <c r="M62" s="19">
        <v>1.07</v>
      </c>
      <c r="N62" s="18">
        <f t="shared" si="18"/>
        <v>0.9900000000000001</v>
      </c>
      <c r="O62" s="20" t="str">
        <f t="shared" si="5"/>
        <v>Seguimiento</v>
      </c>
    </row>
    <row r="63" spans="1:15" ht="15" x14ac:dyDescent="0.25">
      <c r="A63" s="91"/>
      <c r="B63" s="32">
        <v>5</v>
      </c>
      <c r="C63" s="32">
        <v>1108954</v>
      </c>
      <c r="D63" s="39">
        <v>45734</v>
      </c>
      <c r="E63" s="32" t="s">
        <v>15</v>
      </c>
      <c r="F63" s="32" t="str">
        <f t="shared" si="27"/>
        <v>M22</v>
      </c>
      <c r="G63" s="61" t="str">
        <f t="shared" si="28"/>
        <v>310</v>
      </c>
      <c r="H63" s="72" t="str">
        <f t="shared" si="32"/>
        <v>C5</v>
      </c>
      <c r="I63" s="72">
        <v>1</v>
      </c>
      <c r="J63" s="37" t="s">
        <v>35</v>
      </c>
      <c r="K63" s="37">
        <v>31</v>
      </c>
      <c r="L63" s="17">
        <v>0.35</v>
      </c>
      <c r="M63" s="19">
        <v>1.55</v>
      </c>
      <c r="N63" s="18">
        <f t="shared" si="18"/>
        <v>1.2000000000000002</v>
      </c>
      <c r="O63" s="20" t="str">
        <f t="shared" si="5"/>
        <v>OK</v>
      </c>
    </row>
    <row r="64" spans="1:15" ht="15" x14ac:dyDescent="0.25">
      <c r="A64" s="91"/>
      <c r="B64" s="32">
        <v>5</v>
      </c>
      <c r="C64" s="32">
        <v>1108954</v>
      </c>
      <c r="D64" s="39">
        <v>45734</v>
      </c>
      <c r="E64" s="32" t="s">
        <v>15</v>
      </c>
      <c r="F64" s="32" t="str">
        <f t="shared" si="27"/>
        <v>M22</v>
      </c>
      <c r="G64" s="61" t="str">
        <f t="shared" si="28"/>
        <v>310</v>
      </c>
      <c r="H64" s="72" t="str">
        <f t="shared" si="32"/>
        <v>C5</v>
      </c>
      <c r="I64" s="72">
        <f t="shared" ref="I64:I66" si="34">I63</f>
        <v>1</v>
      </c>
      <c r="J64" s="37" t="s">
        <v>36</v>
      </c>
      <c r="K64" s="37">
        <v>31</v>
      </c>
      <c r="L64" s="17">
        <v>0.54</v>
      </c>
      <c r="M64" s="19">
        <v>2.13</v>
      </c>
      <c r="N64" s="18">
        <f t="shared" si="18"/>
        <v>1.5899999999999999</v>
      </c>
      <c r="O64" s="20" t="str">
        <f t="shared" si="5"/>
        <v>OK</v>
      </c>
    </row>
    <row r="65" spans="1:15" ht="15" x14ac:dyDescent="0.25">
      <c r="A65" s="91"/>
      <c r="B65" s="32">
        <v>5</v>
      </c>
      <c r="C65" s="32">
        <v>1108954</v>
      </c>
      <c r="D65" s="39">
        <v>45734</v>
      </c>
      <c r="E65" s="32" t="s">
        <v>15</v>
      </c>
      <c r="F65" s="32" t="str">
        <f t="shared" si="27"/>
        <v>M22</v>
      </c>
      <c r="G65" s="61" t="str">
        <f t="shared" si="28"/>
        <v>310</v>
      </c>
      <c r="H65" s="72" t="str">
        <f t="shared" si="32"/>
        <v>C5</v>
      </c>
      <c r="I65" s="72">
        <f t="shared" si="34"/>
        <v>1</v>
      </c>
      <c r="J65" s="37" t="s">
        <v>37</v>
      </c>
      <c r="K65" s="37">
        <v>32</v>
      </c>
      <c r="L65" s="17">
        <v>0.06</v>
      </c>
      <c r="M65" s="19">
        <v>1.33</v>
      </c>
      <c r="N65" s="18">
        <f t="shared" si="18"/>
        <v>1.27</v>
      </c>
      <c r="O65" s="20" t="str">
        <f t="shared" si="5"/>
        <v>OK</v>
      </c>
    </row>
    <row r="66" spans="1:15" ht="15" x14ac:dyDescent="0.25">
      <c r="A66" s="91"/>
      <c r="B66" s="32">
        <v>5</v>
      </c>
      <c r="C66" s="32">
        <v>1108954</v>
      </c>
      <c r="D66" s="39">
        <v>45734</v>
      </c>
      <c r="E66" s="32" t="s">
        <v>15</v>
      </c>
      <c r="F66" s="32" t="str">
        <f t="shared" si="27"/>
        <v>M22</v>
      </c>
      <c r="G66" s="61" t="str">
        <f t="shared" si="28"/>
        <v>310</v>
      </c>
      <c r="H66" s="72" t="str">
        <f t="shared" si="32"/>
        <v>C5</v>
      </c>
      <c r="I66" s="72">
        <f t="shared" si="34"/>
        <v>1</v>
      </c>
      <c r="J66" s="37" t="s">
        <v>38</v>
      </c>
      <c r="K66" s="37">
        <v>32</v>
      </c>
      <c r="L66" s="23">
        <v>0.74</v>
      </c>
      <c r="M66" s="24">
        <v>4.1399999999999997</v>
      </c>
      <c r="N66" s="18">
        <f t="shared" si="18"/>
        <v>3.3999999999999995</v>
      </c>
      <c r="O66" s="20" t="str">
        <f t="shared" si="5"/>
        <v>OK</v>
      </c>
    </row>
    <row r="67" spans="1:15" ht="15" x14ac:dyDescent="0.25">
      <c r="A67" s="91"/>
      <c r="B67" s="32">
        <v>5</v>
      </c>
      <c r="C67" s="32">
        <v>1108954</v>
      </c>
      <c r="D67" s="39">
        <v>45734</v>
      </c>
      <c r="E67" s="32" t="s">
        <v>15</v>
      </c>
      <c r="F67" s="32" t="s">
        <v>40</v>
      </c>
      <c r="G67" s="61" t="s">
        <v>73</v>
      </c>
      <c r="H67" s="72" t="s">
        <v>43</v>
      </c>
      <c r="I67" s="72">
        <v>1</v>
      </c>
      <c r="J67" s="37" t="s">
        <v>31</v>
      </c>
      <c r="K67" s="37">
        <v>33</v>
      </c>
      <c r="L67" s="17">
        <v>0.42</v>
      </c>
      <c r="M67" s="17">
        <v>3.43</v>
      </c>
      <c r="N67" s="18">
        <f t="shared" si="18"/>
        <v>3.0100000000000002</v>
      </c>
      <c r="O67" s="20" t="str">
        <f t="shared" si="5"/>
        <v>OK</v>
      </c>
    </row>
    <row r="68" spans="1:15" ht="15" x14ac:dyDescent="0.25">
      <c r="A68" s="91"/>
      <c r="B68" s="32">
        <v>5</v>
      </c>
      <c r="C68" s="32">
        <v>1108954</v>
      </c>
      <c r="D68" s="39">
        <v>45734</v>
      </c>
      <c r="E68" s="32" t="s">
        <v>15</v>
      </c>
      <c r="F68" s="32" t="str">
        <f t="shared" ref="F68:F82" si="35">F67</f>
        <v>M21</v>
      </c>
      <c r="G68" s="61" t="str">
        <f t="shared" ref="G68:G82" si="36">G67</f>
        <v>022</v>
      </c>
      <c r="H68" s="72" t="str">
        <f t="shared" ref="H68:H74" si="37">H67</f>
        <v>C4</v>
      </c>
      <c r="I68" s="72">
        <f t="shared" ref="I68:I70" si="38">I67</f>
        <v>1</v>
      </c>
      <c r="J68" s="37" t="s">
        <v>32</v>
      </c>
      <c r="K68" s="37">
        <v>33</v>
      </c>
      <c r="L68" s="17">
        <v>0.97</v>
      </c>
      <c r="M68" s="17">
        <v>3.82</v>
      </c>
      <c r="N68" s="18">
        <f t="shared" ref="N68:N131" si="39">+M68-L68</f>
        <v>2.8499999999999996</v>
      </c>
      <c r="O68" s="20" t="str">
        <f t="shared" ref="O68:O98" si="40">IF(N68&lt;=0,"Critico",IF(N68&lt;=0.2,"Cambio",IF(N68&lt;=1,"Seguimiento",IF(L68&gt;=2,"Reperfilado","OK"))))</f>
        <v>OK</v>
      </c>
    </row>
    <row r="69" spans="1:15" ht="15" x14ac:dyDescent="0.25">
      <c r="A69" s="91"/>
      <c r="B69" s="32">
        <v>5</v>
      </c>
      <c r="C69" s="32">
        <v>1108954</v>
      </c>
      <c r="D69" s="39">
        <v>45734</v>
      </c>
      <c r="E69" s="32" t="s">
        <v>15</v>
      </c>
      <c r="F69" s="32" t="str">
        <f t="shared" si="35"/>
        <v>M21</v>
      </c>
      <c r="G69" s="61" t="str">
        <f t="shared" si="36"/>
        <v>022</v>
      </c>
      <c r="H69" s="72" t="str">
        <f t="shared" si="37"/>
        <v>C4</v>
      </c>
      <c r="I69" s="72">
        <f t="shared" si="38"/>
        <v>1</v>
      </c>
      <c r="J69" s="37" t="s">
        <v>33</v>
      </c>
      <c r="K69" s="37">
        <v>34</v>
      </c>
      <c r="L69" s="17">
        <v>1.55</v>
      </c>
      <c r="M69" s="17">
        <v>3.82</v>
      </c>
      <c r="N69" s="18">
        <f t="shared" si="39"/>
        <v>2.2699999999999996</v>
      </c>
      <c r="O69" s="20" t="str">
        <f t="shared" si="40"/>
        <v>OK</v>
      </c>
    </row>
    <row r="70" spans="1:15" ht="15" x14ac:dyDescent="0.25">
      <c r="A70" s="91"/>
      <c r="B70" s="32">
        <v>5</v>
      </c>
      <c r="C70" s="32">
        <v>1108954</v>
      </c>
      <c r="D70" s="39">
        <v>45734</v>
      </c>
      <c r="E70" s="32" t="s">
        <v>15</v>
      </c>
      <c r="F70" s="32" t="str">
        <f t="shared" si="35"/>
        <v>M21</v>
      </c>
      <c r="G70" s="61" t="str">
        <f t="shared" si="36"/>
        <v>022</v>
      </c>
      <c r="H70" s="72" t="str">
        <f t="shared" si="37"/>
        <v>C4</v>
      </c>
      <c r="I70" s="72">
        <f t="shared" si="38"/>
        <v>1</v>
      </c>
      <c r="J70" s="37" t="s">
        <v>34</v>
      </c>
      <c r="K70" s="37">
        <v>34</v>
      </c>
      <c r="L70" s="17">
        <v>0.79</v>
      </c>
      <c r="M70" s="17">
        <v>3.92</v>
      </c>
      <c r="N70" s="18">
        <f t="shared" si="39"/>
        <v>3.13</v>
      </c>
      <c r="O70" s="20" t="str">
        <f t="shared" si="40"/>
        <v>OK</v>
      </c>
    </row>
    <row r="71" spans="1:15" ht="15" x14ac:dyDescent="0.25">
      <c r="A71" s="91"/>
      <c r="B71" s="32">
        <v>5</v>
      </c>
      <c r="C71" s="32">
        <v>1108954</v>
      </c>
      <c r="D71" s="39">
        <v>45734</v>
      </c>
      <c r="E71" s="32" t="s">
        <v>15</v>
      </c>
      <c r="F71" s="32" t="str">
        <f t="shared" si="35"/>
        <v>M21</v>
      </c>
      <c r="G71" s="61" t="str">
        <f t="shared" si="36"/>
        <v>022</v>
      </c>
      <c r="H71" s="72" t="str">
        <f t="shared" si="37"/>
        <v>C4</v>
      </c>
      <c r="I71" s="72">
        <v>2</v>
      </c>
      <c r="J71" s="37" t="s">
        <v>35</v>
      </c>
      <c r="K71" s="37">
        <v>35</v>
      </c>
      <c r="L71" s="17">
        <v>0.49</v>
      </c>
      <c r="M71" s="17">
        <v>4.6100000000000003</v>
      </c>
      <c r="N71" s="18">
        <f t="shared" si="39"/>
        <v>4.12</v>
      </c>
      <c r="O71" s="20" t="str">
        <f t="shared" si="40"/>
        <v>OK</v>
      </c>
    </row>
    <row r="72" spans="1:15" ht="15" x14ac:dyDescent="0.25">
      <c r="A72" s="91"/>
      <c r="B72" s="32">
        <v>5</v>
      </c>
      <c r="C72" s="32">
        <v>1108954</v>
      </c>
      <c r="D72" s="39">
        <v>45734</v>
      </c>
      <c r="E72" s="32" t="s">
        <v>15</v>
      </c>
      <c r="F72" s="32" t="str">
        <f t="shared" si="35"/>
        <v>M21</v>
      </c>
      <c r="G72" s="61" t="str">
        <f t="shared" si="36"/>
        <v>022</v>
      </c>
      <c r="H72" s="72" t="str">
        <f t="shared" si="37"/>
        <v>C4</v>
      </c>
      <c r="I72" s="72">
        <f t="shared" ref="I72:I74" si="41">I71</f>
        <v>2</v>
      </c>
      <c r="J72" s="37" t="s">
        <v>36</v>
      </c>
      <c r="K72" s="37">
        <v>35</v>
      </c>
      <c r="L72" s="17">
        <v>0.98</v>
      </c>
      <c r="M72" s="17">
        <v>3.11</v>
      </c>
      <c r="N72" s="18">
        <f t="shared" si="39"/>
        <v>2.13</v>
      </c>
      <c r="O72" s="20" t="str">
        <f t="shared" si="40"/>
        <v>OK</v>
      </c>
    </row>
    <row r="73" spans="1:15" ht="15" x14ac:dyDescent="0.25">
      <c r="A73" s="91"/>
      <c r="B73" s="32">
        <v>5</v>
      </c>
      <c r="C73" s="32">
        <v>1108954</v>
      </c>
      <c r="D73" s="39">
        <v>45734</v>
      </c>
      <c r="E73" s="32" t="s">
        <v>15</v>
      </c>
      <c r="F73" s="32" t="str">
        <f t="shared" si="35"/>
        <v>M21</v>
      </c>
      <c r="G73" s="61" t="str">
        <f t="shared" si="36"/>
        <v>022</v>
      </c>
      <c r="H73" s="72" t="str">
        <f t="shared" si="37"/>
        <v>C4</v>
      </c>
      <c r="I73" s="72">
        <f t="shared" si="41"/>
        <v>2</v>
      </c>
      <c r="J73" s="37" t="s">
        <v>37</v>
      </c>
      <c r="K73" s="37">
        <v>36</v>
      </c>
      <c r="L73" s="17">
        <v>0.72</v>
      </c>
      <c r="M73" s="17">
        <v>2.0499999999999998</v>
      </c>
      <c r="N73" s="18">
        <f t="shared" si="39"/>
        <v>1.3299999999999998</v>
      </c>
      <c r="O73" s="20" t="str">
        <f t="shared" si="40"/>
        <v>OK</v>
      </c>
    </row>
    <row r="74" spans="1:15" ht="15" x14ac:dyDescent="0.25">
      <c r="A74" s="91"/>
      <c r="B74" s="32">
        <v>5</v>
      </c>
      <c r="C74" s="32">
        <v>1108954</v>
      </c>
      <c r="D74" s="39">
        <v>45734</v>
      </c>
      <c r="E74" s="32" t="s">
        <v>15</v>
      </c>
      <c r="F74" s="32" t="str">
        <f t="shared" si="35"/>
        <v>M21</v>
      </c>
      <c r="G74" s="61" t="str">
        <f t="shared" si="36"/>
        <v>022</v>
      </c>
      <c r="H74" s="72" t="str">
        <f t="shared" si="37"/>
        <v>C4</v>
      </c>
      <c r="I74" s="72">
        <f t="shared" si="41"/>
        <v>2</v>
      </c>
      <c r="J74" s="37" t="s">
        <v>38</v>
      </c>
      <c r="K74" s="37">
        <v>36</v>
      </c>
      <c r="L74" s="17">
        <v>1.33</v>
      </c>
      <c r="M74" s="17">
        <v>4.1500000000000004</v>
      </c>
      <c r="N74" s="18">
        <f t="shared" si="39"/>
        <v>2.8200000000000003</v>
      </c>
      <c r="O74" s="20" t="str">
        <f t="shared" si="40"/>
        <v>OK</v>
      </c>
    </row>
    <row r="75" spans="1:15" ht="15" x14ac:dyDescent="0.25">
      <c r="A75" s="91"/>
      <c r="B75" s="32">
        <v>5</v>
      </c>
      <c r="C75" s="32">
        <v>1108954</v>
      </c>
      <c r="D75" s="39">
        <v>45734</v>
      </c>
      <c r="E75" s="32" t="s">
        <v>15</v>
      </c>
      <c r="F75" s="32" t="str">
        <f t="shared" si="35"/>
        <v>M21</v>
      </c>
      <c r="G75" s="61" t="str">
        <f t="shared" si="36"/>
        <v>022</v>
      </c>
      <c r="H75" s="72" t="s">
        <v>42</v>
      </c>
      <c r="I75" s="72">
        <v>1</v>
      </c>
      <c r="J75" s="37" t="s">
        <v>31</v>
      </c>
      <c r="K75" s="37">
        <v>37</v>
      </c>
      <c r="L75" s="17">
        <v>0.35</v>
      </c>
      <c r="M75" s="17">
        <v>1.1299999999999999</v>
      </c>
      <c r="N75" s="18">
        <f t="shared" si="39"/>
        <v>0.77999999999999992</v>
      </c>
      <c r="O75" s="20" t="str">
        <f t="shared" si="40"/>
        <v>Seguimiento</v>
      </c>
    </row>
    <row r="76" spans="1:15" ht="15" x14ac:dyDescent="0.25">
      <c r="A76" s="91"/>
      <c r="B76" s="32">
        <v>5</v>
      </c>
      <c r="C76" s="32">
        <v>1108954</v>
      </c>
      <c r="D76" s="39">
        <v>45734</v>
      </c>
      <c r="E76" s="32" t="s">
        <v>15</v>
      </c>
      <c r="F76" s="32" t="str">
        <f t="shared" si="35"/>
        <v>M21</v>
      </c>
      <c r="G76" s="61" t="str">
        <f t="shared" si="36"/>
        <v>022</v>
      </c>
      <c r="H76" s="72" t="str">
        <f t="shared" ref="H76:H82" si="42">H75</f>
        <v>C3</v>
      </c>
      <c r="I76" s="72">
        <f t="shared" ref="I76:I78" si="43">I75</f>
        <v>1</v>
      </c>
      <c r="J76" s="37" t="s">
        <v>32</v>
      </c>
      <c r="K76" s="37">
        <v>37</v>
      </c>
      <c r="L76" s="17">
        <v>0.85</v>
      </c>
      <c r="M76" s="17">
        <v>3.76</v>
      </c>
      <c r="N76" s="18">
        <f t="shared" si="39"/>
        <v>2.9099999999999997</v>
      </c>
      <c r="O76" s="20" t="str">
        <f t="shared" si="40"/>
        <v>OK</v>
      </c>
    </row>
    <row r="77" spans="1:15" ht="15" x14ac:dyDescent="0.25">
      <c r="A77" s="91"/>
      <c r="B77" s="32">
        <v>5</v>
      </c>
      <c r="C77" s="32">
        <v>1108954</v>
      </c>
      <c r="D77" s="39">
        <v>45734</v>
      </c>
      <c r="E77" s="32" t="s">
        <v>15</v>
      </c>
      <c r="F77" s="32" t="str">
        <f t="shared" si="35"/>
        <v>M21</v>
      </c>
      <c r="G77" s="61" t="str">
        <f t="shared" si="36"/>
        <v>022</v>
      </c>
      <c r="H77" s="72" t="str">
        <f t="shared" si="42"/>
        <v>C3</v>
      </c>
      <c r="I77" s="72">
        <f t="shared" si="43"/>
        <v>1</v>
      </c>
      <c r="J77" s="37" t="s">
        <v>33</v>
      </c>
      <c r="K77" s="37">
        <v>38</v>
      </c>
      <c r="L77" s="17">
        <v>0.12</v>
      </c>
      <c r="M77" s="17">
        <v>4.6100000000000003</v>
      </c>
      <c r="N77" s="18">
        <f t="shared" si="39"/>
        <v>4.49</v>
      </c>
      <c r="O77" s="20" t="str">
        <f t="shared" si="40"/>
        <v>OK</v>
      </c>
    </row>
    <row r="78" spans="1:15" ht="15" x14ac:dyDescent="0.25">
      <c r="A78" s="91"/>
      <c r="B78" s="32">
        <v>5</v>
      </c>
      <c r="C78" s="32">
        <v>1108954</v>
      </c>
      <c r="D78" s="39">
        <v>45734</v>
      </c>
      <c r="E78" s="32" t="s">
        <v>15</v>
      </c>
      <c r="F78" s="32" t="str">
        <f t="shared" si="35"/>
        <v>M21</v>
      </c>
      <c r="G78" s="61" t="str">
        <f t="shared" si="36"/>
        <v>022</v>
      </c>
      <c r="H78" s="72" t="str">
        <f t="shared" si="42"/>
        <v>C3</v>
      </c>
      <c r="I78" s="72">
        <f t="shared" si="43"/>
        <v>1</v>
      </c>
      <c r="J78" s="37" t="s">
        <v>34</v>
      </c>
      <c r="K78" s="37">
        <v>38</v>
      </c>
      <c r="L78" s="17">
        <v>1.1499999999999999</v>
      </c>
      <c r="M78" s="17">
        <v>2.87</v>
      </c>
      <c r="N78" s="18">
        <f t="shared" si="39"/>
        <v>1.7200000000000002</v>
      </c>
      <c r="O78" s="20" t="str">
        <f t="shared" si="40"/>
        <v>OK</v>
      </c>
    </row>
    <row r="79" spans="1:15" ht="15" x14ac:dyDescent="0.25">
      <c r="A79" s="91"/>
      <c r="B79" s="32">
        <v>5</v>
      </c>
      <c r="C79" s="32">
        <v>1108954</v>
      </c>
      <c r="D79" s="39">
        <v>45734</v>
      </c>
      <c r="E79" s="32" t="s">
        <v>15</v>
      </c>
      <c r="F79" s="32" t="str">
        <f t="shared" si="35"/>
        <v>M21</v>
      </c>
      <c r="G79" s="61" t="str">
        <f t="shared" si="36"/>
        <v>022</v>
      </c>
      <c r="H79" s="72" t="str">
        <f t="shared" si="42"/>
        <v>C3</v>
      </c>
      <c r="I79" s="72">
        <v>2</v>
      </c>
      <c r="J79" s="37" t="s">
        <v>35</v>
      </c>
      <c r="K79" s="37">
        <v>39</v>
      </c>
      <c r="L79" s="17">
        <v>0.42</v>
      </c>
      <c r="M79" s="17">
        <v>0.96</v>
      </c>
      <c r="N79" s="18">
        <f t="shared" si="39"/>
        <v>0.54</v>
      </c>
      <c r="O79" s="20" t="str">
        <f t="shared" si="40"/>
        <v>Seguimiento</v>
      </c>
    </row>
    <row r="80" spans="1:15" ht="15" x14ac:dyDescent="0.25">
      <c r="A80" s="91"/>
      <c r="B80" s="32">
        <v>5</v>
      </c>
      <c r="C80" s="32">
        <v>1108954</v>
      </c>
      <c r="D80" s="39">
        <v>45734</v>
      </c>
      <c r="E80" s="32" t="s">
        <v>15</v>
      </c>
      <c r="F80" s="32" t="str">
        <f t="shared" si="35"/>
        <v>M21</v>
      </c>
      <c r="G80" s="61" t="str">
        <f t="shared" si="36"/>
        <v>022</v>
      </c>
      <c r="H80" s="72" t="str">
        <f t="shared" si="42"/>
        <v>C3</v>
      </c>
      <c r="I80" s="72">
        <f t="shared" ref="I80:I82" si="44">I79</f>
        <v>2</v>
      </c>
      <c r="J80" s="37" t="s">
        <v>36</v>
      </c>
      <c r="K80" s="37">
        <v>39</v>
      </c>
      <c r="L80" s="17">
        <v>0.89</v>
      </c>
      <c r="M80" s="17">
        <v>4</v>
      </c>
      <c r="N80" s="18">
        <f t="shared" si="39"/>
        <v>3.11</v>
      </c>
      <c r="O80" s="20" t="str">
        <f t="shared" si="40"/>
        <v>OK</v>
      </c>
    </row>
    <row r="81" spans="1:15" ht="15" x14ac:dyDescent="0.25">
      <c r="A81" s="91"/>
      <c r="B81" s="32">
        <v>5</v>
      </c>
      <c r="C81" s="32">
        <v>1108954</v>
      </c>
      <c r="D81" s="39">
        <v>45734</v>
      </c>
      <c r="E81" s="32" t="s">
        <v>15</v>
      </c>
      <c r="F81" s="32" t="str">
        <f t="shared" si="35"/>
        <v>M21</v>
      </c>
      <c r="G81" s="61" t="str">
        <f t="shared" si="36"/>
        <v>022</v>
      </c>
      <c r="H81" s="72" t="str">
        <f t="shared" si="42"/>
        <v>C3</v>
      </c>
      <c r="I81" s="72">
        <f t="shared" si="44"/>
        <v>2</v>
      </c>
      <c r="J81" s="37" t="s">
        <v>37</v>
      </c>
      <c r="K81" s="37">
        <v>40</v>
      </c>
      <c r="L81" s="17">
        <v>1.1599999999999999</v>
      </c>
      <c r="M81" s="17">
        <v>4.55</v>
      </c>
      <c r="N81" s="18">
        <f t="shared" si="39"/>
        <v>3.3899999999999997</v>
      </c>
      <c r="O81" s="20" t="str">
        <f t="shared" si="40"/>
        <v>OK</v>
      </c>
    </row>
    <row r="82" spans="1:15" ht="15" x14ac:dyDescent="0.25">
      <c r="A82" s="91"/>
      <c r="B82" s="32">
        <v>5</v>
      </c>
      <c r="C82" s="32">
        <v>1108954</v>
      </c>
      <c r="D82" s="39">
        <v>45734</v>
      </c>
      <c r="E82" s="32" t="s">
        <v>15</v>
      </c>
      <c r="F82" s="32" t="str">
        <f t="shared" si="35"/>
        <v>M21</v>
      </c>
      <c r="G82" s="61" t="str">
        <f t="shared" si="36"/>
        <v>022</v>
      </c>
      <c r="H82" s="72" t="str">
        <f t="shared" si="42"/>
        <v>C3</v>
      </c>
      <c r="I82" s="72">
        <f t="shared" si="44"/>
        <v>2</v>
      </c>
      <c r="J82" s="37" t="s">
        <v>38</v>
      </c>
      <c r="K82" s="37">
        <v>40</v>
      </c>
      <c r="L82" s="17">
        <v>7.0000000000000007E-2</v>
      </c>
      <c r="M82" s="17">
        <v>5.03</v>
      </c>
      <c r="N82" s="18">
        <f t="shared" si="39"/>
        <v>4.96</v>
      </c>
      <c r="O82" s="20" t="str">
        <f t="shared" si="40"/>
        <v>OK</v>
      </c>
    </row>
    <row r="83" spans="1:15" ht="15" x14ac:dyDescent="0.25">
      <c r="A83" s="91"/>
      <c r="B83" s="32">
        <v>5</v>
      </c>
      <c r="C83" s="32">
        <v>1108954</v>
      </c>
      <c r="D83" s="39">
        <v>45734</v>
      </c>
      <c r="E83" s="32" t="s">
        <v>15</v>
      </c>
      <c r="F83" s="32" t="s">
        <v>28</v>
      </c>
      <c r="G83" s="61" t="s">
        <v>74</v>
      </c>
      <c r="H83" s="72" t="s">
        <v>39</v>
      </c>
      <c r="I83" s="72">
        <v>1</v>
      </c>
      <c r="J83" s="37" t="s">
        <v>31</v>
      </c>
      <c r="K83" s="37">
        <v>41</v>
      </c>
      <c r="L83" s="17">
        <v>1.57</v>
      </c>
      <c r="M83" s="17">
        <v>4.57</v>
      </c>
      <c r="N83" s="18">
        <f t="shared" si="39"/>
        <v>3</v>
      </c>
      <c r="O83" s="20" t="str">
        <f t="shared" si="40"/>
        <v>OK</v>
      </c>
    </row>
    <row r="84" spans="1:15" ht="15" x14ac:dyDescent="0.25">
      <c r="A84" s="91"/>
      <c r="B84" s="32">
        <v>5</v>
      </c>
      <c r="C84" s="32">
        <v>1108954</v>
      </c>
      <c r="D84" s="39">
        <v>45734</v>
      </c>
      <c r="E84" s="32" t="s">
        <v>15</v>
      </c>
      <c r="F84" s="32" t="str">
        <f t="shared" ref="F84:F98" si="45">F83</f>
        <v>M20</v>
      </c>
      <c r="G84" s="61" t="str">
        <f t="shared" ref="G84:G98" si="46">G83</f>
        <v>021</v>
      </c>
      <c r="H84" s="72" t="str">
        <f t="shared" ref="H84:H90" si="47">H83</f>
        <v>C2</v>
      </c>
      <c r="I84" s="72">
        <f t="shared" ref="I84:I86" si="48">I83</f>
        <v>1</v>
      </c>
      <c r="J84" s="37" t="s">
        <v>32</v>
      </c>
      <c r="K84" s="37">
        <v>41</v>
      </c>
      <c r="L84" s="17">
        <v>0.42</v>
      </c>
      <c r="M84" s="17">
        <v>3.5</v>
      </c>
      <c r="N84" s="18">
        <f t="shared" si="39"/>
        <v>3.08</v>
      </c>
      <c r="O84" s="20" t="str">
        <f t="shared" si="40"/>
        <v>OK</v>
      </c>
    </row>
    <row r="85" spans="1:15" ht="15" x14ac:dyDescent="0.25">
      <c r="A85" s="91"/>
      <c r="B85" s="32">
        <v>5</v>
      </c>
      <c r="C85" s="32">
        <v>1108954</v>
      </c>
      <c r="D85" s="39">
        <v>45734</v>
      </c>
      <c r="E85" s="32" t="s">
        <v>15</v>
      </c>
      <c r="F85" s="32" t="str">
        <f t="shared" si="45"/>
        <v>M20</v>
      </c>
      <c r="G85" s="61" t="str">
        <f t="shared" si="46"/>
        <v>021</v>
      </c>
      <c r="H85" s="72" t="str">
        <f t="shared" si="47"/>
        <v>C2</v>
      </c>
      <c r="I85" s="72">
        <f t="shared" si="48"/>
        <v>1</v>
      </c>
      <c r="J85" s="37" t="s">
        <v>33</v>
      </c>
      <c r="K85" s="37">
        <v>42</v>
      </c>
      <c r="L85" s="17">
        <v>0.67</v>
      </c>
      <c r="M85" s="17">
        <v>4.43</v>
      </c>
      <c r="N85" s="18">
        <f t="shared" si="39"/>
        <v>3.76</v>
      </c>
      <c r="O85" s="20" t="str">
        <f t="shared" si="40"/>
        <v>OK</v>
      </c>
    </row>
    <row r="86" spans="1:15" ht="15" x14ac:dyDescent="0.25">
      <c r="A86" s="91"/>
      <c r="B86" s="32">
        <v>5</v>
      </c>
      <c r="C86" s="32">
        <v>1108954</v>
      </c>
      <c r="D86" s="39">
        <v>45734</v>
      </c>
      <c r="E86" s="32" t="s">
        <v>15</v>
      </c>
      <c r="F86" s="32" t="str">
        <f t="shared" si="45"/>
        <v>M20</v>
      </c>
      <c r="G86" s="61" t="str">
        <f t="shared" si="46"/>
        <v>021</v>
      </c>
      <c r="H86" s="72" t="str">
        <f t="shared" si="47"/>
        <v>C2</v>
      </c>
      <c r="I86" s="72">
        <f t="shared" si="48"/>
        <v>1</v>
      </c>
      <c r="J86" s="37" t="s">
        <v>34</v>
      </c>
      <c r="K86" s="37">
        <v>42</v>
      </c>
      <c r="L86" s="17">
        <v>0.33</v>
      </c>
      <c r="M86" s="17">
        <v>2.34</v>
      </c>
      <c r="N86" s="18">
        <f t="shared" si="39"/>
        <v>2.0099999999999998</v>
      </c>
      <c r="O86" s="20" t="str">
        <f t="shared" si="40"/>
        <v>OK</v>
      </c>
    </row>
    <row r="87" spans="1:15" ht="15" x14ac:dyDescent="0.25">
      <c r="A87" s="91"/>
      <c r="B87" s="32">
        <v>5</v>
      </c>
      <c r="C87" s="32">
        <v>1108954</v>
      </c>
      <c r="D87" s="39">
        <v>45734</v>
      </c>
      <c r="E87" s="32" t="s">
        <v>15</v>
      </c>
      <c r="F87" s="32" t="str">
        <f t="shared" si="45"/>
        <v>M20</v>
      </c>
      <c r="G87" s="61" t="str">
        <f t="shared" si="46"/>
        <v>021</v>
      </c>
      <c r="H87" s="72" t="str">
        <f t="shared" si="47"/>
        <v>C2</v>
      </c>
      <c r="I87" s="72">
        <v>2</v>
      </c>
      <c r="J87" s="37" t="s">
        <v>35</v>
      </c>
      <c r="K87" s="37">
        <v>43</v>
      </c>
      <c r="L87" s="17">
        <v>0.93</v>
      </c>
      <c r="M87" s="17">
        <v>4.72</v>
      </c>
      <c r="N87" s="18">
        <f t="shared" si="39"/>
        <v>3.7899999999999996</v>
      </c>
      <c r="O87" s="20" t="str">
        <f t="shared" si="40"/>
        <v>OK</v>
      </c>
    </row>
    <row r="88" spans="1:15" ht="15" x14ac:dyDescent="0.25">
      <c r="A88" s="91"/>
      <c r="B88" s="32">
        <v>5</v>
      </c>
      <c r="C88" s="32">
        <v>1108954</v>
      </c>
      <c r="D88" s="39">
        <v>45734</v>
      </c>
      <c r="E88" s="32" t="s">
        <v>15</v>
      </c>
      <c r="F88" s="32" t="str">
        <f t="shared" si="45"/>
        <v>M20</v>
      </c>
      <c r="G88" s="61" t="str">
        <f t="shared" si="46"/>
        <v>021</v>
      </c>
      <c r="H88" s="72" t="str">
        <f t="shared" si="47"/>
        <v>C2</v>
      </c>
      <c r="I88" s="72">
        <f t="shared" ref="I88:I90" si="49">I87</f>
        <v>2</v>
      </c>
      <c r="J88" s="37" t="s">
        <v>36</v>
      </c>
      <c r="K88" s="37">
        <v>43</v>
      </c>
      <c r="L88" s="17">
        <v>0.76</v>
      </c>
      <c r="M88" s="17">
        <v>4.18</v>
      </c>
      <c r="N88" s="18">
        <f t="shared" si="39"/>
        <v>3.42</v>
      </c>
      <c r="O88" s="20" t="str">
        <f t="shared" si="40"/>
        <v>OK</v>
      </c>
    </row>
    <row r="89" spans="1:15" ht="15" x14ac:dyDescent="0.25">
      <c r="A89" s="91"/>
      <c r="B89" s="32">
        <v>5</v>
      </c>
      <c r="C89" s="32">
        <v>1108954</v>
      </c>
      <c r="D89" s="39">
        <v>45734</v>
      </c>
      <c r="E89" s="32" t="s">
        <v>15</v>
      </c>
      <c r="F89" s="32" t="str">
        <f t="shared" si="45"/>
        <v>M20</v>
      </c>
      <c r="G89" s="61" t="str">
        <f t="shared" si="46"/>
        <v>021</v>
      </c>
      <c r="H89" s="72" t="str">
        <f t="shared" si="47"/>
        <v>C2</v>
      </c>
      <c r="I89" s="72">
        <f t="shared" si="49"/>
        <v>2</v>
      </c>
      <c r="J89" s="37" t="s">
        <v>37</v>
      </c>
      <c r="K89" s="37">
        <v>44</v>
      </c>
      <c r="L89" s="17">
        <v>0.22</v>
      </c>
      <c r="M89" s="17">
        <v>3.29</v>
      </c>
      <c r="N89" s="18">
        <f t="shared" si="39"/>
        <v>3.07</v>
      </c>
      <c r="O89" s="20" t="str">
        <f t="shared" si="40"/>
        <v>OK</v>
      </c>
    </row>
    <row r="90" spans="1:15" ht="15" x14ac:dyDescent="0.25">
      <c r="A90" s="91"/>
      <c r="B90" s="32">
        <v>5</v>
      </c>
      <c r="C90" s="32">
        <v>1108954</v>
      </c>
      <c r="D90" s="39">
        <v>45734</v>
      </c>
      <c r="E90" s="32" t="s">
        <v>15</v>
      </c>
      <c r="F90" s="32" t="str">
        <f t="shared" si="45"/>
        <v>M20</v>
      </c>
      <c r="G90" s="61" t="str">
        <f t="shared" si="46"/>
        <v>021</v>
      </c>
      <c r="H90" s="72" t="str">
        <f t="shared" si="47"/>
        <v>C2</v>
      </c>
      <c r="I90" s="72">
        <f t="shared" si="49"/>
        <v>2</v>
      </c>
      <c r="J90" s="37" t="s">
        <v>38</v>
      </c>
      <c r="K90" s="37">
        <v>44</v>
      </c>
      <c r="L90" s="17">
        <v>0.55000000000000004</v>
      </c>
      <c r="M90" s="17">
        <v>3.77</v>
      </c>
      <c r="N90" s="18">
        <f t="shared" si="39"/>
        <v>3.2199999999999998</v>
      </c>
      <c r="O90" s="20" t="str">
        <f t="shared" si="40"/>
        <v>OK</v>
      </c>
    </row>
    <row r="91" spans="1:15" ht="15" x14ac:dyDescent="0.25">
      <c r="A91" s="91"/>
      <c r="B91" s="32">
        <v>5</v>
      </c>
      <c r="C91" s="32">
        <v>1108954</v>
      </c>
      <c r="D91" s="39">
        <v>45734</v>
      </c>
      <c r="E91" s="32" t="s">
        <v>15</v>
      </c>
      <c r="F91" s="32" t="str">
        <f t="shared" si="45"/>
        <v>M20</v>
      </c>
      <c r="G91" s="61" t="str">
        <f t="shared" si="46"/>
        <v>021</v>
      </c>
      <c r="H91" s="72" t="s">
        <v>30</v>
      </c>
      <c r="I91" s="72">
        <v>1</v>
      </c>
      <c r="J91" s="37" t="s">
        <v>31</v>
      </c>
      <c r="K91" s="37">
        <v>45</v>
      </c>
      <c r="L91" s="17">
        <v>0.5</v>
      </c>
      <c r="M91" s="17">
        <v>3.62</v>
      </c>
      <c r="N91" s="18">
        <f t="shared" si="39"/>
        <v>3.12</v>
      </c>
      <c r="O91" s="20" t="str">
        <f t="shared" si="40"/>
        <v>OK</v>
      </c>
    </row>
    <row r="92" spans="1:15" ht="15" x14ac:dyDescent="0.25">
      <c r="A92" s="91"/>
      <c r="B92" s="32">
        <v>5</v>
      </c>
      <c r="C92" s="32">
        <v>1108954</v>
      </c>
      <c r="D92" s="39">
        <v>45734</v>
      </c>
      <c r="E92" s="32" t="s">
        <v>15</v>
      </c>
      <c r="F92" s="32" t="str">
        <f t="shared" si="45"/>
        <v>M20</v>
      </c>
      <c r="G92" s="61" t="str">
        <f t="shared" si="46"/>
        <v>021</v>
      </c>
      <c r="H92" s="72" t="str">
        <f t="shared" ref="H92:H98" si="50">H91</f>
        <v>C1</v>
      </c>
      <c r="I92" s="72">
        <f t="shared" ref="I92:I94" si="51">I91</f>
        <v>1</v>
      </c>
      <c r="J92" s="37" t="s">
        <v>32</v>
      </c>
      <c r="K92" s="37">
        <v>45</v>
      </c>
      <c r="L92" s="17">
        <v>0.21</v>
      </c>
      <c r="M92" s="17">
        <v>3.02</v>
      </c>
      <c r="N92" s="18">
        <f t="shared" si="39"/>
        <v>2.81</v>
      </c>
      <c r="O92" s="20" t="str">
        <f t="shared" si="40"/>
        <v>OK</v>
      </c>
    </row>
    <row r="93" spans="1:15" ht="15" x14ac:dyDescent="0.25">
      <c r="A93" s="91"/>
      <c r="B93" s="32">
        <v>5</v>
      </c>
      <c r="C93" s="32">
        <v>1108954</v>
      </c>
      <c r="D93" s="39">
        <v>45734</v>
      </c>
      <c r="E93" s="32" t="s">
        <v>15</v>
      </c>
      <c r="F93" s="32" t="str">
        <f t="shared" si="45"/>
        <v>M20</v>
      </c>
      <c r="G93" s="61" t="str">
        <f t="shared" si="46"/>
        <v>021</v>
      </c>
      <c r="H93" s="72" t="str">
        <f t="shared" si="50"/>
        <v>C1</v>
      </c>
      <c r="I93" s="72">
        <f t="shared" si="51"/>
        <v>1</v>
      </c>
      <c r="J93" s="37" t="s">
        <v>33</v>
      </c>
      <c r="K93" s="37">
        <v>46</v>
      </c>
      <c r="L93" s="17">
        <v>0.25</v>
      </c>
      <c r="M93" s="17">
        <v>2.63</v>
      </c>
      <c r="N93" s="18">
        <f t="shared" si="39"/>
        <v>2.38</v>
      </c>
      <c r="O93" s="20" t="str">
        <f t="shared" si="40"/>
        <v>OK</v>
      </c>
    </row>
    <row r="94" spans="1:15" ht="15" x14ac:dyDescent="0.25">
      <c r="A94" s="91"/>
      <c r="B94" s="32">
        <v>5</v>
      </c>
      <c r="C94" s="32">
        <v>1108954</v>
      </c>
      <c r="D94" s="39">
        <v>45734</v>
      </c>
      <c r="E94" s="32" t="s">
        <v>15</v>
      </c>
      <c r="F94" s="32" t="str">
        <f t="shared" si="45"/>
        <v>M20</v>
      </c>
      <c r="G94" s="61" t="str">
        <f t="shared" si="46"/>
        <v>021</v>
      </c>
      <c r="H94" s="72" t="str">
        <f t="shared" si="50"/>
        <v>C1</v>
      </c>
      <c r="I94" s="72">
        <f t="shared" si="51"/>
        <v>1</v>
      </c>
      <c r="J94" s="37" t="s">
        <v>34</v>
      </c>
      <c r="K94" s="37">
        <v>46</v>
      </c>
      <c r="L94" s="17">
        <v>0.66</v>
      </c>
      <c r="M94" s="17">
        <v>3.74</v>
      </c>
      <c r="N94" s="18">
        <f t="shared" si="39"/>
        <v>3.08</v>
      </c>
      <c r="O94" s="20" t="str">
        <f t="shared" si="40"/>
        <v>OK</v>
      </c>
    </row>
    <row r="95" spans="1:15" ht="15" x14ac:dyDescent="0.25">
      <c r="A95" s="91"/>
      <c r="B95" s="32">
        <v>5</v>
      </c>
      <c r="C95" s="32">
        <v>1108954</v>
      </c>
      <c r="D95" s="39">
        <v>45734</v>
      </c>
      <c r="E95" s="32" t="s">
        <v>15</v>
      </c>
      <c r="F95" s="32" t="str">
        <f t="shared" si="45"/>
        <v>M20</v>
      </c>
      <c r="G95" s="61" t="str">
        <f t="shared" si="46"/>
        <v>021</v>
      </c>
      <c r="H95" s="72" t="str">
        <f t="shared" si="50"/>
        <v>C1</v>
      </c>
      <c r="I95" s="72">
        <v>2</v>
      </c>
      <c r="J95" s="37" t="s">
        <v>35</v>
      </c>
      <c r="K95" s="37">
        <v>47</v>
      </c>
      <c r="L95" s="17">
        <v>0.14000000000000001</v>
      </c>
      <c r="M95" s="17">
        <v>2.87</v>
      </c>
      <c r="N95" s="18">
        <f t="shared" si="39"/>
        <v>2.73</v>
      </c>
      <c r="O95" s="20" t="str">
        <f t="shared" si="40"/>
        <v>OK</v>
      </c>
    </row>
    <row r="96" spans="1:15" ht="15" x14ac:dyDescent="0.25">
      <c r="A96" s="91"/>
      <c r="B96" s="32">
        <v>5</v>
      </c>
      <c r="C96" s="32">
        <v>1108954</v>
      </c>
      <c r="D96" s="39">
        <v>45734</v>
      </c>
      <c r="E96" s="32" t="s">
        <v>15</v>
      </c>
      <c r="F96" s="32" t="str">
        <f t="shared" si="45"/>
        <v>M20</v>
      </c>
      <c r="G96" s="61" t="str">
        <f t="shared" si="46"/>
        <v>021</v>
      </c>
      <c r="H96" s="72" t="str">
        <f t="shared" si="50"/>
        <v>C1</v>
      </c>
      <c r="I96" s="72">
        <f t="shared" ref="I96:I98" si="52">I95</f>
        <v>2</v>
      </c>
      <c r="J96" s="37" t="s">
        <v>36</v>
      </c>
      <c r="K96" s="37">
        <v>47</v>
      </c>
      <c r="L96" s="17">
        <v>0.11</v>
      </c>
      <c r="M96" s="17">
        <v>2.63</v>
      </c>
      <c r="N96" s="18">
        <f t="shared" si="39"/>
        <v>2.52</v>
      </c>
      <c r="O96" s="20" t="str">
        <f t="shared" si="40"/>
        <v>OK</v>
      </c>
    </row>
    <row r="97" spans="1:15" ht="15" x14ac:dyDescent="0.25">
      <c r="A97" s="91"/>
      <c r="B97" s="32">
        <v>5</v>
      </c>
      <c r="C97" s="32">
        <v>1108954</v>
      </c>
      <c r="D97" s="39">
        <v>45734</v>
      </c>
      <c r="E97" s="32" t="s">
        <v>15</v>
      </c>
      <c r="F97" s="32" t="str">
        <f t="shared" si="45"/>
        <v>M20</v>
      </c>
      <c r="G97" s="61" t="str">
        <f t="shared" si="46"/>
        <v>021</v>
      </c>
      <c r="H97" s="72" t="str">
        <f t="shared" si="50"/>
        <v>C1</v>
      </c>
      <c r="I97" s="72">
        <f t="shared" si="52"/>
        <v>2</v>
      </c>
      <c r="J97" s="37" t="s">
        <v>37</v>
      </c>
      <c r="K97" s="37">
        <v>48</v>
      </c>
      <c r="L97" s="17">
        <v>0.08</v>
      </c>
      <c r="M97" s="17">
        <v>2.34</v>
      </c>
      <c r="N97" s="18">
        <f t="shared" si="39"/>
        <v>2.2599999999999998</v>
      </c>
      <c r="O97" s="20" t="str">
        <f t="shared" si="40"/>
        <v>OK</v>
      </c>
    </row>
    <row r="98" spans="1:15" ht="15.75" thickBot="1" x14ac:dyDescent="0.3">
      <c r="A98" s="92"/>
      <c r="B98" s="48">
        <v>5</v>
      </c>
      <c r="C98" s="48">
        <v>1108954</v>
      </c>
      <c r="D98" s="49">
        <v>45734</v>
      </c>
      <c r="E98" s="48" t="s">
        <v>15</v>
      </c>
      <c r="F98" s="48" t="str">
        <f t="shared" si="45"/>
        <v>M20</v>
      </c>
      <c r="G98" s="73" t="str">
        <f t="shared" si="46"/>
        <v>021</v>
      </c>
      <c r="H98" s="74" t="str">
        <f t="shared" si="50"/>
        <v>C1</v>
      </c>
      <c r="I98" s="74">
        <f t="shared" si="52"/>
        <v>2</v>
      </c>
      <c r="J98" s="41" t="s">
        <v>38</v>
      </c>
      <c r="K98" s="37">
        <v>48</v>
      </c>
      <c r="L98" s="51">
        <v>0.47</v>
      </c>
      <c r="M98" s="33">
        <v>3.98</v>
      </c>
      <c r="N98" s="53">
        <f t="shared" si="39"/>
        <v>3.51</v>
      </c>
      <c r="O98" s="57" t="str">
        <f t="shared" si="40"/>
        <v>OK</v>
      </c>
    </row>
    <row r="99" spans="1:15" ht="15" x14ac:dyDescent="0.25">
      <c r="A99" s="91"/>
      <c r="B99" s="32">
        <v>5</v>
      </c>
      <c r="C99" s="32">
        <v>1111498</v>
      </c>
      <c r="D99" s="39">
        <v>45786</v>
      </c>
      <c r="E99" s="32" t="s">
        <v>15</v>
      </c>
      <c r="F99" s="32" t="s">
        <v>28</v>
      </c>
      <c r="G99" s="61" t="s">
        <v>58</v>
      </c>
      <c r="H99" s="72" t="s">
        <v>30</v>
      </c>
      <c r="I99" s="72">
        <v>1</v>
      </c>
      <c r="J99" s="37" t="s">
        <v>31</v>
      </c>
      <c r="K99" s="37">
        <v>1</v>
      </c>
      <c r="L99" s="17">
        <v>0.24</v>
      </c>
      <c r="M99" s="19">
        <v>4.21</v>
      </c>
      <c r="N99" s="18">
        <f t="shared" si="39"/>
        <v>3.9699999999999998</v>
      </c>
      <c r="O99" s="20" t="str">
        <f>IF(N99&lt;=0,"Critico",IF(N99&lt;=0.2,"Cambio",IF(N99&lt;=1,"Seguimiento",IF(L99&gt;=2,"Reperfilado","OK"))))</f>
        <v>OK</v>
      </c>
    </row>
    <row r="100" spans="1:15" ht="15" x14ac:dyDescent="0.25">
      <c r="A100" s="91"/>
      <c r="B100" s="32">
        <v>5</v>
      </c>
      <c r="C100" s="32">
        <v>1111498</v>
      </c>
      <c r="D100" s="39">
        <v>45786</v>
      </c>
      <c r="E100" s="32" t="s">
        <v>15</v>
      </c>
      <c r="F100" s="32" t="str">
        <f t="shared" ref="F100:F114" si="53">F99</f>
        <v>M20</v>
      </c>
      <c r="G100" s="61" t="str">
        <f t="shared" ref="G100:G114" si="54">G99</f>
        <v>007</v>
      </c>
      <c r="H100" s="72" t="str">
        <f t="shared" ref="H100:H106" si="55">H99</f>
        <v>C1</v>
      </c>
      <c r="I100" s="72">
        <f t="shared" ref="I100:I102" si="56">I99</f>
        <v>1</v>
      </c>
      <c r="J100" s="37" t="s">
        <v>32</v>
      </c>
      <c r="K100" s="37">
        <v>1</v>
      </c>
      <c r="L100" s="17">
        <v>0.9</v>
      </c>
      <c r="M100" s="19">
        <v>2.5099999999999998</v>
      </c>
      <c r="N100" s="18">
        <f t="shared" si="39"/>
        <v>1.6099999999999999</v>
      </c>
      <c r="O100" s="20" t="str">
        <f t="shared" ref="O100:O163" si="57">IF(N100&lt;=0,"Critico",IF(N100&lt;=0.2,"Cambio",IF(N100&lt;=1,"Seguimiento",IF(L100&gt;=2,"Reperfilado","OK"))))</f>
        <v>OK</v>
      </c>
    </row>
    <row r="101" spans="1:15" ht="15" x14ac:dyDescent="0.25">
      <c r="A101" s="91"/>
      <c r="B101" s="32">
        <v>5</v>
      </c>
      <c r="C101" s="32">
        <v>1111498</v>
      </c>
      <c r="D101" s="39">
        <v>45786</v>
      </c>
      <c r="E101" s="32" t="s">
        <v>15</v>
      </c>
      <c r="F101" s="32" t="str">
        <f t="shared" si="53"/>
        <v>M20</v>
      </c>
      <c r="G101" s="61" t="str">
        <f t="shared" si="54"/>
        <v>007</v>
      </c>
      <c r="H101" s="72" t="str">
        <f t="shared" si="55"/>
        <v>C1</v>
      </c>
      <c r="I101" s="72">
        <f t="shared" si="56"/>
        <v>1</v>
      </c>
      <c r="J101" s="37" t="s">
        <v>33</v>
      </c>
      <c r="K101" s="37">
        <v>2</v>
      </c>
      <c r="L101" s="17">
        <v>0.19</v>
      </c>
      <c r="M101" s="19">
        <v>4.87</v>
      </c>
      <c r="N101" s="18">
        <f t="shared" si="39"/>
        <v>4.68</v>
      </c>
      <c r="O101" s="20" t="str">
        <f t="shared" si="57"/>
        <v>OK</v>
      </c>
    </row>
    <row r="102" spans="1:15" ht="15" x14ac:dyDescent="0.25">
      <c r="A102" s="91"/>
      <c r="B102" s="32">
        <v>5</v>
      </c>
      <c r="C102" s="32">
        <v>1111498</v>
      </c>
      <c r="D102" s="39">
        <v>45786</v>
      </c>
      <c r="E102" s="32" t="s">
        <v>15</v>
      </c>
      <c r="F102" s="32" t="str">
        <f t="shared" si="53"/>
        <v>M20</v>
      </c>
      <c r="G102" s="61" t="str">
        <f t="shared" si="54"/>
        <v>007</v>
      </c>
      <c r="H102" s="72" t="str">
        <f t="shared" si="55"/>
        <v>C1</v>
      </c>
      <c r="I102" s="72">
        <f t="shared" si="56"/>
        <v>1</v>
      </c>
      <c r="J102" s="37" t="s">
        <v>34</v>
      </c>
      <c r="K102" s="37">
        <v>2</v>
      </c>
      <c r="L102" s="17">
        <v>0.37</v>
      </c>
      <c r="M102" s="19">
        <v>1.08</v>
      </c>
      <c r="N102" s="18">
        <f t="shared" si="39"/>
        <v>0.71000000000000008</v>
      </c>
      <c r="O102" s="20" t="str">
        <f t="shared" si="57"/>
        <v>Seguimiento</v>
      </c>
    </row>
    <row r="103" spans="1:15" ht="15" x14ac:dyDescent="0.25">
      <c r="A103" s="91"/>
      <c r="B103" s="32">
        <v>5</v>
      </c>
      <c r="C103" s="32">
        <v>1111498</v>
      </c>
      <c r="D103" s="39">
        <v>45786</v>
      </c>
      <c r="E103" s="32" t="s">
        <v>15</v>
      </c>
      <c r="F103" s="32" t="str">
        <f t="shared" si="53"/>
        <v>M20</v>
      </c>
      <c r="G103" s="61" t="str">
        <f t="shared" si="54"/>
        <v>007</v>
      </c>
      <c r="H103" s="72" t="str">
        <f t="shared" si="55"/>
        <v>C1</v>
      </c>
      <c r="I103" s="72">
        <v>2</v>
      </c>
      <c r="J103" s="37" t="s">
        <v>35</v>
      </c>
      <c r="K103" s="37">
        <v>3</v>
      </c>
      <c r="L103" s="17">
        <v>0.16</v>
      </c>
      <c r="M103" s="19">
        <v>4.79</v>
      </c>
      <c r="N103" s="18">
        <f t="shared" si="39"/>
        <v>4.63</v>
      </c>
      <c r="O103" s="20" t="str">
        <f t="shared" si="57"/>
        <v>OK</v>
      </c>
    </row>
    <row r="104" spans="1:15" ht="15" x14ac:dyDescent="0.25">
      <c r="A104" s="91"/>
      <c r="B104" s="32">
        <v>5</v>
      </c>
      <c r="C104" s="32">
        <v>1111498</v>
      </c>
      <c r="D104" s="39">
        <v>45786</v>
      </c>
      <c r="E104" s="32" t="s">
        <v>15</v>
      </c>
      <c r="F104" s="32" t="str">
        <f t="shared" si="53"/>
        <v>M20</v>
      </c>
      <c r="G104" s="61" t="str">
        <f t="shared" si="54"/>
        <v>007</v>
      </c>
      <c r="H104" s="72" t="str">
        <f t="shared" si="55"/>
        <v>C1</v>
      </c>
      <c r="I104" s="72">
        <f t="shared" ref="I104:I106" si="58">I103</f>
        <v>2</v>
      </c>
      <c r="J104" s="37" t="s">
        <v>36</v>
      </c>
      <c r="K104" s="37">
        <v>3</v>
      </c>
      <c r="L104" s="17">
        <v>0.57999999999999996</v>
      </c>
      <c r="M104" s="19">
        <v>1.98</v>
      </c>
      <c r="N104" s="18">
        <f t="shared" si="39"/>
        <v>1.4</v>
      </c>
      <c r="O104" s="20" t="str">
        <f t="shared" si="57"/>
        <v>OK</v>
      </c>
    </row>
    <row r="105" spans="1:15" ht="15" x14ac:dyDescent="0.25">
      <c r="A105" s="91"/>
      <c r="B105" s="32">
        <v>5</v>
      </c>
      <c r="C105" s="32">
        <v>1111498</v>
      </c>
      <c r="D105" s="39">
        <v>45786</v>
      </c>
      <c r="E105" s="32" t="s">
        <v>15</v>
      </c>
      <c r="F105" s="32" t="str">
        <f t="shared" si="53"/>
        <v>M20</v>
      </c>
      <c r="G105" s="61" t="str">
        <f t="shared" si="54"/>
        <v>007</v>
      </c>
      <c r="H105" s="72" t="str">
        <f t="shared" si="55"/>
        <v>C1</v>
      </c>
      <c r="I105" s="72">
        <f t="shared" si="58"/>
        <v>2</v>
      </c>
      <c r="J105" s="37" t="s">
        <v>37</v>
      </c>
      <c r="K105" s="37">
        <v>4</v>
      </c>
      <c r="L105" s="17">
        <v>0.56000000000000005</v>
      </c>
      <c r="M105" s="19">
        <v>2.87</v>
      </c>
      <c r="N105" s="18">
        <f t="shared" si="39"/>
        <v>2.31</v>
      </c>
      <c r="O105" s="20" t="str">
        <f t="shared" si="57"/>
        <v>OK</v>
      </c>
    </row>
    <row r="106" spans="1:15" ht="15" x14ac:dyDescent="0.25">
      <c r="A106" s="91"/>
      <c r="B106" s="32">
        <v>5</v>
      </c>
      <c r="C106" s="32">
        <v>1111498</v>
      </c>
      <c r="D106" s="39">
        <v>45786</v>
      </c>
      <c r="E106" s="32" t="s">
        <v>15</v>
      </c>
      <c r="F106" s="32" t="str">
        <f t="shared" si="53"/>
        <v>M20</v>
      </c>
      <c r="G106" s="61" t="str">
        <f t="shared" si="54"/>
        <v>007</v>
      </c>
      <c r="H106" s="72" t="str">
        <f t="shared" si="55"/>
        <v>C1</v>
      </c>
      <c r="I106" s="72">
        <f t="shared" si="58"/>
        <v>2</v>
      </c>
      <c r="J106" s="37" t="s">
        <v>38</v>
      </c>
      <c r="K106" s="37">
        <v>4</v>
      </c>
      <c r="L106" s="17">
        <v>0.3</v>
      </c>
      <c r="M106" s="19">
        <v>4.3899999999999997</v>
      </c>
      <c r="N106" s="18">
        <f t="shared" si="39"/>
        <v>4.09</v>
      </c>
      <c r="O106" s="20" t="str">
        <f t="shared" si="57"/>
        <v>OK</v>
      </c>
    </row>
    <row r="107" spans="1:15" ht="15" x14ac:dyDescent="0.25">
      <c r="A107" s="91"/>
      <c r="B107" s="32">
        <v>5</v>
      </c>
      <c r="C107" s="32">
        <v>1111498</v>
      </c>
      <c r="D107" s="39">
        <v>45786</v>
      </c>
      <c r="E107" s="32" t="s">
        <v>15</v>
      </c>
      <c r="F107" s="32" t="str">
        <f t="shared" si="53"/>
        <v>M20</v>
      </c>
      <c r="G107" s="61" t="str">
        <f t="shared" si="54"/>
        <v>007</v>
      </c>
      <c r="H107" s="72" t="s">
        <v>39</v>
      </c>
      <c r="I107" s="72">
        <v>1</v>
      </c>
      <c r="J107" s="37" t="s">
        <v>31</v>
      </c>
      <c r="K107" s="37">
        <v>5</v>
      </c>
      <c r="L107" s="17">
        <v>0.28000000000000003</v>
      </c>
      <c r="M107" s="19">
        <v>4.4800000000000004</v>
      </c>
      <c r="N107" s="18">
        <f t="shared" si="39"/>
        <v>4.2</v>
      </c>
      <c r="O107" s="20" t="str">
        <f t="shared" si="57"/>
        <v>OK</v>
      </c>
    </row>
    <row r="108" spans="1:15" ht="15" x14ac:dyDescent="0.25">
      <c r="A108" s="91"/>
      <c r="B108" s="32">
        <v>5</v>
      </c>
      <c r="C108" s="32">
        <v>1111498</v>
      </c>
      <c r="D108" s="39">
        <v>45786</v>
      </c>
      <c r="E108" s="32" t="s">
        <v>15</v>
      </c>
      <c r="F108" s="32" t="str">
        <f t="shared" si="53"/>
        <v>M20</v>
      </c>
      <c r="G108" s="61" t="str">
        <f t="shared" si="54"/>
        <v>007</v>
      </c>
      <c r="H108" s="72" t="str">
        <f t="shared" ref="H108:H114" si="59">H107</f>
        <v>C2</v>
      </c>
      <c r="I108" s="72">
        <f t="shared" ref="I108:I110" si="60">I107</f>
        <v>1</v>
      </c>
      <c r="J108" s="37" t="s">
        <v>32</v>
      </c>
      <c r="K108" s="37">
        <v>5</v>
      </c>
      <c r="L108" s="17">
        <v>0.2</v>
      </c>
      <c r="M108" s="19">
        <v>4.3</v>
      </c>
      <c r="N108" s="18">
        <f t="shared" si="39"/>
        <v>4.0999999999999996</v>
      </c>
      <c r="O108" s="20" t="str">
        <f t="shared" si="57"/>
        <v>OK</v>
      </c>
    </row>
    <row r="109" spans="1:15" ht="15" x14ac:dyDescent="0.25">
      <c r="A109" s="91"/>
      <c r="B109" s="32">
        <v>5</v>
      </c>
      <c r="C109" s="32">
        <v>1111498</v>
      </c>
      <c r="D109" s="39">
        <v>45786</v>
      </c>
      <c r="E109" s="32" t="s">
        <v>15</v>
      </c>
      <c r="F109" s="32" t="str">
        <f t="shared" si="53"/>
        <v>M20</v>
      </c>
      <c r="G109" s="61" t="str">
        <f t="shared" si="54"/>
        <v>007</v>
      </c>
      <c r="H109" s="72" t="str">
        <f t="shared" si="59"/>
        <v>C2</v>
      </c>
      <c r="I109" s="72">
        <f t="shared" si="60"/>
        <v>1</v>
      </c>
      <c r="J109" s="37" t="s">
        <v>33</v>
      </c>
      <c r="K109" s="37">
        <v>6</v>
      </c>
      <c r="L109" s="17">
        <v>0.15</v>
      </c>
      <c r="M109" s="19">
        <v>4.42</v>
      </c>
      <c r="N109" s="18">
        <f t="shared" si="39"/>
        <v>4.2699999999999996</v>
      </c>
      <c r="O109" s="20" t="str">
        <f t="shared" si="57"/>
        <v>OK</v>
      </c>
    </row>
    <row r="110" spans="1:15" ht="15" x14ac:dyDescent="0.25">
      <c r="A110" s="91"/>
      <c r="B110" s="32">
        <v>5</v>
      </c>
      <c r="C110" s="32">
        <v>1111498</v>
      </c>
      <c r="D110" s="39">
        <v>45786</v>
      </c>
      <c r="E110" s="32" t="s">
        <v>15</v>
      </c>
      <c r="F110" s="32" t="str">
        <f t="shared" si="53"/>
        <v>M20</v>
      </c>
      <c r="G110" s="61" t="str">
        <f t="shared" si="54"/>
        <v>007</v>
      </c>
      <c r="H110" s="72" t="str">
        <f t="shared" si="59"/>
        <v>C2</v>
      </c>
      <c r="I110" s="72">
        <f t="shared" si="60"/>
        <v>1</v>
      </c>
      <c r="J110" s="37" t="s">
        <v>34</v>
      </c>
      <c r="K110" s="37">
        <v>6</v>
      </c>
      <c r="L110" s="17">
        <v>0.31</v>
      </c>
      <c r="M110" s="19">
        <v>4.55</v>
      </c>
      <c r="N110" s="18">
        <f t="shared" si="39"/>
        <v>4.24</v>
      </c>
      <c r="O110" s="20" t="str">
        <f t="shared" si="57"/>
        <v>OK</v>
      </c>
    </row>
    <row r="111" spans="1:15" ht="15" x14ac:dyDescent="0.25">
      <c r="A111" s="91"/>
      <c r="B111" s="32">
        <v>5</v>
      </c>
      <c r="C111" s="32">
        <v>1111498</v>
      </c>
      <c r="D111" s="39">
        <v>45786</v>
      </c>
      <c r="E111" s="32" t="s">
        <v>15</v>
      </c>
      <c r="F111" s="32" t="str">
        <f t="shared" si="53"/>
        <v>M20</v>
      </c>
      <c r="G111" s="61" t="str">
        <f t="shared" si="54"/>
        <v>007</v>
      </c>
      <c r="H111" s="72" t="str">
        <f t="shared" si="59"/>
        <v>C2</v>
      </c>
      <c r="I111" s="72">
        <v>2</v>
      </c>
      <c r="J111" s="37" t="s">
        <v>35</v>
      </c>
      <c r="K111" s="37">
        <v>7</v>
      </c>
      <c r="L111" s="17">
        <v>0.46</v>
      </c>
      <c r="M111" s="19">
        <v>4.42</v>
      </c>
      <c r="N111" s="18">
        <f t="shared" si="39"/>
        <v>3.96</v>
      </c>
      <c r="O111" s="20" t="str">
        <f t="shared" si="57"/>
        <v>OK</v>
      </c>
    </row>
    <row r="112" spans="1:15" ht="15" x14ac:dyDescent="0.25">
      <c r="A112" s="91"/>
      <c r="B112" s="32">
        <v>5</v>
      </c>
      <c r="C112" s="32">
        <v>1111498</v>
      </c>
      <c r="D112" s="39">
        <v>45786</v>
      </c>
      <c r="E112" s="32" t="s">
        <v>15</v>
      </c>
      <c r="F112" s="32" t="str">
        <f t="shared" si="53"/>
        <v>M20</v>
      </c>
      <c r="G112" s="61" t="str">
        <f t="shared" si="54"/>
        <v>007</v>
      </c>
      <c r="H112" s="72" t="str">
        <f t="shared" si="59"/>
        <v>C2</v>
      </c>
      <c r="I112" s="72">
        <f t="shared" ref="I112:I114" si="61">I111</f>
        <v>2</v>
      </c>
      <c r="J112" s="37" t="s">
        <v>36</v>
      </c>
      <c r="K112" s="37">
        <v>7</v>
      </c>
      <c r="L112" s="17">
        <v>0.18</v>
      </c>
      <c r="M112" s="19">
        <v>4.28</v>
      </c>
      <c r="N112" s="18">
        <f t="shared" si="39"/>
        <v>4.1000000000000005</v>
      </c>
      <c r="O112" s="20" t="str">
        <f t="shared" si="57"/>
        <v>OK</v>
      </c>
    </row>
    <row r="113" spans="1:15" ht="15" x14ac:dyDescent="0.25">
      <c r="A113" s="91"/>
      <c r="B113" s="32">
        <v>5</v>
      </c>
      <c r="C113" s="32">
        <v>1111498</v>
      </c>
      <c r="D113" s="39">
        <v>45786</v>
      </c>
      <c r="E113" s="32" t="s">
        <v>15</v>
      </c>
      <c r="F113" s="32" t="str">
        <f t="shared" si="53"/>
        <v>M20</v>
      </c>
      <c r="G113" s="61" t="str">
        <f t="shared" si="54"/>
        <v>007</v>
      </c>
      <c r="H113" s="72" t="str">
        <f t="shared" si="59"/>
        <v>C2</v>
      </c>
      <c r="I113" s="72">
        <f t="shared" si="61"/>
        <v>2</v>
      </c>
      <c r="J113" s="37" t="s">
        <v>37</v>
      </c>
      <c r="K113" s="37">
        <v>8</v>
      </c>
      <c r="L113" s="17">
        <v>0.09</v>
      </c>
      <c r="M113" s="19">
        <v>4</v>
      </c>
      <c r="N113" s="18">
        <f t="shared" si="39"/>
        <v>3.91</v>
      </c>
      <c r="O113" s="20" t="str">
        <f t="shared" si="57"/>
        <v>OK</v>
      </c>
    </row>
    <row r="114" spans="1:15" ht="15" x14ac:dyDescent="0.25">
      <c r="A114" s="91"/>
      <c r="B114" s="32">
        <v>5</v>
      </c>
      <c r="C114" s="32">
        <v>1111498</v>
      </c>
      <c r="D114" s="39">
        <v>45786</v>
      </c>
      <c r="E114" s="32" t="s">
        <v>15</v>
      </c>
      <c r="F114" s="32" t="str">
        <f t="shared" si="53"/>
        <v>M20</v>
      </c>
      <c r="G114" s="61" t="str">
        <f t="shared" si="54"/>
        <v>007</v>
      </c>
      <c r="H114" s="72" t="str">
        <f t="shared" si="59"/>
        <v>C2</v>
      </c>
      <c r="I114" s="72">
        <f t="shared" si="61"/>
        <v>2</v>
      </c>
      <c r="J114" s="37" t="s">
        <v>38</v>
      </c>
      <c r="K114" s="37">
        <v>8</v>
      </c>
      <c r="L114" s="17">
        <v>0.42</v>
      </c>
      <c r="M114" s="19">
        <v>4.28</v>
      </c>
      <c r="N114" s="18">
        <f t="shared" si="39"/>
        <v>3.8600000000000003</v>
      </c>
      <c r="O114" s="20" t="str">
        <f t="shared" si="57"/>
        <v>OK</v>
      </c>
    </row>
    <row r="115" spans="1:15" ht="15" x14ac:dyDescent="0.25">
      <c r="A115" s="91"/>
      <c r="B115" s="32">
        <v>5</v>
      </c>
      <c r="C115" s="32">
        <v>1111498</v>
      </c>
      <c r="D115" s="39">
        <v>45786</v>
      </c>
      <c r="E115" s="32" t="s">
        <v>15</v>
      </c>
      <c r="F115" s="32" t="s">
        <v>40</v>
      </c>
      <c r="G115" s="61" t="s">
        <v>57</v>
      </c>
      <c r="H115" s="72" t="s">
        <v>42</v>
      </c>
      <c r="I115" s="72">
        <v>1</v>
      </c>
      <c r="J115" s="37" t="s">
        <v>31</v>
      </c>
      <c r="K115" s="37">
        <v>9</v>
      </c>
      <c r="L115" s="17">
        <v>0.49</v>
      </c>
      <c r="M115" s="19">
        <v>1.81</v>
      </c>
      <c r="N115" s="18">
        <f t="shared" si="39"/>
        <v>1.32</v>
      </c>
      <c r="O115" s="20" t="str">
        <f t="shared" si="57"/>
        <v>OK</v>
      </c>
    </row>
    <row r="116" spans="1:15" ht="15" x14ac:dyDescent="0.25">
      <c r="A116" s="91"/>
      <c r="B116" s="32">
        <v>5</v>
      </c>
      <c r="C116" s="32">
        <v>1111498</v>
      </c>
      <c r="D116" s="39">
        <v>45786</v>
      </c>
      <c r="E116" s="32" t="s">
        <v>15</v>
      </c>
      <c r="F116" s="32" t="str">
        <f t="shared" ref="F116:F130" si="62">F115</f>
        <v>M21</v>
      </c>
      <c r="G116" s="61" t="str">
        <f t="shared" ref="G116:G130" si="63">G115</f>
        <v>008</v>
      </c>
      <c r="H116" s="72" t="str">
        <f t="shared" ref="H116:H122" si="64">H115</f>
        <v>C3</v>
      </c>
      <c r="I116" s="72">
        <f t="shared" ref="I116:I118" si="65">I115</f>
        <v>1</v>
      </c>
      <c r="J116" s="37" t="s">
        <v>32</v>
      </c>
      <c r="K116" s="37">
        <v>9</v>
      </c>
      <c r="L116" s="17">
        <v>1.1399999999999999</v>
      </c>
      <c r="M116" s="19">
        <v>3.7</v>
      </c>
      <c r="N116" s="18">
        <f t="shared" si="39"/>
        <v>2.5600000000000005</v>
      </c>
      <c r="O116" s="20" t="str">
        <f t="shared" si="57"/>
        <v>OK</v>
      </c>
    </row>
    <row r="117" spans="1:15" ht="15" x14ac:dyDescent="0.25">
      <c r="A117" s="91"/>
      <c r="B117" s="32">
        <v>5</v>
      </c>
      <c r="C117" s="32">
        <v>1111498</v>
      </c>
      <c r="D117" s="39">
        <v>45786</v>
      </c>
      <c r="E117" s="32" t="s">
        <v>15</v>
      </c>
      <c r="F117" s="32" t="str">
        <f t="shared" si="62"/>
        <v>M21</v>
      </c>
      <c r="G117" s="61" t="str">
        <f t="shared" si="63"/>
        <v>008</v>
      </c>
      <c r="H117" s="72" t="str">
        <f t="shared" si="64"/>
        <v>C3</v>
      </c>
      <c r="I117" s="72">
        <f t="shared" si="65"/>
        <v>1</v>
      </c>
      <c r="J117" s="37" t="s">
        <v>33</v>
      </c>
      <c r="K117" s="37">
        <v>10</v>
      </c>
      <c r="L117" s="17">
        <v>1.05</v>
      </c>
      <c r="M117" s="19">
        <v>3.42</v>
      </c>
      <c r="N117" s="18">
        <f t="shared" si="39"/>
        <v>2.37</v>
      </c>
      <c r="O117" s="20" t="str">
        <f t="shared" si="57"/>
        <v>OK</v>
      </c>
    </row>
    <row r="118" spans="1:15" ht="15" x14ac:dyDescent="0.25">
      <c r="A118" s="91"/>
      <c r="B118" s="32">
        <v>5</v>
      </c>
      <c r="C118" s="32">
        <v>1111498</v>
      </c>
      <c r="D118" s="39">
        <v>45786</v>
      </c>
      <c r="E118" s="32" t="s">
        <v>15</v>
      </c>
      <c r="F118" s="32" t="str">
        <f t="shared" si="62"/>
        <v>M21</v>
      </c>
      <c r="G118" s="61" t="str">
        <f t="shared" si="63"/>
        <v>008</v>
      </c>
      <c r="H118" s="72" t="str">
        <f t="shared" si="64"/>
        <v>C3</v>
      </c>
      <c r="I118" s="72">
        <f t="shared" si="65"/>
        <v>1</v>
      </c>
      <c r="J118" s="37" t="s">
        <v>34</v>
      </c>
      <c r="K118" s="37">
        <v>10</v>
      </c>
      <c r="L118" s="17">
        <v>0.85</v>
      </c>
      <c r="M118" s="19">
        <v>3.63</v>
      </c>
      <c r="N118" s="18">
        <f t="shared" si="39"/>
        <v>2.78</v>
      </c>
      <c r="O118" s="20" t="str">
        <f t="shared" si="57"/>
        <v>OK</v>
      </c>
    </row>
    <row r="119" spans="1:15" ht="15" x14ac:dyDescent="0.25">
      <c r="A119" s="91"/>
      <c r="B119" s="32">
        <v>5</v>
      </c>
      <c r="C119" s="32">
        <v>1111498</v>
      </c>
      <c r="D119" s="39">
        <v>45786</v>
      </c>
      <c r="E119" s="32" t="s">
        <v>15</v>
      </c>
      <c r="F119" s="32" t="str">
        <f t="shared" si="62"/>
        <v>M21</v>
      </c>
      <c r="G119" s="61" t="str">
        <f t="shared" si="63"/>
        <v>008</v>
      </c>
      <c r="H119" s="72" t="str">
        <f t="shared" si="64"/>
        <v>C3</v>
      </c>
      <c r="I119" s="72">
        <v>2</v>
      </c>
      <c r="J119" s="37" t="s">
        <v>35</v>
      </c>
      <c r="K119" s="37">
        <v>11</v>
      </c>
      <c r="L119" s="17">
        <v>0.86</v>
      </c>
      <c r="M119" s="19">
        <v>3.18</v>
      </c>
      <c r="N119" s="18">
        <f t="shared" si="39"/>
        <v>2.3200000000000003</v>
      </c>
      <c r="O119" s="20" t="str">
        <f t="shared" si="57"/>
        <v>OK</v>
      </c>
    </row>
    <row r="120" spans="1:15" ht="15" x14ac:dyDescent="0.25">
      <c r="A120" s="91"/>
      <c r="B120" s="32">
        <v>5</v>
      </c>
      <c r="C120" s="32">
        <v>1111498</v>
      </c>
      <c r="D120" s="39">
        <v>45786</v>
      </c>
      <c r="E120" s="32" t="s">
        <v>15</v>
      </c>
      <c r="F120" s="32" t="str">
        <f t="shared" si="62"/>
        <v>M21</v>
      </c>
      <c r="G120" s="61" t="str">
        <f t="shared" si="63"/>
        <v>008</v>
      </c>
      <c r="H120" s="72" t="str">
        <f t="shared" si="64"/>
        <v>C3</v>
      </c>
      <c r="I120" s="72">
        <f t="shared" ref="I120:I122" si="66">I119</f>
        <v>2</v>
      </c>
      <c r="J120" s="37" t="s">
        <v>36</v>
      </c>
      <c r="K120" s="37">
        <v>11</v>
      </c>
      <c r="L120" s="17">
        <v>0.04</v>
      </c>
      <c r="M120" s="19">
        <v>3.98</v>
      </c>
      <c r="N120" s="18">
        <f t="shared" si="39"/>
        <v>3.94</v>
      </c>
      <c r="O120" s="20" t="str">
        <f t="shared" si="57"/>
        <v>OK</v>
      </c>
    </row>
    <row r="121" spans="1:15" ht="15" x14ac:dyDescent="0.25">
      <c r="A121" s="91"/>
      <c r="B121" s="32">
        <v>5</v>
      </c>
      <c r="C121" s="32">
        <v>1111498</v>
      </c>
      <c r="D121" s="39">
        <v>45786</v>
      </c>
      <c r="E121" s="32" t="s">
        <v>15</v>
      </c>
      <c r="F121" s="32" t="str">
        <f t="shared" si="62"/>
        <v>M21</v>
      </c>
      <c r="G121" s="61" t="str">
        <f t="shared" si="63"/>
        <v>008</v>
      </c>
      <c r="H121" s="72" t="str">
        <f t="shared" si="64"/>
        <v>C3</v>
      </c>
      <c r="I121" s="72">
        <f t="shared" si="66"/>
        <v>2</v>
      </c>
      <c r="J121" s="37" t="s">
        <v>37</v>
      </c>
      <c r="K121" s="37">
        <v>12</v>
      </c>
      <c r="L121" s="17">
        <v>0.32</v>
      </c>
      <c r="M121" s="19">
        <v>1.88</v>
      </c>
      <c r="N121" s="18">
        <f t="shared" si="39"/>
        <v>1.5599999999999998</v>
      </c>
      <c r="O121" s="20" t="str">
        <f t="shared" si="57"/>
        <v>OK</v>
      </c>
    </row>
    <row r="122" spans="1:15" ht="15" x14ac:dyDescent="0.25">
      <c r="A122" s="91"/>
      <c r="B122" s="32">
        <v>5</v>
      </c>
      <c r="C122" s="32">
        <v>1111498</v>
      </c>
      <c r="D122" s="39">
        <v>45786</v>
      </c>
      <c r="E122" s="32" t="s">
        <v>15</v>
      </c>
      <c r="F122" s="32" t="str">
        <f t="shared" si="62"/>
        <v>M21</v>
      </c>
      <c r="G122" s="61" t="str">
        <f t="shared" si="63"/>
        <v>008</v>
      </c>
      <c r="H122" s="72" t="str">
        <f t="shared" si="64"/>
        <v>C3</v>
      </c>
      <c r="I122" s="72">
        <f t="shared" si="66"/>
        <v>2</v>
      </c>
      <c r="J122" s="37" t="s">
        <v>38</v>
      </c>
      <c r="K122" s="37">
        <v>12</v>
      </c>
      <c r="L122" s="17">
        <v>0.04</v>
      </c>
      <c r="M122" s="19">
        <v>4.72</v>
      </c>
      <c r="N122" s="18">
        <f t="shared" si="39"/>
        <v>4.68</v>
      </c>
      <c r="O122" s="20" t="str">
        <f t="shared" si="57"/>
        <v>OK</v>
      </c>
    </row>
    <row r="123" spans="1:15" ht="15" x14ac:dyDescent="0.25">
      <c r="A123" s="91"/>
      <c r="B123" s="32">
        <v>5</v>
      </c>
      <c r="C123" s="32">
        <v>1111498</v>
      </c>
      <c r="D123" s="39">
        <v>45786</v>
      </c>
      <c r="E123" s="32" t="s">
        <v>15</v>
      </c>
      <c r="F123" s="32" t="str">
        <f t="shared" si="62"/>
        <v>M21</v>
      </c>
      <c r="G123" s="61" t="str">
        <f t="shared" si="63"/>
        <v>008</v>
      </c>
      <c r="H123" s="72" t="s">
        <v>43</v>
      </c>
      <c r="I123" s="72">
        <v>1</v>
      </c>
      <c r="J123" s="37" t="s">
        <v>31</v>
      </c>
      <c r="K123" s="37">
        <v>13</v>
      </c>
      <c r="L123" s="17">
        <v>0.14000000000000001</v>
      </c>
      <c r="M123" s="19">
        <v>1.86</v>
      </c>
      <c r="N123" s="18">
        <f t="shared" si="39"/>
        <v>1.7200000000000002</v>
      </c>
      <c r="O123" s="20" t="str">
        <f t="shared" si="57"/>
        <v>OK</v>
      </c>
    </row>
    <row r="124" spans="1:15" ht="15" x14ac:dyDescent="0.25">
      <c r="A124" s="91"/>
      <c r="B124" s="32">
        <v>5</v>
      </c>
      <c r="C124" s="32">
        <v>1111498</v>
      </c>
      <c r="D124" s="39">
        <v>45786</v>
      </c>
      <c r="E124" s="32" t="s">
        <v>15</v>
      </c>
      <c r="F124" s="32" t="str">
        <f t="shared" si="62"/>
        <v>M21</v>
      </c>
      <c r="G124" s="61" t="str">
        <f t="shared" si="63"/>
        <v>008</v>
      </c>
      <c r="H124" s="72" t="str">
        <f t="shared" ref="H124:H130" si="67">H123</f>
        <v>C4</v>
      </c>
      <c r="I124" s="72">
        <f t="shared" ref="I124:I126" si="68">I123</f>
        <v>1</v>
      </c>
      <c r="J124" s="37" t="s">
        <v>32</v>
      </c>
      <c r="K124" s="37">
        <v>13</v>
      </c>
      <c r="L124" s="17">
        <v>0.73</v>
      </c>
      <c r="M124" s="19">
        <v>2.72</v>
      </c>
      <c r="N124" s="18">
        <f t="shared" si="39"/>
        <v>1.9900000000000002</v>
      </c>
      <c r="O124" s="20" t="str">
        <f t="shared" si="57"/>
        <v>OK</v>
      </c>
    </row>
    <row r="125" spans="1:15" ht="15" x14ac:dyDescent="0.25">
      <c r="A125" s="91"/>
      <c r="B125" s="32">
        <v>5</v>
      </c>
      <c r="C125" s="32">
        <v>1111498</v>
      </c>
      <c r="D125" s="39">
        <v>45786</v>
      </c>
      <c r="E125" s="32" t="s">
        <v>15</v>
      </c>
      <c r="F125" s="32" t="str">
        <f t="shared" si="62"/>
        <v>M21</v>
      </c>
      <c r="G125" s="61" t="str">
        <f t="shared" si="63"/>
        <v>008</v>
      </c>
      <c r="H125" s="72" t="str">
        <f t="shared" si="67"/>
        <v>C4</v>
      </c>
      <c r="I125" s="72">
        <f t="shared" si="68"/>
        <v>1</v>
      </c>
      <c r="J125" s="37" t="s">
        <v>33</v>
      </c>
      <c r="K125" s="37">
        <v>14</v>
      </c>
      <c r="L125" s="17">
        <v>0.04</v>
      </c>
      <c r="M125" s="19">
        <v>4.67</v>
      </c>
      <c r="N125" s="18">
        <f t="shared" si="39"/>
        <v>4.63</v>
      </c>
      <c r="O125" s="20" t="str">
        <f t="shared" si="57"/>
        <v>OK</v>
      </c>
    </row>
    <row r="126" spans="1:15" ht="15" x14ac:dyDescent="0.25">
      <c r="A126" s="91"/>
      <c r="B126" s="32">
        <v>5</v>
      </c>
      <c r="C126" s="32">
        <v>1111498</v>
      </c>
      <c r="D126" s="39">
        <v>45786</v>
      </c>
      <c r="E126" s="32" t="s">
        <v>15</v>
      </c>
      <c r="F126" s="32" t="str">
        <f t="shared" si="62"/>
        <v>M21</v>
      </c>
      <c r="G126" s="61" t="str">
        <f t="shared" si="63"/>
        <v>008</v>
      </c>
      <c r="H126" s="72" t="str">
        <f t="shared" si="67"/>
        <v>C4</v>
      </c>
      <c r="I126" s="72">
        <f t="shared" si="68"/>
        <v>1</v>
      </c>
      <c r="J126" s="37" t="s">
        <v>34</v>
      </c>
      <c r="K126" s="37">
        <v>14</v>
      </c>
      <c r="L126" s="17">
        <v>0.05</v>
      </c>
      <c r="M126" s="19">
        <v>4.78</v>
      </c>
      <c r="N126" s="18">
        <f t="shared" si="39"/>
        <v>4.7300000000000004</v>
      </c>
      <c r="O126" s="20" t="str">
        <f t="shared" si="57"/>
        <v>OK</v>
      </c>
    </row>
    <row r="127" spans="1:15" ht="15" x14ac:dyDescent="0.25">
      <c r="A127" s="91"/>
      <c r="B127" s="32">
        <v>5</v>
      </c>
      <c r="C127" s="32">
        <v>1111498</v>
      </c>
      <c r="D127" s="39">
        <v>45786</v>
      </c>
      <c r="E127" s="32" t="s">
        <v>15</v>
      </c>
      <c r="F127" s="32" t="str">
        <f t="shared" si="62"/>
        <v>M21</v>
      </c>
      <c r="G127" s="61" t="str">
        <f t="shared" si="63"/>
        <v>008</v>
      </c>
      <c r="H127" s="72" t="str">
        <f t="shared" si="67"/>
        <v>C4</v>
      </c>
      <c r="I127" s="72">
        <v>2</v>
      </c>
      <c r="J127" s="37" t="s">
        <v>35</v>
      </c>
      <c r="K127" s="37">
        <v>15</v>
      </c>
      <c r="L127" s="17">
        <v>0.96</v>
      </c>
      <c r="M127" s="19">
        <v>4.1900000000000004</v>
      </c>
      <c r="N127" s="18">
        <f t="shared" si="39"/>
        <v>3.2300000000000004</v>
      </c>
      <c r="O127" s="20" t="str">
        <f t="shared" si="57"/>
        <v>OK</v>
      </c>
    </row>
    <row r="128" spans="1:15" ht="15" x14ac:dyDescent="0.25">
      <c r="A128" s="91"/>
      <c r="B128" s="32">
        <v>5</v>
      </c>
      <c r="C128" s="32">
        <v>1111498</v>
      </c>
      <c r="D128" s="39">
        <v>45786</v>
      </c>
      <c r="E128" s="32" t="s">
        <v>15</v>
      </c>
      <c r="F128" s="32" t="str">
        <f t="shared" si="62"/>
        <v>M21</v>
      </c>
      <c r="G128" s="61" t="str">
        <f t="shared" si="63"/>
        <v>008</v>
      </c>
      <c r="H128" s="72" t="str">
        <f t="shared" si="67"/>
        <v>C4</v>
      </c>
      <c r="I128" s="72">
        <f t="shared" ref="I128:I130" si="69">I127</f>
        <v>2</v>
      </c>
      <c r="J128" s="37" t="s">
        <v>36</v>
      </c>
      <c r="K128" s="37">
        <v>15</v>
      </c>
      <c r="L128" s="17">
        <v>0.09</v>
      </c>
      <c r="M128" s="19">
        <v>4.46</v>
      </c>
      <c r="N128" s="18">
        <f t="shared" si="39"/>
        <v>4.37</v>
      </c>
      <c r="O128" s="20" t="str">
        <f t="shared" si="57"/>
        <v>OK</v>
      </c>
    </row>
    <row r="129" spans="1:15" ht="15" x14ac:dyDescent="0.25">
      <c r="A129" s="91"/>
      <c r="B129" s="32">
        <v>5</v>
      </c>
      <c r="C129" s="32">
        <v>1111498</v>
      </c>
      <c r="D129" s="39">
        <v>45786</v>
      </c>
      <c r="E129" s="32" t="s">
        <v>15</v>
      </c>
      <c r="F129" s="32" t="str">
        <f t="shared" si="62"/>
        <v>M21</v>
      </c>
      <c r="G129" s="61" t="str">
        <f t="shared" si="63"/>
        <v>008</v>
      </c>
      <c r="H129" s="72" t="str">
        <f t="shared" si="67"/>
        <v>C4</v>
      </c>
      <c r="I129" s="72">
        <f t="shared" si="69"/>
        <v>2</v>
      </c>
      <c r="J129" s="37" t="s">
        <v>37</v>
      </c>
      <c r="K129" s="37">
        <v>16</v>
      </c>
      <c r="L129" s="17">
        <v>0.87</v>
      </c>
      <c r="M129" s="19">
        <v>3.02</v>
      </c>
      <c r="N129" s="18">
        <f t="shared" si="39"/>
        <v>2.15</v>
      </c>
      <c r="O129" s="20" t="str">
        <f t="shared" si="57"/>
        <v>OK</v>
      </c>
    </row>
    <row r="130" spans="1:15" ht="15" x14ac:dyDescent="0.25">
      <c r="A130" s="91"/>
      <c r="B130" s="32">
        <v>5</v>
      </c>
      <c r="C130" s="32">
        <v>1111498</v>
      </c>
      <c r="D130" s="39">
        <v>45786</v>
      </c>
      <c r="E130" s="32" t="s">
        <v>15</v>
      </c>
      <c r="F130" s="32" t="str">
        <f t="shared" si="62"/>
        <v>M21</v>
      </c>
      <c r="G130" s="61" t="str">
        <f t="shared" si="63"/>
        <v>008</v>
      </c>
      <c r="H130" s="72" t="str">
        <f t="shared" si="67"/>
        <v>C4</v>
      </c>
      <c r="I130" s="72">
        <f t="shared" si="69"/>
        <v>2</v>
      </c>
      <c r="J130" s="37" t="s">
        <v>38</v>
      </c>
      <c r="K130" s="37">
        <v>16</v>
      </c>
      <c r="L130" s="17">
        <v>0.87</v>
      </c>
      <c r="M130" s="19">
        <v>3.35</v>
      </c>
      <c r="N130" s="18">
        <f t="shared" si="39"/>
        <v>2.48</v>
      </c>
      <c r="O130" s="20" t="str">
        <f t="shared" si="57"/>
        <v>OK</v>
      </c>
    </row>
    <row r="131" spans="1:15" ht="15" x14ac:dyDescent="0.25">
      <c r="A131" s="91"/>
      <c r="B131" s="32">
        <v>5</v>
      </c>
      <c r="C131" s="32">
        <v>1111498</v>
      </c>
      <c r="D131" s="39">
        <v>45786</v>
      </c>
      <c r="E131" s="32" t="s">
        <v>15</v>
      </c>
      <c r="F131" s="32" t="s">
        <v>44</v>
      </c>
      <c r="G131" s="61" t="s">
        <v>71</v>
      </c>
      <c r="H131" s="72" t="s">
        <v>46</v>
      </c>
      <c r="I131" s="72">
        <v>1</v>
      </c>
      <c r="J131" s="37" t="s">
        <v>31</v>
      </c>
      <c r="K131" s="37">
        <v>17</v>
      </c>
      <c r="L131" s="17">
        <v>0.22</v>
      </c>
      <c r="M131" s="19">
        <v>5.0199999999999996</v>
      </c>
      <c r="N131" s="18">
        <f t="shared" si="39"/>
        <v>4.8</v>
      </c>
      <c r="O131" s="20" t="str">
        <f t="shared" si="57"/>
        <v>OK</v>
      </c>
    </row>
    <row r="132" spans="1:15" ht="15" x14ac:dyDescent="0.25">
      <c r="A132" s="91"/>
      <c r="B132" s="32">
        <v>5</v>
      </c>
      <c r="C132" s="32">
        <v>1111498</v>
      </c>
      <c r="D132" s="39">
        <v>45786</v>
      </c>
      <c r="E132" s="32" t="s">
        <v>15</v>
      </c>
      <c r="F132" s="32" t="str">
        <f t="shared" ref="F132:F146" si="70">F131</f>
        <v>M22</v>
      </c>
      <c r="G132" s="61" t="str">
        <f t="shared" ref="G132:G146" si="71">G131</f>
        <v>304</v>
      </c>
      <c r="H132" s="72" t="str">
        <f t="shared" ref="H132:H138" si="72">H131</f>
        <v>C5</v>
      </c>
      <c r="I132" s="72">
        <f t="shared" ref="I132:I134" si="73">I131</f>
        <v>1</v>
      </c>
      <c r="J132" s="37" t="s">
        <v>32</v>
      </c>
      <c r="K132" s="37">
        <v>17</v>
      </c>
      <c r="L132" s="17">
        <v>0.6</v>
      </c>
      <c r="M132" s="19">
        <v>2.04</v>
      </c>
      <c r="N132" s="18">
        <f t="shared" ref="N132:N194" si="74">+M132-L132</f>
        <v>1.44</v>
      </c>
      <c r="O132" s="20" t="str">
        <f t="shared" si="57"/>
        <v>OK</v>
      </c>
    </row>
    <row r="133" spans="1:15" ht="15" x14ac:dyDescent="0.25">
      <c r="A133" s="91"/>
      <c r="B133" s="32">
        <v>5</v>
      </c>
      <c r="C133" s="32">
        <v>1111498</v>
      </c>
      <c r="D133" s="39">
        <v>45786</v>
      </c>
      <c r="E133" s="32" t="s">
        <v>15</v>
      </c>
      <c r="F133" s="32" t="str">
        <f t="shared" si="70"/>
        <v>M22</v>
      </c>
      <c r="G133" s="61" t="str">
        <f t="shared" si="71"/>
        <v>304</v>
      </c>
      <c r="H133" s="72" t="str">
        <f t="shared" si="72"/>
        <v>C5</v>
      </c>
      <c r="I133" s="72">
        <f t="shared" si="73"/>
        <v>1</v>
      </c>
      <c r="J133" s="37" t="s">
        <v>33</v>
      </c>
      <c r="K133" s="37">
        <v>18</v>
      </c>
      <c r="L133" s="17">
        <v>0.12</v>
      </c>
      <c r="M133" s="19">
        <v>2.84</v>
      </c>
      <c r="N133" s="18">
        <f t="shared" si="74"/>
        <v>2.7199999999999998</v>
      </c>
      <c r="O133" s="20" t="str">
        <f t="shared" si="57"/>
        <v>OK</v>
      </c>
    </row>
    <row r="134" spans="1:15" ht="15" x14ac:dyDescent="0.25">
      <c r="A134" s="91"/>
      <c r="B134" s="32">
        <v>5</v>
      </c>
      <c r="C134" s="32">
        <v>1111498</v>
      </c>
      <c r="D134" s="39">
        <v>45786</v>
      </c>
      <c r="E134" s="32" t="s">
        <v>15</v>
      </c>
      <c r="F134" s="32" t="str">
        <f t="shared" si="70"/>
        <v>M22</v>
      </c>
      <c r="G134" s="61" t="str">
        <f t="shared" si="71"/>
        <v>304</v>
      </c>
      <c r="H134" s="72" t="str">
        <f t="shared" si="72"/>
        <v>C5</v>
      </c>
      <c r="I134" s="72">
        <f t="shared" si="73"/>
        <v>1</v>
      </c>
      <c r="J134" s="37" t="s">
        <v>34</v>
      </c>
      <c r="K134" s="37">
        <v>18</v>
      </c>
      <c r="L134" s="17">
        <v>0.24</v>
      </c>
      <c r="M134" s="19">
        <v>4.95</v>
      </c>
      <c r="N134" s="18">
        <f t="shared" si="74"/>
        <v>4.71</v>
      </c>
      <c r="O134" s="20" t="str">
        <f t="shared" si="57"/>
        <v>OK</v>
      </c>
    </row>
    <row r="135" spans="1:15" ht="15" x14ac:dyDescent="0.25">
      <c r="A135" s="91"/>
      <c r="B135" s="32">
        <v>5</v>
      </c>
      <c r="C135" s="32">
        <v>1111498</v>
      </c>
      <c r="D135" s="39">
        <v>45786</v>
      </c>
      <c r="E135" s="32" t="s">
        <v>15</v>
      </c>
      <c r="F135" s="32" t="str">
        <f t="shared" si="70"/>
        <v>M22</v>
      </c>
      <c r="G135" s="61" t="str">
        <f t="shared" si="71"/>
        <v>304</v>
      </c>
      <c r="H135" s="72" t="str">
        <f t="shared" si="72"/>
        <v>C5</v>
      </c>
      <c r="I135" s="72">
        <v>2</v>
      </c>
      <c r="J135" s="37" t="s">
        <v>35</v>
      </c>
      <c r="K135" s="37">
        <v>19</v>
      </c>
      <c r="L135" s="17">
        <v>0.2</v>
      </c>
      <c r="M135" s="19">
        <v>1.99</v>
      </c>
      <c r="N135" s="18">
        <f t="shared" si="74"/>
        <v>1.79</v>
      </c>
      <c r="O135" s="20" t="str">
        <f t="shared" si="57"/>
        <v>OK</v>
      </c>
    </row>
    <row r="136" spans="1:15" ht="15" x14ac:dyDescent="0.25">
      <c r="A136" s="91"/>
      <c r="B136" s="32">
        <v>5</v>
      </c>
      <c r="C136" s="32">
        <v>1111498</v>
      </c>
      <c r="D136" s="39">
        <v>45786</v>
      </c>
      <c r="E136" s="32" t="s">
        <v>15</v>
      </c>
      <c r="F136" s="32" t="str">
        <f t="shared" si="70"/>
        <v>M22</v>
      </c>
      <c r="G136" s="61" t="str">
        <f t="shared" si="71"/>
        <v>304</v>
      </c>
      <c r="H136" s="72" t="str">
        <f t="shared" si="72"/>
        <v>C5</v>
      </c>
      <c r="I136" s="72">
        <f t="shared" ref="I136:I138" si="75">I135</f>
        <v>2</v>
      </c>
      <c r="J136" s="37" t="s">
        <v>36</v>
      </c>
      <c r="K136" s="37">
        <v>19</v>
      </c>
      <c r="L136" s="17">
        <v>0.19</v>
      </c>
      <c r="M136" s="19">
        <v>4.84</v>
      </c>
      <c r="N136" s="18">
        <f t="shared" si="74"/>
        <v>4.6499999999999995</v>
      </c>
      <c r="O136" s="20" t="str">
        <f t="shared" si="57"/>
        <v>OK</v>
      </c>
    </row>
    <row r="137" spans="1:15" ht="15" x14ac:dyDescent="0.25">
      <c r="A137" s="91"/>
      <c r="B137" s="32">
        <v>5</v>
      </c>
      <c r="C137" s="32">
        <v>1111498</v>
      </c>
      <c r="D137" s="39">
        <v>45786</v>
      </c>
      <c r="E137" s="32" t="s">
        <v>15</v>
      </c>
      <c r="F137" s="32" t="str">
        <f t="shared" si="70"/>
        <v>M22</v>
      </c>
      <c r="G137" s="61" t="str">
        <f t="shared" si="71"/>
        <v>304</v>
      </c>
      <c r="H137" s="72" t="str">
        <f t="shared" si="72"/>
        <v>C5</v>
      </c>
      <c r="I137" s="72">
        <f t="shared" si="75"/>
        <v>2</v>
      </c>
      <c r="J137" s="37" t="s">
        <v>37</v>
      </c>
      <c r="K137" s="37">
        <v>20</v>
      </c>
      <c r="L137" s="17">
        <v>0.24</v>
      </c>
      <c r="M137" s="19">
        <v>4.96</v>
      </c>
      <c r="N137" s="18">
        <f t="shared" si="74"/>
        <v>4.72</v>
      </c>
      <c r="O137" s="20" t="str">
        <f t="shared" si="57"/>
        <v>OK</v>
      </c>
    </row>
    <row r="138" spans="1:15" ht="15" x14ac:dyDescent="0.25">
      <c r="A138" s="91"/>
      <c r="B138" s="32">
        <v>5</v>
      </c>
      <c r="C138" s="32">
        <v>1111498</v>
      </c>
      <c r="D138" s="39">
        <v>45786</v>
      </c>
      <c r="E138" s="32" t="s">
        <v>15</v>
      </c>
      <c r="F138" s="32" t="str">
        <f t="shared" si="70"/>
        <v>M22</v>
      </c>
      <c r="G138" s="61" t="str">
        <f t="shared" si="71"/>
        <v>304</v>
      </c>
      <c r="H138" s="72" t="str">
        <f t="shared" si="72"/>
        <v>C5</v>
      </c>
      <c r="I138" s="72">
        <f t="shared" si="75"/>
        <v>2</v>
      </c>
      <c r="J138" s="37" t="s">
        <v>38</v>
      </c>
      <c r="K138" s="37">
        <v>20</v>
      </c>
      <c r="L138" s="17">
        <v>0.81</v>
      </c>
      <c r="M138" s="19">
        <v>4.2300000000000004</v>
      </c>
      <c r="N138" s="18">
        <f t="shared" si="74"/>
        <v>3.4200000000000004</v>
      </c>
      <c r="O138" s="20" t="str">
        <f t="shared" si="57"/>
        <v>OK</v>
      </c>
    </row>
    <row r="139" spans="1:15" ht="15" x14ac:dyDescent="0.25">
      <c r="A139" s="91"/>
      <c r="B139" s="32">
        <v>5</v>
      </c>
      <c r="C139" s="32">
        <v>1111498</v>
      </c>
      <c r="D139" s="39">
        <v>45786</v>
      </c>
      <c r="E139" s="32" t="s">
        <v>15</v>
      </c>
      <c r="F139" s="32" t="str">
        <f t="shared" si="70"/>
        <v>M22</v>
      </c>
      <c r="G139" s="61" t="str">
        <f t="shared" si="71"/>
        <v>304</v>
      </c>
      <c r="H139" s="72" t="s">
        <v>47</v>
      </c>
      <c r="I139" s="72">
        <v>1</v>
      </c>
      <c r="J139" s="37" t="s">
        <v>31</v>
      </c>
      <c r="K139" s="37">
        <v>21</v>
      </c>
      <c r="L139" s="17">
        <v>0.14000000000000001</v>
      </c>
      <c r="M139" s="19">
        <v>4.96</v>
      </c>
      <c r="N139" s="18">
        <f t="shared" si="74"/>
        <v>4.82</v>
      </c>
      <c r="O139" s="20" t="str">
        <f t="shared" si="57"/>
        <v>OK</v>
      </c>
    </row>
    <row r="140" spans="1:15" ht="15" x14ac:dyDescent="0.25">
      <c r="A140" s="91"/>
      <c r="B140" s="32">
        <v>5</v>
      </c>
      <c r="C140" s="32">
        <v>1111498</v>
      </c>
      <c r="D140" s="39">
        <v>45786</v>
      </c>
      <c r="E140" s="32" t="s">
        <v>15</v>
      </c>
      <c r="F140" s="32" t="str">
        <f t="shared" si="70"/>
        <v>M22</v>
      </c>
      <c r="G140" s="61" t="str">
        <f t="shared" si="71"/>
        <v>304</v>
      </c>
      <c r="H140" s="72" t="str">
        <f t="shared" ref="H140:H146" si="76">H139</f>
        <v>C6</v>
      </c>
      <c r="I140" s="72">
        <f t="shared" ref="I140:I142" si="77">I139</f>
        <v>1</v>
      </c>
      <c r="J140" s="37" t="s">
        <v>32</v>
      </c>
      <c r="K140" s="37">
        <v>21</v>
      </c>
      <c r="L140" s="17">
        <v>0.13</v>
      </c>
      <c r="M140" s="19">
        <v>4.8499999999999996</v>
      </c>
      <c r="N140" s="18">
        <f t="shared" si="74"/>
        <v>4.72</v>
      </c>
      <c r="O140" s="20" t="str">
        <f t="shared" si="57"/>
        <v>OK</v>
      </c>
    </row>
    <row r="141" spans="1:15" ht="15" x14ac:dyDescent="0.25">
      <c r="A141" s="91"/>
      <c r="B141" s="32">
        <v>5</v>
      </c>
      <c r="C141" s="32">
        <v>1111498</v>
      </c>
      <c r="D141" s="39">
        <v>45786</v>
      </c>
      <c r="E141" s="32" t="s">
        <v>15</v>
      </c>
      <c r="F141" s="32" t="str">
        <f t="shared" si="70"/>
        <v>M22</v>
      </c>
      <c r="G141" s="61" t="str">
        <f t="shared" si="71"/>
        <v>304</v>
      </c>
      <c r="H141" s="72" t="str">
        <f t="shared" si="76"/>
        <v>C6</v>
      </c>
      <c r="I141" s="72">
        <f t="shared" si="77"/>
        <v>1</v>
      </c>
      <c r="J141" s="37" t="s">
        <v>33</v>
      </c>
      <c r="K141" s="37">
        <v>22</v>
      </c>
      <c r="L141" s="17">
        <v>0.22</v>
      </c>
      <c r="M141" s="19">
        <v>4.8600000000000003</v>
      </c>
      <c r="N141" s="18">
        <f t="shared" si="74"/>
        <v>4.6400000000000006</v>
      </c>
      <c r="O141" s="20" t="str">
        <f t="shared" si="57"/>
        <v>OK</v>
      </c>
    </row>
    <row r="142" spans="1:15" ht="15" x14ac:dyDescent="0.25">
      <c r="A142" s="91"/>
      <c r="B142" s="32">
        <v>5</v>
      </c>
      <c r="C142" s="32">
        <v>1111498</v>
      </c>
      <c r="D142" s="39">
        <v>45786</v>
      </c>
      <c r="E142" s="32" t="s">
        <v>15</v>
      </c>
      <c r="F142" s="32" t="str">
        <f t="shared" si="70"/>
        <v>M22</v>
      </c>
      <c r="G142" s="61" t="str">
        <f t="shared" si="71"/>
        <v>304</v>
      </c>
      <c r="H142" s="72" t="str">
        <f t="shared" si="76"/>
        <v>C6</v>
      </c>
      <c r="I142" s="72">
        <f t="shared" si="77"/>
        <v>1</v>
      </c>
      <c r="J142" s="37" t="s">
        <v>34</v>
      </c>
      <c r="K142" s="37">
        <v>22</v>
      </c>
      <c r="L142" s="17">
        <v>0.15</v>
      </c>
      <c r="M142" s="19">
        <v>4.72</v>
      </c>
      <c r="N142" s="18">
        <f t="shared" si="74"/>
        <v>4.5699999999999994</v>
      </c>
      <c r="O142" s="20" t="str">
        <f t="shared" si="57"/>
        <v>OK</v>
      </c>
    </row>
    <row r="143" spans="1:15" ht="15" x14ac:dyDescent="0.25">
      <c r="A143" s="91"/>
      <c r="B143" s="32">
        <v>5</v>
      </c>
      <c r="C143" s="32">
        <v>1111498</v>
      </c>
      <c r="D143" s="39">
        <v>45786</v>
      </c>
      <c r="E143" s="32" t="s">
        <v>15</v>
      </c>
      <c r="F143" s="32" t="str">
        <f t="shared" si="70"/>
        <v>M22</v>
      </c>
      <c r="G143" s="61" t="str">
        <f t="shared" si="71"/>
        <v>304</v>
      </c>
      <c r="H143" s="72" t="str">
        <f t="shared" si="76"/>
        <v>C6</v>
      </c>
      <c r="I143" s="72">
        <v>2</v>
      </c>
      <c r="J143" s="37" t="s">
        <v>35</v>
      </c>
      <c r="K143" s="37">
        <v>23</v>
      </c>
      <c r="L143" s="17">
        <v>0.15</v>
      </c>
      <c r="M143" s="19">
        <v>4.91</v>
      </c>
      <c r="N143" s="18">
        <f t="shared" si="74"/>
        <v>4.76</v>
      </c>
      <c r="O143" s="20" t="str">
        <f t="shared" si="57"/>
        <v>OK</v>
      </c>
    </row>
    <row r="144" spans="1:15" ht="15" x14ac:dyDescent="0.25">
      <c r="A144" s="91"/>
      <c r="B144" s="32">
        <v>5</v>
      </c>
      <c r="C144" s="32">
        <v>1111498</v>
      </c>
      <c r="D144" s="39">
        <v>45786</v>
      </c>
      <c r="E144" s="32" t="s">
        <v>15</v>
      </c>
      <c r="F144" s="32" t="str">
        <f t="shared" si="70"/>
        <v>M22</v>
      </c>
      <c r="G144" s="61" t="str">
        <f t="shared" si="71"/>
        <v>304</v>
      </c>
      <c r="H144" s="72" t="str">
        <f t="shared" si="76"/>
        <v>C6</v>
      </c>
      <c r="I144" s="72">
        <f t="shared" ref="I144:I146" si="78">I143</f>
        <v>2</v>
      </c>
      <c r="J144" s="37" t="s">
        <v>36</v>
      </c>
      <c r="K144" s="37">
        <v>23</v>
      </c>
      <c r="L144" s="17">
        <v>0.11</v>
      </c>
      <c r="M144" s="19">
        <v>4.8899999999999997</v>
      </c>
      <c r="N144" s="18">
        <f t="shared" si="74"/>
        <v>4.7799999999999994</v>
      </c>
      <c r="O144" s="20" t="str">
        <f t="shared" si="57"/>
        <v>OK</v>
      </c>
    </row>
    <row r="145" spans="1:15" ht="15" x14ac:dyDescent="0.25">
      <c r="A145" s="91"/>
      <c r="B145" s="32">
        <v>5</v>
      </c>
      <c r="C145" s="32">
        <v>1111498</v>
      </c>
      <c r="D145" s="39">
        <v>45786</v>
      </c>
      <c r="E145" s="32" t="s">
        <v>15</v>
      </c>
      <c r="F145" s="32" t="str">
        <f t="shared" si="70"/>
        <v>M22</v>
      </c>
      <c r="G145" s="61" t="str">
        <f t="shared" si="71"/>
        <v>304</v>
      </c>
      <c r="H145" s="72" t="str">
        <f t="shared" si="76"/>
        <v>C6</v>
      </c>
      <c r="I145" s="72">
        <f t="shared" si="78"/>
        <v>2</v>
      </c>
      <c r="J145" s="37" t="s">
        <v>37</v>
      </c>
      <c r="K145" s="37">
        <v>24</v>
      </c>
      <c r="L145" s="17">
        <v>0.21</v>
      </c>
      <c r="M145" s="19">
        <v>4.9800000000000004</v>
      </c>
      <c r="N145" s="18">
        <f t="shared" si="74"/>
        <v>4.7700000000000005</v>
      </c>
      <c r="O145" s="20" t="str">
        <f t="shared" si="57"/>
        <v>OK</v>
      </c>
    </row>
    <row r="146" spans="1:15" ht="15" x14ac:dyDescent="0.25">
      <c r="A146" s="91"/>
      <c r="B146" s="32">
        <v>5</v>
      </c>
      <c r="C146" s="32">
        <v>1111498</v>
      </c>
      <c r="D146" s="39">
        <v>45786</v>
      </c>
      <c r="E146" s="32" t="s">
        <v>15</v>
      </c>
      <c r="F146" s="32" t="str">
        <f t="shared" si="70"/>
        <v>M22</v>
      </c>
      <c r="G146" s="61" t="str">
        <f t="shared" si="71"/>
        <v>304</v>
      </c>
      <c r="H146" s="72" t="str">
        <f t="shared" si="76"/>
        <v>C6</v>
      </c>
      <c r="I146" s="72">
        <f t="shared" si="78"/>
        <v>2</v>
      </c>
      <c r="J146" s="37" t="s">
        <v>38</v>
      </c>
      <c r="K146" s="37">
        <v>24</v>
      </c>
      <c r="L146" s="17">
        <v>0.22</v>
      </c>
      <c r="M146" s="19">
        <v>4.99</v>
      </c>
      <c r="N146" s="18">
        <f t="shared" si="74"/>
        <v>4.7700000000000005</v>
      </c>
      <c r="O146" s="20" t="str">
        <f t="shared" si="57"/>
        <v>OK</v>
      </c>
    </row>
    <row r="147" spans="1:15" ht="15" x14ac:dyDescent="0.25">
      <c r="A147" s="91"/>
      <c r="B147" s="32">
        <v>5</v>
      </c>
      <c r="C147" s="32">
        <v>1111498</v>
      </c>
      <c r="D147" s="39">
        <v>45786</v>
      </c>
      <c r="E147" s="32" t="s">
        <v>15</v>
      </c>
      <c r="F147" s="32" t="s">
        <v>44</v>
      </c>
      <c r="G147" s="61" t="s">
        <v>72</v>
      </c>
      <c r="H147" s="72" t="s">
        <v>47</v>
      </c>
      <c r="I147" s="72">
        <v>2</v>
      </c>
      <c r="J147" s="37" t="s">
        <v>31</v>
      </c>
      <c r="K147" s="37">
        <v>25</v>
      </c>
      <c r="L147" s="17">
        <v>0.15</v>
      </c>
      <c r="M147" s="19">
        <v>4.6399999999999997</v>
      </c>
      <c r="N147" s="18">
        <f t="shared" si="74"/>
        <v>4.4899999999999993</v>
      </c>
      <c r="O147" s="20" t="str">
        <f t="shared" si="57"/>
        <v>OK</v>
      </c>
    </row>
    <row r="148" spans="1:15" ht="15" x14ac:dyDescent="0.25">
      <c r="A148" s="91"/>
      <c r="B148" s="32">
        <v>5</v>
      </c>
      <c r="C148" s="32">
        <v>1111498</v>
      </c>
      <c r="D148" s="39">
        <v>45786</v>
      </c>
      <c r="E148" s="32" t="s">
        <v>15</v>
      </c>
      <c r="F148" s="32" t="str">
        <f t="shared" ref="F148:F162" si="79">F147</f>
        <v>M22</v>
      </c>
      <c r="G148" s="61" t="str">
        <f t="shared" ref="G148:G162" si="80">G147</f>
        <v>310</v>
      </c>
      <c r="H148" s="72" t="str">
        <f t="shared" ref="H148:H154" si="81">H147</f>
        <v>C6</v>
      </c>
      <c r="I148" s="72">
        <f t="shared" ref="I148:I150" si="82">I147</f>
        <v>2</v>
      </c>
      <c r="J148" s="37" t="s">
        <v>32</v>
      </c>
      <c r="K148" s="37">
        <v>25</v>
      </c>
      <c r="L148" s="17">
        <v>0.16</v>
      </c>
      <c r="M148" s="19">
        <v>1.66</v>
      </c>
      <c r="N148" s="18">
        <f t="shared" si="74"/>
        <v>1.5</v>
      </c>
      <c r="O148" s="20" t="str">
        <f t="shared" si="57"/>
        <v>OK</v>
      </c>
    </row>
    <row r="149" spans="1:15" ht="15" x14ac:dyDescent="0.25">
      <c r="A149" s="91"/>
      <c r="B149" s="32">
        <v>5</v>
      </c>
      <c r="C149" s="32">
        <v>1111498</v>
      </c>
      <c r="D149" s="39">
        <v>45786</v>
      </c>
      <c r="E149" s="32" t="s">
        <v>15</v>
      </c>
      <c r="F149" s="32" t="str">
        <f t="shared" si="79"/>
        <v>M22</v>
      </c>
      <c r="G149" s="61" t="str">
        <f t="shared" si="80"/>
        <v>310</v>
      </c>
      <c r="H149" s="72" t="str">
        <f t="shared" si="81"/>
        <v>C6</v>
      </c>
      <c r="I149" s="72">
        <f t="shared" si="82"/>
        <v>2</v>
      </c>
      <c r="J149" s="37" t="s">
        <v>33</v>
      </c>
      <c r="K149" s="37">
        <v>26</v>
      </c>
      <c r="L149" s="17">
        <v>0.55000000000000004</v>
      </c>
      <c r="M149" s="19">
        <v>4.12</v>
      </c>
      <c r="N149" s="18">
        <f t="shared" si="74"/>
        <v>3.5700000000000003</v>
      </c>
      <c r="O149" s="20" t="str">
        <f t="shared" si="57"/>
        <v>OK</v>
      </c>
    </row>
    <row r="150" spans="1:15" ht="15" x14ac:dyDescent="0.25">
      <c r="A150" s="91"/>
      <c r="B150" s="32">
        <v>5</v>
      </c>
      <c r="C150" s="32">
        <v>1111498</v>
      </c>
      <c r="D150" s="39">
        <v>45786</v>
      </c>
      <c r="E150" s="32" t="s">
        <v>15</v>
      </c>
      <c r="F150" s="32" t="str">
        <f t="shared" si="79"/>
        <v>M22</v>
      </c>
      <c r="G150" s="61" t="str">
        <f t="shared" si="80"/>
        <v>310</v>
      </c>
      <c r="H150" s="72" t="str">
        <f t="shared" si="81"/>
        <v>C6</v>
      </c>
      <c r="I150" s="72">
        <f t="shared" si="82"/>
        <v>2</v>
      </c>
      <c r="J150" s="37" t="s">
        <v>34</v>
      </c>
      <c r="K150" s="37">
        <v>26</v>
      </c>
      <c r="L150" s="17">
        <v>0.19</v>
      </c>
      <c r="M150" s="19">
        <v>4.7</v>
      </c>
      <c r="N150" s="18">
        <f t="shared" si="74"/>
        <v>4.51</v>
      </c>
      <c r="O150" s="20" t="str">
        <f t="shared" si="57"/>
        <v>OK</v>
      </c>
    </row>
    <row r="151" spans="1:15" ht="15" x14ac:dyDescent="0.25">
      <c r="A151" s="91"/>
      <c r="B151" s="32">
        <v>5</v>
      </c>
      <c r="C151" s="32">
        <v>1111498</v>
      </c>
      <c r="D151" s="39">
        <v>45786</v>
      </c>
      <c r="E151" s="32" t="s">
        <v>15</v>
      </c>
      <c r="F151" s="32" t="str">
        <f t="shared" si="79"/>
        <v>M22</v>
      </c>
      <c r="G151" s="61" t="str">
        <f t="shared" si="80"/>
        <v>310</v>
      </c>
      <c r="H151" s="72" t="str">
        <f t="shared" si="81"/>
        <v>C6</v>
      </c>
      <c r="I151" s="72">
        <v>1</v>
      </c>
      <c r="J151" s="37" t="s">
        <v>35</v>
      </c>
      <c r="K151" s="37">
        <v>27</v>
      </c>
      <c r="L151" s="17">
        <v>0.62</v>
      </c>
      <c r="M151" s="19">
        <v>4.3099999999999996</v>
      </c>
      <c r="N151" s="18">
        <f t="shared" si="74"/>
        <v>3.6899999999999995</v>
      </c>
      <c r="O151" s="20" t="str">
        <f t="shared" si="57"/>
        <v>OK</v>
      </c>
    </row>
    <row r="152" spans="1:15" ht="15" x14ac:dyDescent="0.25">
      <c r="A152" s="91"/>
      <c r="B152" s="32">
        <v>5</v>
      </c>
      <c r="C152" s="32">
        <v>1111498</v>
      </c>
      <c r="D152" s="39">
        <v>45786</v>
      </c>
      <c r="E152" s="32" t="s">
        <v>15</v>
      </c>
      <c r="F152" s="32" t="str">
        <f t="shared" si="79"/>
        <v>M22</v>
      </c>
      <c r="G152" s="61" t="str">
        <f t="shared" si="80"/>
        <v>310</v>
      </c>
      <c r="H152" s="72" t="str">
        <f t="shared" si="81"/>
        <v>C6</v>
      </c>
      <c r="I152" s="72">
        <f t="shared" ref="I152:I154" si="83">I151</f>
        <v>1</v>
      </c>
      <c r="J152" s="37" t="s">
        <v>36</v>
      </c>
      <c r="K152" s="37">
        <v>27</v>
      </c>
      <c r="L152" s="17">
        <v>0.59</v>
      </c>
      <c r="M152" s="19">
        <v>4.21</v>
      </c>
      <c r="N152" s="18">
        <f t="shared" si="74"/>
        <v>3.62</v>
      </c>
      <c r="O152" s="20" t="str">
        <f t="shared" si="57"/>
        <v>OK</v>
      </c>
    </row>
    <row r="153" spans="1:15" ht="15" x14ac:dyDescent="0.25">
      <c r="A153" s="91"/>
      <c r="B153" s="32">
        <v>5</v>
      </c>
      <c r="C153" s="32">
        <v>1111498</v>
      </c>
      <c r="D153" s="39">
        <v>45786</v>
      </c>
      <c r="E153" s="32" t="s">
        <v>15</v>
      </c>
      <c r="F153" s="32" t="str">
        <f t="shared" si="79"/>
        <v>M22</v>
      </c>
      <c r="G153" s="61" t="str">
        <f t="shared" si="80"/>
        <v>310</v>
      </c>
      <c r="H153" s="72" t="str">
        <f t="shared" si="81"/>
        <v>C6</v>
      </c>
      <c r="I153" s="72">
        <f t="shared" si="83"/>
        <v>1</v>
      </c>
      <c r="J153" s="37" t="s">
        <v>37</v>
      </c>
      <c r="K153" s="37">
        <v>28</v>
      </c>
      <c r="L153" s="17">
        <v>0.75</v>
      </c>
      <c r="M153" s="19">
        <v>4.6100000000000003</v>
      </c>
      <c r="N153" s="18">
        <f t="shared" si="74"/>
        <v>3.8600000000000003</v>
      </c>
      <c r="O153" s="20" t="str">
        <f t="shared" si="57"/>
        <v>OK</v>
      </c>
    </row>
    <row r="154" spans="1:15" ht="15" x14ac:dyDescent="0.25">
      <c r="A154" s="91"/>
      <c r="B154" s="32">
        <v>5</v>
      </c>
      <c r="C154" s="32">
        <v>1111498</v>
      </c>
      <c r="D154" s="39">
        <v>45786</v>
      </c>
      <c r="E154" s="32" t="s">
        <v>15</v>
      </c>
      <c r="F154" s="32" t="str">
        <f t="shared" si="79"/>
        <v>M22</v>
      </c>
      <c r="G154" s="61" t="str">
        <f t="shared" si="80"/>
        <v>310</v>
      </c>
      <c r="H154" s="72" t="str">
        <f t="shared" si="81"/>
        <v>C6</v>
      </c>
      <c r="I154" s="72">
        <f t="shared" si="83"/>
        <v>1</v>
      </c>
      <c r="J154" s="37" t="s">
        <v>38</v>
      </c>
      <c r="K154" s="37">
        <v>28</v>
      </c>
      <c r="L154" s="17">
        <v>0.2</v>
      </c>
      <c r="M154" s="19">
        <v>4.66</v>
      </c>
      <c r="N154" s="18">
        <f t="shared" si="74"/>
        <v>4.46</v>
      </c>
      <c r="O154" s="20" t="str">
        <f t="shared" si="57"/>
        <v>OK</v>
      </c>
    </row>
    <row r="155" spans="1:15" ht="15" x14ac:dyDescent="0.25">
      <c r="A155" s="91"/>
      <c r="B155" s="32">
        <v>5</v>
      </c>
      <c r="C155" s="32">
        <v>1111498</v>
      </c>
      <c r="D155" s="39">
        <v>45786</v>
      </c>
      <c r="E155" s="32" t="s">
        <v>15</v>
      </c>
      <c r="F155" s="32" t="str">
        <f t="shared" si="79"/>
        <v>M22</v>
      </c>
      <c r="G155" s="61" t="str">
        <f t="shared" si="80"/>
        <v>310</v>
      </c>
      <c r="H155" s="72" t="s">
        <v>46</v>
      </c>
      <c r="I155" s="72">
        <v>2</v>
      </c>
      <c r="J155" s="37" t="s">
        <v>31</v>
      </c>
      <c r="K155" s="37">
        <v>29</v>
      </c>
      <c r="L155" s="17">
        <v>1.02</v>
      </c>
      <c r="M155" s="19">
        <v>4.0599999999999996</v>
      </c>
      <c r="N155" s="18">
        <f t="shared" si="74"/>
        <v>3.0399999999999996</v>
      </c>
      <c r="O155" s="20" t="str">
        <f t="shared" si="57"/>
        <v>OK</v>
      </c>
    </row>
    <row r="156" spans="1:15" ht="15" x14ac:dyDescent="0.25">
      <c r="A156" s="91"/>
      <c r="B156" s="32">
        <v>5</v>
      </c>
      <c r="C156" s="32">
        <v>1111498</v>
      </c>
      <c r="D156" s="39">
        <v>45786</v>
      </c>
      <c r="E156" s="32" t="s">
        <v>15</v>
      </c>
      <c r="F156" s="32" t="str">
        <f t="shared" si="79"/>
        <v>M22</v>
      </c>
      <c r="G156" s="61" t="str">
        <f t="shared" si="80"/>
        <v>310</v>
      </c>
      <c r="H156" s="72" t="str">
        <f t="shared" ref="H156:H162" si="84">H155</f>
        <v>C5</v>
      </c>
      <c r="I156" s="72">
        <f t="shared" ref="I156:I158" si="85">I155</f>
        <v>2</v>
      </c>
      <c r="J156" s="37" t="s">
        <v>32</v>
      </c>
      <c r="K156" s="37">
        <v>29</v>
      </c>
      <c r="L156" s="17">
        <v>0.15</v>
      </c>
      <c r="M156" s="19">
        <v>1.05</v>
      </c>
      <c r="N156" s="18">
        <f t="shared" si="74"/>
        <v>0.9</v>
      </c>
      <c r="O156" s="20" t="str">
        <f t="shared" si="57"/>
        <v>Seguimiento</v>
      </c>
    </row>
    <row r="157" spans="1:15" ht="15" x14ac:dyDescent="0.25">
      <c r="A157" s="91"/>
      <c r="B157" s="32">
        <v>5</v>
      </c>
      <c r="C157" s="32">
        <v>1111498</v>
      </c>
      <c r="D157" s="39">
        <v>45786</v>
      </c>
      <c r="E157" s="32" t="s">
        <v>15</v>
      </c>
      <c r="F157" s="32" t="str">
        <f t="shared" si="79"/>
        <v>M22</v>
      </c>
      <c r="G157" s="61" t="str">
        <f t="shared" si="80"/>
        <v>310</v>
      </c>
      <c r="H157" s="72" t="str">
        <f t="shared" si="84"/>
        <v>C5</v>
      </c>
      <c r="I157" s="72">
        <f t="shared" si="85"/>
        <v>2</v>
      </c>
      <c r="J157" s="37" t="s">
        <v>33</v>
      </c>
      <c r="K157" s="37">
        <v>30</v>
      </c>
      <c r="L157" s="17">
        <v>0.45</v>
      </c>
      <c r="M157" s="19">
        <v>1.42</v>
      </c>
      <c r="N157" s="18">
        <f t="shared" si="74"/>
        <v>0.97</v>
      </c>
      <c r="O157" s="20" t="str">
        <f t="shared" si="57"/>
        <v>Seguimiento</v>
      </c>
    </row>
    <row r="158" spans="1:15" ht="15" x14ac:dyDescent="0.25">
      <c r="A158" s="91"/>
      <c r="B158" s="32">
        <v>5</v>
      </c>
      <c r="C158" s="32">
        <v>1111498</v>
      </c>
      <c r="D158" s="39">
        <v>45786</v>
      </c>
      <c r="E158" s="32" t="s">
        <v>15</v>
      </c>
      <c r="F158" s="32" t="str">
        <f t="shared" si="79"/>
        <v>M22</v>
      </c>
      <c r="G158" s="61" t="str">
        <f t="shared" si="80"/>
        <v>310</v>
      </c>
      <c r="H158" s="72" t="str">
        <f t="shared" si="84"/>
        <v>C5</v>
      </c>
      <c r="I158" s="72">
        <f t="shared" si="85"/>
        <v>2</v>
      </c>
      <c r="J158" s="37" t="s">
        <v>34</v>
      </c>
      <c r="K158" s="37">
        <v>30</v>
      </c>
      <c r="L158" s="17">
        <v>0.11</v>
      </c>
      <c r="M158" s="19">
        <v>1.05</v>
      </c>
      <c r="N158" s="18">
        <f t="shared" si="74"/>
        <v>0.94000000000000006</v>
      </c>
      <c r="O158" s="20" t="str">
        <f t="shared" si="57"/>
        <v>Seguimiento</v>
      </c>
    </row>
    <row r="159" spans="1:15" ht="15" x14ac:dyDescent="0.25">
      <c r="A159" s="91"/>
      <c r="B159" s="32">
        <v>5</v>
      </c>
      <c r="C159" s="32">
        <v>1111498</v>
      </c>
      <c r="D159" s="39">
        <v>45786</v>
      </c>
      <c r="E159" s="32" t="s">
        <v>15</v>
      </c>
      <c r="F159" s="32" t="str">
        <f t="shared" si="79"/>
        <v>M22</v>
      </c>
      <c r="G159" s="61" t="str">
        <f t="shared" si="80"/>
        <v>310</v>
      </c>
      <c r="H159" s="72" t="str">
        <f t="shared" si="84"/>
        <v>C5</v>
      </c>
      <c r="I159" s="72">
        <v>1</v>
      </c>
      <c r="J159" s="37" t="s">
        <v>35</v>
      </c>
      <c r="K159" s="37">
        <v>31</v>
      </c>
      <c r="L159" s="17">
        <v>0.36</v>
      </c>
      <c r="M159" s="19">
        <v>1.47</v>
      </c>
      <c r="N159" s="18">
        <f t="shared" si="74"/>
        <v>1.1099999999999999</v>
      </c>
      <c r="O159" s="20" t="str">
        <f t="shared" si="57"/>
        <v>OK</v>
      </c>
    </row>
    <row r="160" spans="1:15" ht="15" x14ac:dyDescent="0.25">
      <c r="A160" s="91"/>
      <c r="B160" s="32">
        <v>5</v>
      </c>
      <c r="C160" s="32">
        <v>1111498</v>
      </c>
      <c r="D160" s="39">
        <v>45786</v>
      </c>
      <c r="E160" s="32" t="s">
        <v>15</v>
      </c>
      <c r="F160" s="32" t="str">
        <f t="shared" si="79"/>
        <v>M22</v>
      </c>
      <c r="G160" s="61" t="str">
        <f t="shared" si="80"/>
        <v>310</v>
      </c>
      <c r="H160" s="72" t="str">
        <f t="shared" si="84"/>
        <v>C5</v>
      </c>
      <c r="I160" s="72">
        <f t="shared" ref="I160:I162" si="86">I159</f>
        <v>1</v>
      </c>
      <c r="J160" s="37" t="s">
        <v>36</v>
      </c>
      <c r="K160" s="37">
        <v>31</v>
      </c>
      <c r="L160" s="17">
        <v>0.56000000000000005</v>
      </c>
      <c r="M160" s="19">
        <v>2.0499999999999998</v>
      </c>
      <c r="N160" s="18">
        <f t="shared" si="74"/>
        <v>1.4899999999999998</v>
      </c>
      <c r="O160" s="20" t="str">
        <f t="shared" si="57"/>
        <v>OK</v>
      </c>
    </row>
    <row r="161" spans="1:15" ht="15" x14ac:dyDescent="0.25">
      <c r="A161" s="91"/>
      <c r="B161" s="32">
        <v>5</v>
      </c>
      <c r="C161" s="32">
        <v>1111498</v>
      </c>
      <c r="D161" s="39">
        <v>45786</v>
      </c>
      <c r="E161" s="32" t="s">
        <v>15</v>
      </c>
      <c r="F161" s="32" t="str">
        <f t="shared" si="79"/>
        <v>M22</v>
      </c>
      <c r="G161" s="61" t="str">
        <f t="shared" si="80"/>
        <v>310</v>
      </c>
      <c r="H161" s="72" t="str">
        <f t="shared" si="84"/>
        <v>C5</v>
      </c>
      <c r="I161" s="72">
        <f t="shared" si="86"/>
        <v>1</v>
      </c>
      <c r="J161" s="37" t="s">
        <v>37</v>
      </c>
      <c r="K161" s="37">
        <v>32</v>
      </c>
      <c r="L161" s="17">
        <v>0.74</v>
      </c>
      <c r="M161" s="19">
        <v>4.45</v>
      </c>
      <c r="N161" s="18">
        <f t="shared" si="74"/>
        <v>3.71</v>
      </c>
      <c r="O161" s="20" t="str">
        <f t="shared" si="57"/>
        <v>OK</v>
      </c>
    </row>
    <row r="162" spans="1:15" ht="15" x14ac:dyDescent="0.25">
      <c r="A162" s="91"/>
      <c r="B162" s="32">
        <v>5</v>
      </c>
      <c r="C162" s="32">
        <v>1111498</v>
      </c>
      <c r="D162" s="39">
        <v>45786</v>
      </c>
      <c r="E162" s="32" t="s">
        <v>15</v>
      </c>
      <c r="F162" s="32" t="str">
        <f t="shared" si="79"/>
        <v>M22</v>
      </c>
      <c r="G162" s="61" t="str">
        <f t="shared" si="80"/>
        <v>310</v>
      </c>
      <c r="H162" s="72" t="str">
        <f t="shared" si="84"/>
        <v>C5</v>
      </c>
      <c r="I162" s="72">
        <f t="shared" si="86"/>
        <v>1</v>
      </c>
      <c r="J162" s="37" t="s">
        <v>38</v>
      </c>
      <c r="K162" s="37">
        <v>32</v>
      </c>
      <c r="L162" s="23">
        <v>0.08</v>
      </c>
      <c r="M162" s="24">
        <v>1.1599999999999999</v>
      </c>
      <c r="N162" s="18">
        <f t="shared" si="74"/>
        <v>1.0799999999999998</v>
      </c>
      <c r="O162" s="20" t="str">
        <f t="shared" si="57"/>
        <v>OK</v>
      </c>
    </row>
    <row r="163" spans="1:15" ht="15" x14ac:dyDescent="0.25">
      <c r="A163" s="91"/>
      <c r="B163" s="32">
        <v>5</v>
      </c>
      <c r="C163" s="32">
        <v>1111498</v>
      </c>
      <c r="D163" s="39">
        <v>45786</v>
      </c>
      <c r="E163" s="32" t="s">
        <v>15</v>
      </c>
      <c r="F163" s="32" t="s">
        <v>40</v>
      </c>
      <c r="G163" s="61" t="s">
        <v>73</v>
      </c>
      <c r="H163" s="72" t="s">
        <v>43</v>
      </c>
      <c r="I163" s="72">
        <v>1</v>
      </c>
      <c r="J163" s="37" t="s">
        <v>31</v>
      </c>
      <c r="K163" s="37">
        <v>33</v>
      </c>
      <c r="L163" s="17">
        <v>0.43</v>
      </c>
      <c r="M163" s="17">
        <v>3.39</v>
      </c>
      <c r="N163" s="18">
        <f t="shared" si="74"/>
        <v>2.96</v>
      </c>
      <c r="O163" s="20" t="str">
        <f t="shared" si="57"/>
        <v>OK</v>
      </c>
    </row>
    <row r="164" spans="1:15" ht="15" x14ac:dyDescent="0.25">
      <c r="A164" s="91"/>
      <c r="B164" s="32">
        <v>5</v>
      </c>
      <c r="C164" s="32">
        <v>1111498</v>
      </c>
      <c r="D164" s="39">
        <v>45786</v>
      </c>
      <c r="E164" s="32" t="s">
        <v>15</v>
      </c>
      <c r="F164" s="32" t="str">
        <f t="shared" ref="F164:F178" si="87">F163</f>
        <v>M21</v>
      </c>
      <c r="G164" s="61" t="str">
        <f t="shared" ref="G164:G178" si="88">G163</f>
        <v>022</v>
      </c>
      <c r="H164" s="72" t="str">
        <f t="shared" ref="H164:H170" si="89">H163</f>
        <v>C4</v>
      </c>
      <c r="I164" s="72">
        <f t="shared" ref="I164:I166" si="90">I163</f>
        <v>1</v>
      </c>
      <c r="J164" s="37" t="s">
        <v>32</v>
      </c>
      <c r="K164" s="37">
        <v>33</v>
      </c>
      <c r="L164" s="17">
        <v>0.88</v>
      </c>
      <c r="M164" s="17">
        <v>3.79</v>
      </c>
      <c r="N164" s="18">
        <f t="shared" si="74"/>
        <v>2.91</v>
      </c>
      <c r="O164" s="20" t="str">
        <f t="shared" ref="O164:O194" si="91">IF(N164&lt;=0,"Critico",IF(N164&lt;=0.2,"Cambio",IF(N164&lt;=1,"Seguimiento",IF(L164&gt;=2,"Reperfilado","OK"))))</f>
        <v>OK</v>
      </c>
    </row>
    <row r="165" spans="1:15" ht="15" x14ac:dyDescent="0.25">
      <c r="A165" s="91"/>
      <c r="B165" s="32">
        <v>5</v>
      </c>
      <c r="C165" s="32">
        <v>1111498</v>
      </c>
      <c r="D165" s="39">
        <v>45786</v>
      </c>
      <c r="E165" s="32" t="s">
        <v>15</v>
      </c>
      <c r="F165" s="32" t="str">
        <f t="shared" si="87"/>
        <v>M21</v>
      </c>
      <c r="G165" s="61" t="str">
        <f t="shared" si="88"/>
        <v>022</v>
      </c>
      <c r="H165" s="72" t="str">
        <f t="shared" si="89"/>
        <v>C4</v>
      </c>
      <c r="I165" s="72">
        <f t="shared" si="90"/>
        <v>1</v>
      </c>
      <c r="J165" s="37" t="s">
        <v>33</v>
      </c>
      <c r="K165" s="37">
        <v>34</v>
      </c>
      <c r="L165" s="17">
        <v>1.53</v>
      </c>
      <c r="M165" s="17">
        <v>3.8</v>
      </c>
      <c r="N165" s="18">
        <f t="shared" si="74"/>
        <v>2.2699999999999996</v>
      </c>
      <c r="O165" s="20" t="str">
        <f t="shared" si="91"/>
        <v>OK</v>
      </c>
    </row>
    <row r="166" spans="1:15" ht="15" x14ac:dyDescent="0.25">
      <c r="A166" s="91"/>
      <c r="B166" s="32">
        <v>5</v>
      </c>
      <c r="C166" s="32">
        <v>1111498</v>
      </c>
      <c r="D166" s="39">
        <v>45786</v>
      </c>
      <c r="E166" s="32" t="s">
        <v>15</v>
      </c>
      <c r="F166" s="32" t="str">
        <f t="shared" si="87"/>
        <v>M21</v>
      </c>
      <c r="G166" s="61" t="str">
        <f t="shared" si="88"/>
        <v>022</v>
      </c>
      <c r="H166" s="72" t="str">
        <f t="shared" si="89"/>
        <v>C4</v>
      </c>
      <c r="I166" s="72">
        <f t="shared" si="90"/>
        <v>1</v>
      </c>
      <c r="J166" s="37" t="s">
        <v>34</v>
      </c>
      <c r="K166" s="37">
        <v>34</v>
      </c>
      <c r="L166" s="17">
        <v>0.73</v>
      </c>
      <c r="M166" s="17">
        <v>3.91</v>
      </c>
      <c r="N166" s="18">
        <f t="shared" si="74"/>
        <v>3.18</v>
      </c>
      <c r="O166" s="20" t="str">
        <f t="shared" si="91"/>
        <v>OK</v>
      </c>
    </row>
    <row r="167" spans="1:15" ht="15" x14ac:dyDescent="0.25">
      <c r="A167" s="91"/>
      <c r="B167" s="32">
        <v>5</v>
      </c>
      <c r="C167" s="32">
        <v>1111498</v>
      </c>
      <c r="D167" s="39">
        <v>45786</v>
      </c>
      <c r="E167" s="32" t="s">
        <v>15</v>
      </c>
      <c r="F167" s="32" t="str">
        <f t="shared" si="87"/>
        <v>M21</v>
      </c>
      <c r="G167" s="61" t="str">
        <f t="shared" si="88"/>
        <v>022</v>
      </c>
      <c r="H167" s="72" t="str">
        <f t="shared" si="89"/>
        <v>C4</v>
      </c>
      <c r="I167" s="72">
        <v>2</v>
      </c>
      <c r="J167" s="37" t="s">
        <v>35</v>
      </c>
      <c r="K167" s="37">
        <v>35</v>
      </c>
      <c r="L167" s="17">
        <v>0.47</v>
      </c>
      <c r="M167" s="17">
        <v>4.59</v>
      </c>
      <c r="N167" s="18">
        <f t="shared" si="74"/>
        <v>4.12</v>
      </c>
      <c r="O167" s="20" t="str">
        <f t="shared" si="91"/>
        <v>OK</v>
      </c>
    </row>
    <row r="168" spans="1:15" ht="15" x14ac:dyDescent="0.25">
      <c r="A168" s="91"/>
      <c r="B168" s="32">
        <v>5</v>
      </c>
      <c r="C168" s="32">
        <v>1111498</v>
      </c>
      <c r="D168" s="39">
        <v>45786</v>
      </c>
      <c r="E168" s="32" t="s">
        <v>15</v>
      </c>
      <c r="F168" s="32" t="str">
        <f t="shared" si="87"/>
        <v>M21</v>
      </c>
      <c r="G168" s="61" t="str">
        <f t="shared" si="88"/>
        <v>022</v>
      </c>
      <c r="H168" s="72" t="str">
        <f t="shared" si="89"/>
        <v>C4</v>
      </c>
      <c r="I168" s="72">
        <f t="shared" ref="I168:I170" si="92">I167</f>
        <v>2</v>
      </c>
      <c r="J168" s="37" t="s">
        <v>36</v>
      </c>
      <c r="K168" s="37">
        <v>35</v>
      </c>
      <c r="L168" s="17">
        <v>0.97</v>
      </c>
      <c r="M168" s="17">
        <v>2.92</v>
      </c>
      <c r="N168" s="18">
        <f t="shared" si="74"/>
        <v>1.95</v>
      </c>
      <c r="O168" s="20" t="str">
        <f t="shared" si="91"/>
        <v>OK</v>
      </c>
    </row>
    <row r="169" spans="1:15" ht="15" x14ac:dyDescent="0.25">
      <c r="A169" s="91"/>
      <c r="B169" s="32">
        <v>5</v>
      </c>
      <c r="C169" s="32">
        <v>1111498</v>
      </c>
      <c r="D169" s="39">
        <v>45786</v>
      </c>
      <c r="E169" s="32" t="s">
        <v>15</v>
      </c>
      <c r="F169" s="32" t="str">
        <f t="shared" si="87"/>
        <v>M21</v>
      </c>
      <c r="G169" s="61" t="str">
        <f t="shared" si="88"/>
        <v>022</v>
      </c>
      <c r="H169" s="72" t="str">
        <f t="shared" si="89"/>
        <v>C4</v>
      </c>
      <c r="I169" s="72">
        <f t="shared" si="92"/>
        <v>2</v>
      </c>
      <c r="J169" s="37" t="s">
        <v>37</v>
      </c>
      <c r="K169" s="37">
        <v>36</v>
      </c>
      <c r="L169" s="17">
        <v>0.73</v>
      </c>
      <c r="M169" s="17">
        <v>2.2000000000000002</v>
      </c>
      <c r="N169" s="18">
        <f t="shared" si="74"/>
        <v>1.4700000000000002</v>
      </c>
      <c r="O169" s="20" t="str">
        <f t="shared" si="91"/>
        <v>OK</v>
      </c>
    </row>
    <row r="170" spans="1:15" ht="15" x14ac:dyDescent="0.25">
      <c r="A170" s="91"/>
      <c r="B170" s="32">
        <v>5</v>
      </c>
      <c r="C170" s="32">
        <v>1111498</v>
      </c>
      <c r="D170" s="39">
        <v>45786</v>
      </c>
      <c r="E170" s="32" t="s">
        <v>15</v>
      </c>
      <c r="F170" s="32" t="str">
        <f t="shared" si="87"/>
        <v>M21</v>
      </c>
      <c r="G170" s="61" t="str">
        <f t="shared" si="88"/>
        <v>022</v>
      </c>
      <c r="H170" s="72" t="str">
        <f t="shared" si="89"/>
        <v>C4</v>
      </c>
      <c r="I170" s="72">
        <f t="shared" si="92"/>
        <v>2</v>
      </c>
      <c r="J170" s="37" t="s">
        <v>38</v>
      </c>
      <c r="K170" s="37">
        <v>36</v>
      </c>
      <c r="L170" s="17">
        <v>1.23</v>
      </c>
      <c r="M170" s="17">
        <v>4.43</v>
      </c>
      <c r="N170" s="18">
        <f t="shared" si="74"/>
        <v>3.1999999999999997</v>
      </c>
      <c r="O170" s="20" t="str">
        <f t="shared" si="91"/>
        <v>OK</v>
      </c>
    </row>
    <row r="171" spans="1:15" ht="15" x14ac:dyDescent="0.25">
      <c r="A171" s="91"/>
      <c r="B171" s="32">
        <v>5</v>
      </c>
      <c r="C171" s="32">
        <v>1111498</v>
      </c>
      <c r="D171" s="39">
        <v>45786</v>
      </c>
      <c r="E171" s="32" t="s">
        <v>15</v>
      </c>
      <c r="F171" s="32" t="str">
        <f t="shared" si="87"/>
        <v>M21</v>
      </c>
      <c r="G171" s="61" t="str">
        <f t="shared" si="88"/>
        <v>022</v>
      </c>
      <c r="H171" s="72" t="s">
        <v>42</v>
      </c>
      <c r="I171" s="72">
        <v>1</v>
      </c>
      <c r="J171" s="37" t="s">
        <v>31</v>
      </c>
      <c r="K171" s="37">
        <v>37</v>
      </c>
      <c r="L171" s="17">
        <v>0.35</v>
      </c>
      <c r="M171" s="17">
        <v>1.29</v>
      </c>
      <c r="N171" s="18">
        <f t="shared" si="74"/>
        <v>0.94000000000000006</v>
      </c>
      <c r="O171" s="20" t="str">
        <f t="shared" si="91"/>
        <v>Seguimiento</v>
      </c>
    </row>
    <row r="172" spans="1:15" ht="15" x14ac:dyDescent="0.25">
      <c r="A172" s="91"/>
      <c r="B172" s="32">
        <v>5</v>
      </c>
      <c r="C172" s="32">
        <v>1111498</v>
      </c>
      <c r="D172" s="39">
        <v>45786</v>
      </c>
      <c r="E172" s="32" t="s">
        <v>15</v>
      </c>
      <c r="F172" s="32" t="str">
        <f t="shared" si="87"/>
        <v>M21</v>
      </c>
      <c r="G172" s="61" t="str">
        <f t="shared" si="88"/>
        <v>022</v>
      </c>
      <c r="H172" s="72" t="str">
        <f t="shared" ref="H172:H178" si="93">H171</f>
        <v>C3</v>
      </c>
      <c r="I172" s="72">
        <f t="shared" ref="I172:I174" si="94">I171</f>
        <v>1</v>
      </c>
      <c r="J172" s="37" t="s">
        <v>32</v>
      </c>
      <c r="K172" s="37">
        <v>37</v>
      </c>
      <c r="L172" s="17">
        <v>0.83</v>
      </c>
      <c r="M172" s="17">
        <v>3.59</v>
      </c>
      <c r="N172" s="18">
        <f t="shared" si="74"/>
        <v>2.76</v>
      </c>
      <c r="O172" s="20" t="str">
        <f t="shared" si="91"/>
        <v>OK</v>
      </c>
    </row>
    <row r="173" spans="1:15" ht="15" x14ac:dyDescent="0.25">
      <c r="A173" s="91"/>
      <c r="B173" s="32">
        <v>5</v>
      </c>
      <c r="C173" s="32">
        <v>1111498</v>
      </c>
      <c r="D173" s="39">
        <v>45786</v>
      </c>
      <c r="E173" s="32" t="s">
        <v>15</v>
      </c>
      <c r="F173" s="32" t="str">
        <f t="shared" si="87"/>
        <v>M21</v>
      </c>
      <c r="G173" s="61" t="str">
        <f t="shared" si="88"/>
        <v>022</v>
      </c>
      <c r="H173" s="72" t="str">
        <f t="shared" si="93"/>
        <v>C3</v>
      </c>
      <c r="I173" s="72">
        <f t="shared" si="94"/>
        <v>1</v>
      </c>
      <c r="J173" s="37" t="s">
        <v>33</v>
      </c>
      <c r="K173" s="37">
        <v>38</v>
      </c>
      <c r="L173" s="17">
        <v>0.1</v>
      </c>
      <c r="M173" s="17">
        <v>4.57</v>
      </c>
      <c r="N173" s="18">
        <f t="shared" si="74"/>
        <v>4.4700000000000006</v>
      </c>
      <c r="O173" s="20" t="str">
        <f t="shared" si="91"/>
        <v>OK</v>
      </c>
    </row>
    <row r="174" spans="1:15" ht="15" x14ac:dyDescent="0.25">
      <c r="A174" s="91"/>
      <c r="B174" s="32">
        <v>5</v>
      </c>
      <c r="C174" s="32">
        <v>1111498</v>
      </c>
      <c r="D174" s="39">
        <v>45786</v>
      </c>
      <c r="E174" s="32" t="s">
        <v>15</v>
      </c>
      <c r="F174" s="32" t="str">
        <f t="shared" si="87"/>
        <v>M21</v>
      </c>
      <c r="G174" s="61" t="str">
        <f t="shared" si="88"/>
        <v>022</v>
      </c>
      <c r="H174" s="72" t="str">
        <f t="shared" si="93"/>
        <v>C3</v>
      </c>
      <c r="I174" s="72">
        <f t="shared" si="94"/>
        <v>1</v>
      </c>
      <c r="J174" s="37" t="s">
        <v>34</v>
      </c>
      <c r="K174" s="37">
        <v>38</v>
      </c>
      <c r="L174" s="17">
        <v>1.1399999999999999</v>
      </c>
      <c r="M174" s="17">
        <v>2.98</v>
      </c>
      <c r="N174" s="18">
        <f t="shared" si="74"/>
        <v>1.84</v>
      </c>
      <c r="O174" s="20" t="str">
        <f t="shared" si="91"/>
        <v>OK</v>
      </c>
    </row>
    <row r="175" spans="1:15" ht="15" x14ac:dyDescent="0.25">
      <c r="A175" s="91"/>
      <c r="B175" s="32">
        <v>5</v>
      </c>
      <c r="C175" s="32">
        <v>1111498</v>
      </c>
      <c r="D175" s="39">
        <v>45786</v>
      </c>
      <c r="E175" s="32" t="s">
        <v>15</v>
      </c>
      <c r="F175" s="32" t="str">
        <f t="shared" si="87"/>
        <v>M21</v>
      </c>
      <c r="G175" s="61" t="str">
        <f t="shared" si="88"/>
        <v>022</v>
      </c>
      <c r="H175" s="72" t="str">
        <f t="shared" si="93"/>
        <v>C3</v>
      </c>
      <c r="I175" s="72">
        <v>2</v>
      </c>
      <c r="J175" s="37" t="s">
        <v>35</v>
      </c>
      <c r="K175" s="37">
        <v>39</v>
      </c>
      <c r="L175" s="17">
        <v>0.4</v>
      </c>
      <c r="M175" s="17">
        <v>0.55000000000000004</v>
      </c>
      <c r="N175" s="18">
        <f t="shared" si="74"/>
        <v>0.15000000000000002</v>
      </c>
      <c r="O175" s="20" t="str">
        <f t="shared" si="91"/>
        <v>Cambio</v>
      </c>
    </row>
    <row r="176" spans="1:15" ht="15" x14ac:dyDescent="0.25">
      <c r="A176" s="91"/>
      <c r="B176" s="32">
        <v>5</v>
      </c>
      <c r="C176" s="32">
        <v>1111498</v>
      </c>
      <c r="D176" s="39">
        <v>45786</v>
      </c>
      <c r="E176" s="32" t="s">
        <v>15</v>
      </c>
      <c r="F176" s="32" t="str">
        <f t="shared" si="87"/>
        <v>M21</v>
      </c>
      <c r="G176" s="61" t="str">
        <f t="shared" si="88"/>
        <v>022</v>
      </c>
      <c r="H176" s="72" t="str">
        <f t="shared" si="93"/>
        <v>C3</v>
      </c>
      <c r="I176" s="72">
        <f t="shared" ref="I176:I178" si="95">I175</f>
        <v>2</v>
      </c>
      <c r="J176" s="37" t="s">
        <v>36</v>
      </c>
      <c r="K176" s="37">
        <v>39</v>
      </c>
      <c r="L176" s="17">
        <v>0.94</v>
      </c>
      <c r="M176" s="17">
        <v>4.03</v>
      </c>
      <c r="N176" s="18">
        <f t="shared" si="74"/>
        <v>3.0900000000000003</v>
      </c>
      <c r="O176" s="20" t="str">
        <f t="shared" si="91"/>
        <v>OK</v>
      </c>
    </row>
    <row r="177" spans="1:15" ht="15" x14ac:dyDescent="0.25">
      <c r="A177" s="91"/>
      <c r="B177" s="32">
        <v>5</v>
      </c>
      <c r="C177" s="32">
        <v>1111498</v>
      </c>
      <c r="D177" s="39">
        <v>45786</v>
      </c>
      <c r="E177" s="32" t="s">
        <v>15</v>
      </c>
      <c r="F177" s="32" t="str">
        <f t="shared" si="87"/>
        <v>M21</v>
      </c>
      <c r="G177" s="61" t="str">
        <f t="shared" si="88"/>
        <v>022</v>
      </c>
      <c r="H177" s="72" t="str">
        <f t="shared" si="93"/>
        <v>C3</v>
      </c>
      <c r="I177" s="72">
        <f t="shared" si="95"/>
        <v>2</v>
      </c>
      <c r="J177" s="37" t="s">
        <v>37</v>
      </c>
      <c r="K177" s="37">
        <v>40</v>
      </c>
      <c r="L177" s="17">
        <v>1.08</v>
      </c>
      <c r="M177" s="17">
        <v>4.6399999999999997</v>
      </c>
      <c r="N177" s="18">
        <f t="shared" si="74"/>
        <v>3.5599999999999996</v>
      </c>
      <c r="O177" s="20" t="str">
        <f t="shared" si="91"/>
        <v>OK</v>
      </c>
    </row>
    <row r="178" spans="1:15" ht="15" x14ac:dyDescent="0.25">
      <c r="A178" s="91"/>
      <c r="B178" s="32">
        <v>5</v>
      </c>
      <c r="C178" s="32">
        <v>1111498</v>
      </c>
      <c r="D178" s="39">
        <v>45786</v>
      </c>
      <c r="E178" s="32" t="s">
        <v>15</v>
      </c>
      <c r="F178" s="32" t="str">
        <f t="shared" si="87"/>
        <v>M21</v>
      </c>
      <c r="G178" s="61" t="str">
        <f t="shared" si="88"/>
        <v>022</v>
      </c>
      <c r="H178" s="72" t="str">
        <f t="shared" si="93"/>
        <v>C3</v>
      </c>
      <c r="I178" s="72">
        <f t="shared" si="95"/>
        <v>2</v>
      </c>
      <c r="J178" s="37" t="s">
        <v>38</v>
      </c>
      <c r="K178" s="37">
        <v>40</v>
      </c>
      <c r="L178" s="17">
        <v>0.05</v>
      </c>
      <c r="M178" s="17">
        <v>4.99</v>
      </c>
      <c r="N178" s="18">
        <f t="shared" si="74"/>
        <v>4.9400000000000004</v>
      </c>
      <c r="O178" s="20" t="str">
        <f t="shared" si="91"/>
        <v>OK</v>
      </c>
    </row>
    <row r="179" spans="1:15" ht="15" x14ac:dyDescent="0.25">
      <c r="A179" s="91"/>
      <c r="B179" s="32">
        <v>5</v>
      </c>
      <c r="C179" s="32">
        <v>1111498</v>
      </c>
      <c r="D179" s="39">
        <v>45786</v>
      </c>
      <c r="E179" s="32" t="s">
        <v>15</v>
      </c>
      <c r="F179" s="32" t="s">
        <v>28</v>
      </c>
      <c r="G179" s="61" t="s">
        <v>74</v>
      </c>
      <c r="H179" s="72" t="s">
        <v>39</v>
      </c>
      <c r="I179" s="72">
        <v>1</v>
      </c>
      <c r="J179" s="37" t="s">
        <v>31</v>
      </c>
      <c r="K179" s="37">
        <v>41</v>
      </c>
      <c r="L179" s="17">
        <v>1.41</v>
      </c>
      <c r="M179" s="17">
        <v>4.53</v>
      </c>
      <c r="N179" s="18">
        <f t="shared" si="74"/>
        <v>3.12</v>
      </c>
      <c r="O179" s="20" t="str">
        <f t="shared" si="91"/>
        <v>OK</v>
      </c>
    </row>
    <row r="180" spans="1:15" ht="15" x14ac:dyDescent="0.25">
      <c r="A180" s="91"/>
      <c r="B180" s="32">
        <v>5</v>
      </c>
      <c r="C180" s="32">
        <v>1111498</v>
      </c>
      <c r="D180" s="39">
        <v>45786</v>
      </c>
      <c r="E180" s="32" t="s">
        <v>15</v>
      </c>
      <c r="F180" s="32" t="str">
        <f t="shared" ref="F180:F194" si="96">F179</f>
        <v>M20</v>
      </c>
      <c r="G180" s="61" t="str">
        <f t="shared" ref="G180:G194" si="97">G179</f>
        <v>021</v>
      </c>
      <c r="H180" s="72" t="str">
        <f t="shared" ref="H180:H186" si="98">H179</f>
        <v>C2</v>
      </c>
      <c r="I180" s="72">
        <f t="shared" ref="I180:I182" si="99">I179</f>
        <v>1</v>
      </c>
      <c r="J180" s="37" t="s">
        <v>32</v>
      </c>
      <c r="K180" s="37">
        <v>41</v>
      </c>
      <c r="L180" s="17">
        <v>0.44</v>
      </c>
      <c r="M180" s="17">
        <v>3.34</v>
      </c>
      <c r="N180" s="18">
        <f t="shared" si="74"/>
        <v>2.9</v>
      </c>
      <c r="O180" s="20" t="str">
        <f t="shared" si="91"/>
        <v>OK</v>
      </c>
    </row>
    <row r="181" spans="1:15" ht="15" x14ac:dyDescent="0.25">
      <c r="A181" s="91"/>
      <c r="B181" s="32">
        <v>5</v>
      </c>
      <c r="C181" s="32">
        <v>1111498</v>
      </c>
      <c r="D181" s="39">
        <v>45786</v>
      </c>
      <c r="E181" s="32" t="s">
        <v>15</v>
      </c>
      <c r="F181" s="32" t="str">
        <f t="shared" si="96"/>
        <v>M20</v>
      </c>
      <c r="G181" s="61" t="str">
        <f t="shared" si="97"/>
        <v>021</v>
      </c>
      <c r="H181" s="72" t="str">
        <f t="shared" si="98"/>
        <v>C2</v>
      </c>
      <c r="I181" s="72">
        <f t="shared" si="99"/>
        <v>1</v>
      </c>
      <c r="J181" s="37" t="s">
        <v>33</v>
      </c>
      <c r="K181" s="37">
        <v>42</v>
      </c>
      <c r="L181" s="17">
        <v>0.71</v>
      </c>
      <c r="M181" s="17">
        <v>4.37</v>
      </c>
      <c r="N181" s="18">
        <f t="shared" si="74"/>
        <v>3.66</v>
      </c>
      <c r="O181" s="20" t="str">
        <f t="shared" si="91"/>
        <v>OK</v>
      </c>
    </row>
    <row r="182" spans="1:15" ht="15" x14ac:dyDescent="0.25">
      <c r="A182" s="91"/>
      <c r="B182" s="32">
        <v>5</v>
      </c>
      <c r="C182" s="32">
        <v>1111498</v>
      </c>
      <c r="D182" s="39">
        <v>45786</v>
      </c>
      <c r="E182" s="32" t="s">
        <v>15</v>
      </c>
      <c r="F182" s="32" t="str">
        <f t="shared" si="96"/>
        <v>M20</v>
      </c>
      <c r="G182" s="61" t="str">
        <f t="shared" si="97"/>
        <v>021</v>
      </c>
      <c r="H182" s="72" t="str">
        <f t="shared" si="98"/>
        <v>C2</v>
      </c>
      <c r="I182" s="72">
        <f t="shared" si="99"/>
        <v>1</v>
      </c>
      <c r="J182" s="37" t="s">
        <v>34</v>
      </c>
      <c r="K182" s="37">
        <v>42</v>
      </c>
      <c r="L182" s="17">
        <v>0.3</v>
      </c>
      <c r="M182" s="17">
        <v>2.34</v>
      </c>
      <c r="N182" s="18">
        <f t="shared" si="74"/>
        <v>2.04</v>
      </c>
      <c r="O182" s="20" t="str">
        <f t="shared" si="91"/>
        <v>OK</v>
      </c>
    </row>
    <row r="183" spans="1:15" ht="15" x14ac:dyDescent="0.25">
      <c r="A183" s="91"/>
      <c r="B183" s="32">
        <v>5</v>
      </c>
      <c r="C183" s="32">
        <v>1111498</v>
      </c>
      <c r="D183" s="39">
        <v>45786</v>
      </c>
      <c r="E183" s="32" t="s">
        <v>15</v>
      </c>
      <c r="F183" s="32" t="str">
        <f t="shared" si="96"/>
        <v>M20</v>
      </c>
      <c r="G183" s="61" t="str">
        <f t="shared" si="97"/>
        <v>021</v>
      </c>
      <c r="H183" s="72" t="str">
        <f t="shared" si="98"/>
        <v>C2</v>
      </c>
      <c r="I183" s="72">
        <v>2</v>
      </c>
      <c r="J183" s="37" t="s">
        <v>35</v>
      </c>
      <c r="K183" s="37">
        <v>43</v>
      </c>
      <c r="L183" s="17">
        <v>0.95</v>
      </c>
      <c r="M183" s="17">
        <v>4.7699999999999996</v>
      </c>
      <c r="N183" s="18">
        <f t="shared" si="74"/>
        <v>3.8199999999999994</v>
      </c>
      <c r="O183" s="20" t="str">
        <f t="shared" si="91"/>
        <v>OK</v>
      </c>
    </row>
    <row r="184" spans="1:15" ht="15" x14ac:dyDescent="0.25">
      <c r="A184" s="91"/>
      <c r="B184" s="32">
        <v>5</v>
      </c>
      <c r="C184" s="32">
        <v>1111498</v>
      </c>
      <c r="D184" s="39">
        <v>45786</v>
      </c>
      <c r="E184" s="32" t="s">
        <v>15</v>
      </c>
      <c r="F184" s="32" t="str">
        <f t="shared" si="96"/>
        <v>M20</v>
      </c>
      <c r="G184" s="61" t="str">
        <f t="shared" si="97"/>
        <v>021</v>
      </c>
      <c r="H184" s="72" t="str">
        <f t="shared" si="98"/>
        <v>C2</v>
      </c>
      <c r="I184" s="72">
        <f t="shared" ref="I184:I186" si="100">I183</f>
        <v>2</v>
      </c>
      <c r="J184" s="37" t="s">
        <v>36</v>
      </c>
      <c r="K184" s="37">
        <v>43</v>
      </c>
      <c r="L184" s="17">
        <v>0.78</v>
      </c>
      <c r="M184" s="17">
        <v>4.2300000000000004</v>
      </c>
      <c r="N184" s="18">
        <f t="shared" si="74"/>
        <v>3.45</v>
      </c>
      <c r="O184" s="20" t="str">
        <f t="shared" si="91"/>
        <v>OK</v>
      </c>
    </row>
    <row r="185" spans="1:15" ht="15" x14ac:dyDescent="0.25">
      <c r="A185" s="91"/>
      <c r="B185" s="32">
        <v>5</v>
      </c>
      <c r="C185" s="32">
        <v>1111498</v>
      </c>
      <c r="D185" s="39">
        <v>45786</v>
      </c>
      <c r="E185" s="32" t="s">
        <v>15</v>
      </c>
      <c r="F185" s="32" t="str">
        <f t="shared" si="96"/>
        <v>M20</v>
      </c>
      <c r="G185" s="61" t="str">
        <f t="shared" si="97"/>
        <v>021</v>
      </c>
      <c r="H185" s="72" t="str">
        <f t="shared" si="98"/>
        <v>C2</v>
      </c>
      <c r="I185" s="72">
        <f t="shared" si="100"/>
        <v>2</v>
      </c>
      <c r="J185" s="37" t="s">
        <v>37</v>
      </c>
      <c r="K185" s="37">
        <v>44</v>
      </c>
      <c r="L185" s="17">
        <v>7.0000000000000007E-2</v>
      </c>
      <c r="M185" s="17">
        <v>3.18</v>
      </c>
      <c r="N185" s="18">
        <f t="shared" si="74"/>
        <v>3.1100000000000003</v>
      </c>
      <c r="O185" s="20" t="str">
        <f t="shared" si="91"/>
        <v>OK</v>
      </c>
    </row>
    <row r="186" spans="1:15" ht="15" x14ac:dyDescent="0.25">
      <c r="A186" s="91"/>
      <c r="B186" s="32">
        <v>5</v>
      </c>
      <c r="C186" s="32">
        <v>1111498</v>
      </c>
      <c r="D186" s="39">
        <v>45786</v>
      </c>
      <c r="E186" s="32" t="s">
        <v>15</v>
      </c>
      <c r="F186" s="32" t="str">
        <f t="shared" si="96"/>
        <v>M20</v>
      </c>
      <c r="G186" s="61" t="str">
        <f t="shared" si="97"/>
        <v>021</v>
      </c>
      <c r="H186" s="72" t="str">
        <f t="shared" si="98"/>
        <v>C2</v>
      </c>
      <c r="I186" s="72">
        <f t="shared" si="100"/>
        <v>2</v>
      </c>
      <c r="J186" s="37" t="s">
        <v>38</v>
      </c>
      <c r="K186" s="37">
        <v>44</v>
      </c>
      <c r="L186" s="17">
        <v>0.47</v>
      </c>
      <c r="M186" s="17">
        <v>3.75</v>
      </c>
      <c r="N186" s="18">
        <f t="shared" si="74"/>
        <v>3.2800000000000002</v>
      </c>
      <c r="O186" s="20" t="str">
        <f t="shared" si="91"/>
        <v>OK</v>
      </c>
    </row>
    <row r="187" spans="1:15" ht="15" x14ac:dyDescent="0.25">
      <c r="A187" s="91"/>
      <c r="B187" s="32">
        <v>5</v>
      </c>
      <c r="C187" s="32">
        <v>1111498</v>
      </c>
      <c r="D187" s="39">
        <v>45786</v>
      </c>
      <c r="E187" s="32" t="s">
        <v>15</v>
      </c>
      <c r="F187" s="32" t="str">
        <f t="shared" si="96"/>
        <v>M20</v>
      </c>
      <c r="G187" s="61" t="str">
        <f t="shared" si="97"/>
        <v>021</v>
      </c>
      <c r="H187" s="72" t="s">
        <v>30</v>
      </c>
      <c r="I187" s="72">
        <v>1</v>
      </c>
      <c r="J187" s="37" t="s">
        <v>31</v>
      </c>
      <c r="K187" s="37">
        <v>45</v>
      </c>
      <c r="L187" s="17">
        <v>0.63</v>
      </c>
      <c r="M187" s="17">
        <v>3.8</v>
      </c>
      <c r="N187" s="18">
        <f t="shared" si="74"/>
        <v>3.17</v>
      </c>
      <c r="O187" s="20" t="str">
        <f t="shared" si="91"/>
        <v>OK</v>
      </c>
    </row>
    <row r="188" spans="1:15" ht="15" x14ac:dyDescent="0.25">
      <c r="A188" s="91"/>
      <c r="B188" s="32">
        <v>5</v>
      </c>
      <c r="C188" s="32">
        <v>1111498</v>
      </c>
      <c r="D188" s="39">
        <v>45786</v>
      </c>
      <c r="E188" s="32" t="s">
        <v>15</v>
      </c>
      <c r="F188" s="32" t="str">
        <f t="shared" si="96"/>
        <v>M20</v>
      </c>
      <c r="G188" s="61" t="str">
        <f t="shared" si="97"/>
        <v>021</v>
      </c>
      <c r="H188" s="72" t="str">
        <f t="shared" ref="H188:H194" si="101">H187</f>
        <v>C1</v>
      </c>
      <c r="I188" s="72">
        <f t="shared" ref="I188:I190" si="102">I187</f>
        <v>1</v>
      </c>
      <c r="J188" s="37" t="s">
        <v>32</v>
      </c>
      <c r="K188" s="37">
        <v>45</v>
      </c>
      <c r="L188" s="17">
        <v>0.22</v>
      </c>
      <c r="M188" s="17">
        <v>2.87</v>
      </c>
      <c r="N188" s="18">
        <f t="shared" si="74"/>
        <v>2.65</v>
      </c>
      <c r="O188" s="20" t="str">
        <f t="shared" si="91"/>
        <v>OK</v>
      </c>
    </row>
    <row r="189" spans="1:15" ht="15" x14ac:dyDescent="0.25">
      <c r="A189" s="91"/>
      <c r="B189" s="32">
        <v>5</v>
      </c>
      <c r="C189" s="32">
        <v>1111498</v>
      </c>
      <c r="D189" s="39">
        <v>45786</v>
      </c>
      <c r="E189" s="32" t="s">
        <v>15</v>
      </c>
      <c r="F189" s="32" t="str">
        <f t="shared" si="96"/>
        <v>M20</v>
      </c>
      <c r="G189" s="61" t="str">
        <f t="shared" si="97"/>
        <v>021</v>
      </c>
      <c r="H189" s="72" t="str">
        <f t="shared" si="101"/>
        <v>C1</v>
      </c>
      <c r="I189" s="72">
        <f t="shared" si="102"/>
        <v>1</v>
      </c>
      <c r="J189" s="37" t="s">
        <v>33</v>
      </c>
      <c r="K189" s="37">
        <v>46</v>
      </c>
      <c r="L189" s="17">
        <v>0.28000000000000003</v>
      </c>
      <c r="M189" s="17">
        <v>2.4700000000000002</v>
      </c>
      <c r="N189" s="18">
        <f t="shared" si="74"/>
        <v>2.1900000000000004</v>
      </c>
      <c r="O189" s="20" t="str">
        <f t="shared" si="91"/>
        <v>OK</v>
      </c>
    </row>
    <row r="190" spans="1:15" ht="15" x14ac:dyDescent="0.25">
      <c r="A190" s="91"/>
      <c r="B190" s="32">
        <v>5</v>
      </c>
      <c r="C190" s="32">
        <v>1111498</v>
      </c>
      <c r="D190" s="39">
        <v>45786</v>
      </c>
      <c r="E190" s="32" t="s">
        <v>15</v>
      </c>
      <c r="F190" s="32" t="str">
        <f t="shared" si="96"/>
        <v>M20</v>
      </c>
      <c r="G190" s="61" t="str">
        <f t="shared" si="97"/>
        <v>021</v>
      </c>
      <c r="H190" s="72" t="str">
        <f t="shared" si="101"/>
        <v>C1</v>
      </c>
      <c r="I190" s="72">
        <f t="shared" si="102"/>
        <v>1</v>
      </c>
      <c r="J190" s="37" t="s">
        <v>34</v>
      </c>
      <c r="K190" s="37">
        <v>46</v>
      </c>
      <c r="L190" s="17">
        <v>0.68</v>
      </c>
      <c r="M190" s="17">
        <v>3.92</v>
      </c>
      <c r="N190" s="18">
        <f t="shared" si="74"/>
        <v>3.2399999999999998</v>
      </c>
      <c r="O190" s="20" t="str">
        <f t="shared" si="91"/>
        <v>OK</v>
      </c>
    </row>
    <row r="191" spans="1:15" ht="15" x14ac:dyDescent="0.25">
      <c r="A191" s="91"/>
      <c r="B191" s="32">
        <v>5</v>
      </c>
      <c r="C191" s="32">
        <v>1111498</v>
      </c>
      <c r="D191" s="39">
        <v>45786</v>
      </c>
      <c r="E191" s="32" t="s">
        <v>15</v>
      </c>
      <c r="F191" s="32" t="str">
        <f t="shared" si="96"/>
        <v>M20</v>
      </c>
      <c r="G191" s="61" t="str">
        <f t="shared" si="97"/>
        <v>021</v>
      </c>
      <c r="H191" s="72" t="str">
        <f t="shared" si="101"/>
        <v>C1</v>
      </c>
      <c r="I191" s="72">
        <v>2</v>
      </c>
      <c r="J191" s="37" t="s">
        <v>35</v>
      </c>
      <c r="K191" s="37">
        <v>47</v>
      </c>
      <c r="L191" s="17">
        <v>0.16</v>
      </c>
      <c r="M191" s="17">
        <v>2.93</v>
      </c>
      <c r="N191" s="18">
        <f t="shared" si="74"/>
        <v>2.77</v>
      </c>
      <c r="O191" s="20" t="str">
        <f t="shared" si="91"/>
        <v>OK</v>
      </c>
    </row>
    <row r="192" spans="1:15" ht="15" x14ac:dyDescent="0.25">
      <c r="A192" s="91"/>
      <c r="B192" s="32">
        <v>5</v>
      </c>
      <c r="C192" s="32">
        <v>1111498</v>
      </c>
      <c r="D192" s="39">
        <v>45786</v>
      </c>
      <c r="E192" s="32" t="s">
        <v>15</v>
      </c>
      <c r="F192" s="32" t="str">
        <f t="shared" si="96"/>
        <v>M20</v>
      </c>
      <c r="G192" s="61" t="str">
        <f t="shared" si="97"/>
        <v>021</v>
      </c>
      <c r="H192" s="72" t="str">
        <f t="shared" si="101"/>
        <v>C1</v>
      </c>
      <c r="I192" s="72">
        <f t="shared" ref="I192:I194" si="103">I191</f>
        <v>2</v>
      </c>
      <c r="J192" s="37" t="s">
        <v>36</v>
      </c>
      <c r="K192" s="37">
        <v>47</v>
      </c>
      <c r="L192" s="17">
        <v>0.1</v>
      </c>
      <c r="M192" s="17">
        <v>2.67</v>
      </c>
      <c r="N192" s="18">
        <f t="shared" si="74"/>
        <v>2.57</v>
      </c>
      <c r="O192" s="20" t="str">
        <f t="shared" si="91"/>
        <v>OK</v>
      </c>
    </row>
    <row r="193" spans="1:15" ht="15" x14ac:dyDescent="0.25">
      <c r="A193" s="91"/>
      <c r="B193" s="32">
        <v>5</v>
      </c>
      <c r="C193" s="32">
        <v>1111498</v>
      </c>
      <c r="D193" s="39">
        <v>45786</v>
      </c>
      <c r="E193" s="32" t="s">
        <v>15</v>
      </c>
      <c r="F193" s="32" t="str">
        <f t="shared" si="96"/>
        <v>M20</v>
      </c>
      <c r="G193" s="61" t="str">
        <f t="shared" si="97"/>
        <v>021</v>
      </c>
      <c r="H193" s="72" t="str">
        <f t="shared" si="101"/>
        <v>C1</v>
      </c>
      <c r="I193" s="72">
        <f t="shared" si="103"/>
        <v>2</v>
      </c>
      <c r="J193" s="37" t="s">
        <v>37</v>
      </c>
      <c r="K193" s="37">
        <v>48</v>
      </c>
      <c r="L193" s="17">
        <v>0.1</v>
      </c>
      <c r="M193" s="17">
        <v>2.23</v>
      </c>
      <c r="N193" s="18">
        <f t="shared" si="74"/>
        <v>2.13</v>
      </c>
      <c r="O193" s="20" t="str">
        <f t="shared" si="91"/>
        <v>OK</v>
      </c>
    </row>
    <row r="194" spans="1:15" ht="15.75" thickBot="1" x14ac:dyDescent="0.3">
      <c r="A194" s="92"/>
      <c r="B194" s="48">
        <v>5</v>
      </c>
      <c r="C194" s="48">
        <v>1111498</v>
      </c>
      <c r="D194" s="49">
        <v>45786</v>
      </c>
      <c r="E194" s="48" t="s">
        <v>15</v>
      </c>
      <c r="F194" s="48" t="str">
        <f t="shared" si="96"/>
        <v>M20</v>
      </c>
      <c r="G194" s="73" t="str">
        <f t="shared" si="97"/>
        <v>021</v>
      </c>
      <c r="H194" s="74" t="str">
        <f t="shared" si="101"/>
        <v>C1</v>
      </c>
      <c r="I194" s="74">
        <f t="shared" si="103"/>
        <v>2</v>
      </c>
      <c r="J194" s="41" t="s">
        <v>38</v>
      </c>
      <c r="K194" s="37">
        <v>48</v>
      </c>
      <c r="L194" s="51">
        <v>0.3</v>
      </c>
      <c r="M194" s="33">
        <v>3.99</v>
      </c>
      <c r="N194" s="53">
        <f t="shared" si="74"/>
        <v>3.6900000000000004</v>
      </c>
      <c r="O194" s="57" t="str">
        <f t="shared" si="91"/>
        <v>OK</v>
      </c>
    </row>
    <row r="195" spans="1:15" ht="15" x14ac:dyDescent="0.25">
      <c r="A195" s="93"/>
      <c r="B195" s="36">
        <v>5</v>
      </c>
      <c r="C195" s="36">
        <v>1116984</v>
      </c>
      <c r="D195" s="52">
        <v>45813</v>
      </c>
      <c r="E195" s="36" t="s">
        <v>15</v>
      </c>
      <c r="F195" s="36" t="s">
        <v>28</v>
      </c>
      <c r="G195" s="80" t="s">
        <v>58</v>
      </c>
      <c r="H195" s="81" t="s">
        <v>30</v>
      </c>
      <c r="I195" s="81">
        <v>1</v>
      </c>
      <c r="J195" s="40" t="s">
        <v>31</v>
      </c>
      <c r="K195" s="37">
        <v>1</v>
      </c>
      <c r="L195" s="17">
        <v>0.23</v>
      </c>
      <c r="M195" s="19">
        <v>4.07</v>
      </c>
      <c r="N195" s="18">
        <f t="shared" ref="N195:N258" si="104">+M195-L195</f>
        <v>3.8400000000000003</v>
      </c>
      <c r="O195" s="20" t="str">
        <f>IF(N195&lt;=0,"Critico",IF(N195&lt;=0.2,"Cambio",IF(N195&lt;=1,"Seguimiento",IF(L195&gt;=2,"Reperfilado","OK"))))</f>
        <v>OK</v>
      </c>
    </row>
    <row r="196" spans="1:15" ht="15" x14ac:dyDescent="0.25">
      <c r="A196" s="91"/>
      <c r="B196" s="32">
        <v>5</v>
      </c>
      <c r="C196" s="32">
        <v>1116984</v>
      </c>
      <c r="D196" s="39">
        <v>45813</v>
      </c>
      <c r="E196" s="32" t="s">
        <v>15</v>
      </c>
      <c r="F196" s="32" t="str">
        <f t="shared" ref="F196:F210" si="105">F195</f>
        <v>M20</v>
      </c>
      <c r="G196" s="61" t="str">
        <f t="shared" ref="G196:G210" si="106">G195</f>
        <v>007</v>
      </c>
      <c r="H196" s="72" t="str">
        <f t="shared" ref="H196:H202" si="107">H195</f>
        <v>C1</v>
      </c>
      <c r="I196" s="72">
        <f t="shared" ref="I196:I198" si="108">I195</f>
        <v>1</v>
      </c>
      <c r="J196" s="37" t="s">
        <v>32</v>
      </c>
      <c r="K196" s="37">
        <v>1</v>
      </c>
      <c r="L196" s="17">
        <v>1.01</v>
      </c>
      <c r="M196" s="19">
        <v>2.68</v>
      </c>
      <c r="N196" s="18">
        <f t="shared" si="104"/>
        <v>1.6700000000000002</v>
      </c>
      <c r="O196" s="20" t="str">
        <f t="shared" ref="O196:O259" si="109">IF(N196&lt;=0,"Critico",IF(N196&lt;=0.2,"Cambio",IF(N196&lt;=1,"Seguimiento",IF(L196&gt;=2,"Reperfilado","OK"))))</f>
        <v>OK</v>
      </c>
    </row>
    <row r="197" spans="1:15" ht="15" x14ac:dyDescent="0.25">
      <c r="A197" s="91"/>
      <c r="B197" s="32">
        <v>5</v>
      </c>
      <c r="C197" s="32">
        <v>1116984</v>
      </c>
      <c r="D197" s="39">
        <v>45813</v>
      </c>
      <c r="E197" s="32" t="s">
        <v>15</v>
      </c>
      <c r="F197" s="32" t="str">
        <f t="shared" si="105"/>
        <v>M20</v>
      </c>
      <c r="G197" s="61" t="str">
        <f t="shared" si="106"/>
        <v>007</v>
      </c>
      <c r="H197" s="72" t="str">
        <f t="shared" si="107"/>
        <v>C1</v>
      </c>
      <c r="I197" s="72">
        <f t="shared" si="108"/>
        <v>1</v>
      </c>
      <c r="J197" s="37" t="s">
        <v>33</v>
      </c>
      <c r="K197" s="37">
        <v>2</v>
      </c>
      <c r="L197" s="17">
        <v>0.15</v>
      </c>
      <c r="M197" s="19">
        <v>4.74</v>
      </c>
      <c r="N197" s="18">
        <f t="shared" si="104"/>
        <v>4.59</v>
      </c>
      <c r="O197" s="20" t="str">
        <f t="shared" si="109"/>
        <v>OK</v>
      </c>
    </row>
    <row r="198" spans="1:15" ht="15" x14ac:dyDescent="0.25">
      <c r="A198" s="91"/>
      <c r="B198" s="32">
        <v>5</v>
      </c>
      <c r="C198" s="32">
        <v>1116984</v>
      </c>
      <c r="D198" s="39">
        <v>45813</v>
      </c>
      <c r="E198" s="32" t="s">
        <v>15</v>
      </c>
      <c r="F198" s="32" t="str">
        <f t="shared" si="105"/>
        <v>M20</v>
      </c>
      <c r="G198" s="61" t="str">
        <f t="shared" si="106"/>
        <v>007</v>
      </c>
      <c r="H198" s="72" t="str">
        <f t="shared" si="107"/>
        <v>C1</v>
      </c>
      <c r="I198" s="72">
        <f t="shared" si="108"/>
        <v>1</v>
      </c>
      <c r="J198" s="37" t="s">
        <v>34</v>
      </c>
      <c r="K198" s="37">
        <v>2</v>
      </c>
      <c r="L198" s="17">
        <v>0.34</v>
      </c>
      <c r="M198" s="19">
        <v>0.84</v>
      </c>
      <c r="N198" s="18">
        <f t="shared" si="104"/>
        <v>0.49999999999999994</v>
      </c>
      <c r="O198" s="20" t="str">
        <f t="shared" si="109"/>
        <v>Seguimiento</v>
      </c>
    </row>
    <row r="199" spans="1:15" ht="15" x14ac:dyDescent="0.25">
      <c r="A199" s="91"/>
      <c r="B199" s="32">
        <v>5</v>
      </c>
      <c r="C199" s="32">
        <v>1116984</v>
      </c>
      <c r="D199" s="39">
        <v>45813</v>
      </c>
      <c r="E199" s="32" t="s">
        <v>15</v>
      </c>
      <c r="F199" s="32" t="str">
        <f t="shared" si="105"/>
        <v>M20</v>
      </c>
      <c r="G199" s="61" t="str">
        <f t="shared" si="106"/>
        <v>007</v>
      </c>
      <c r="H199" s="72" t="str">
        <f t="shared" si="107"/>
        <v>C1</v>
      </c>
      <c r="I199" s="72">
        <v>2</v>
      </c>
      <c r="J199" s="37" t="s">
        <v>35</v>
      </c>
      <c r="K199" s="37">
        <v>3</v>
      </c>
      <c r="L199" s="17">
        <v>0.14000000000000001</v>
      </c>
      <c r="M199" s="19">
        <v>4.75</v>
      </c>
      <c r="N199" s="18">
        <f t="shared" si="104"/>
        <v>4.6100000000000003</v>
      </c>
      <c r="O199" s="20" t="str">
        <f t="shared" si="109"/>
        <v>OK</v>
      </c>
    </row>
    <row r="200" spans="1:15" ht="15" x14ac:dyDescent="0.25">
      <c r="A200" s="91"/>
      <c r="B200" s="32">
        <v>5</v>
      </c>
      <c r="C200" s="32">
        <v>1116984</v>
      </c>
      <c r="D200" s="39">
        <v>45813</v>
      </c>
      <c r="E200" s="32" t="s">
        <v>15</v>
      </c>
      <c r="F200" s="32" t="str">
        <f t="shared" si="105"/>
        <v>M20</v>
      </c>
      <c r="G200" s="61" t="str">
        <f t="shared" si="106"/>
        <v>007</v>
      </c>
      <c r="H200" s="72" t="str">
        <f t="shared" si="107"/>
        <v>C1</v>
      </c>
      <c r="I200" s="72">
        <f t="shared" ref="I200:I202" si="110">I199</f>
        <v>2</v>
      </c>
      <c r="J200" s="37" t="s">
        <v>36</v>
      </c>
      <c r="K200" s="37">
        <v>3</v>
      </c>
      <c r="L200" s="17">
        <v>0.44</v>
      </c>
      <c r="M200" s="19">
        <v>2.0499999999999998</v>
      </c>
      <c r="N200" s="18">
        <f t="shared" si="104"/>
        <v>1.6099999999999999</v>
      </c>
      <c r="O200" s="20" t="str">
        <f t="shared" si="109"/>
        <v>OK</v>
      </c>
    </row>
    <row r="201" spans="1:15" ht="15" x14ac:dyDescent="0.25">
      <c r="A201" s="91"/>
      <c r="B201" s="32">
        <v>5</v>
      </c>
      <c r="C201" s="32">
        <v>1116984</v>
      </c>
      <c r="D201" s="39">
        <v>45813</v>
      </c>
      <c r="E201" s="32" t="s">
        <v>15</v>
      </c>
      <c r="F201" s="32" t="str">
        <f t="shared" si="105"/>
        <v>M20</v>
      </c>
      <c r="G201" s="61" t="str">
        <f t="shared" si="106"/>
        <v>007</v>
      </c>
      <c r="H201" s="72" t="str">
        <f t="shared" si="107"/>
        <v>C1</v>
      </c>
      <c r="I201" s="72">
        <f t="shared" si="110"/>
        <v>2</v>
      </c>
      <c r="J201" s="37" t="s">
        <v>37</v>
      </c>
      <c r="K201" s="37">
        <v>4</v>
      </c>
      <c r="L201" s="17">
        <v>0.47</v>
      </c>
      <c r="M201" s="19">
        <v>2.59</v>
      </c>
      <c r="N201" s="18">
        <f t="shared" si="104"/>
        <v>2.12</v>
      </c>
      <c r="O201" s="20" t="str">
        <f t="shared" si="109"/>
        <v>OK</v>
      </c>
    </row>
    <row r="202" spans="1:15" ht="15" x14ac:dyDescent="0.25">
      <c r="A202" s="91"/>
      <c r="B202" s="32">
        <v>5</v>
      </c>
      <c r="C202" s="32">
        <v>1116984</v>
      </c>
      <c r="D202" s="39">
        <v>45813</v>
      </c>
      <c r="E202" s="32" t="s">
        <v>15</v>
      </c>
      <c r="F202" s="32" t="str">
        <f t="shared" si="105"/>
        <v>M20</v>
      </c>
      <c r="G202" s="61" t="str">
        <f t="shared" si="106"/>
        <v>007</v>
      </c>
      <c r="H202" s="72" t="str">
        <f t="shared" si="107"/>
        <v>C1</v>
      </c>
      <c r="I202" s="72">
        <f t="shared" si="110"/>
        <v>2</v>
      </c>
      <c r="J202" s="37" t="s">
        <v>38</v>
      </c>
      <c r="K202" s="37">
        <v>4</v>
      </c>
      <c r="L202" s="17">
        <v>0.31</v>
      </c>
      <c r="M202" s="19">
        <v>4.49</v>
      </c>
      <c r="N202" s="18">
        <f t="shared" si="104"/>
        <v>4.1800000000000006</v>
      </c>
      <c r="O202" s="20" t="str">
        <f t="shared" si="109"/>
        <v>OK</v>
      </c>
    </row>
    <row r="203" spans="1:15" ht="15" x14ac:dyDescent="0.25">
      <c r="A203" s="91"/>
      <c r="B203" s="32">
        <v>5</v>
      </c>
      <c r="C203" s="32">
        <v>1116984</v>
      </c>
      <c r="D203" s="39">
        <v>45813</v>
      </c>
      <c r="E203" s="32" t="s">
        <v>15</v>
      </c>
      <c r="F203" s="32" t="str">
        <f t="shared" si="105"/>
        <v>M20</v>
      </c>
      <c r="G203" s="61" t="str">
        <f t="shared" si="106"/>
        <v>007</v>
      </c>
      <c r="H203" s="72" t="s">
        <v>39</v>
      </c>
      <c r="I203" s="72">
        <v>1</v>
      </c>
      <c r="J203" s="37" t="s">
        <v>31</v>
      </c>
      <c r="K203" s="37">
        <v>5</v>
      </c>
      <c r="L203" s="17">
        <v>0.1</v>
      </c>
      <c r="M203" s="19">
        <v>1.39</v>
      </c>
      <c r="N203" s="18">
        <f t="shared" si="104"/>
        <v>1.2899999999999998</v>
      </c>
      <c r="O203" s="20" t="str">
        <f t="shared" si="109"/>
        <v>OK</v>
      </c>
    </row>
    <row r="204" spans="1:15" ht="15" x14ac:dyDescent="0.25">
      <c r="A204" s="91"/>
      <c r="B204" s="32">
        <v>5</v>
      </c>
      <c r="C204" s="32">
        <v>1116984</v>
      </c>
      <c r="D204" s="39">
        <v>45813</v>
      </c>
      <c r="E204" s="32" t="s">
        <v>15</v>
      </c>
      <c r="F204" s="32" t="str">
        <f t="shared" si="105"/>
        <v>M20</v>
      </c>
      <c r="G204" s="61" t="str">
        <f t="shared" si="106"/>
        <v>007</v>
      </c>
      <c r="H204" s="72" t="str">
        <f t="shared" ref="H204:H210" si="111">H203</f>
        <v>C2</v>
      </c>
      <c r="I204" s="72">
        <f t="shared" ref="I204:I206" si="112">I203</f>
        <v>1</v>
      </c>
      <c r="J204" s="37" t="s">
        <v>32</v>
      </c>
      <c r="K204" s="37">
        <v>5</v>
      </c>
      <c r="L204" s="17">
        <v>0.2</v>
      </c>
      <c r="M204" s="19">
        <v>4.3</v>
      </c>
      <c r="N204" s="18">
        <f t="shared" si="104"/>
        <v>4.0999999999999996</v>
      </c>
      <c r="O204" s="20" t="str">
        <f t="shared" si="109"/>
        <v>OK</v>
      </c>
    </row>
    <row r="205" spans="1:15" ht="15" x14ac:dyDescent="0.25">
      <c r="A205" s="91"/>
      <c r="B205" s="32">
        <v>5</v>
      </c>
      <c r="C205" s="32">
        <v>1116984</v>
      </c>
      <c r="D205" s="39">
        <v>45813</v>
      </c>
      <c r="E205" s="32" t="s">
        <v>15</v>
      </c>
      <c r="F205" s="32" t="str">
        <f t="shared" si="105"/>
        <v>M20</v>
      </c>
      <c r="G205" s="61" t="str">
        <f t="shared" si="106"/>
        <v>007</v>
      </c>
      <c r="H205" s="72" t="str">
        <f t="shared" si="111"/>
        <v>C2</v>
      </c>
      <c r="I205" s="72">
        <f t="shared" si="112"/>
        <v>1</v>
      </c>
      <c r="J205" s="37" t="s">
        <v>33</v>
      </c>
      <c r="K205" s="37">
        <v>6</v>
      </c>
      <c r="L205" s="17">
        <v>0.13</v>
      </c>
      <c r="M205" s="19">
        <v>4.55</v>
      </c>
      <c r="N205" s="18">
        <f t="shared" si="104"/>
        <v>4.42</v>
      </c>
      <c r="O205" s="20" t="str">
        <f t="shared" si="109"/>
        <v>OK</v>
      </c>
    </row>
    <row r="206" spans="1:15" ht="15" x14ac:dyDescent="0.25">
      <c r="A206" s="91"/>
      <c r="B206" s="32">
        <v>5</v>
      </c>
      <c r="C206" s="32">
        <v>1116984</v>
      </c>
      <c r="D206" s="39">
        <v>45813</v>
      </c>
      <c r="E206" s="32" t="s">
        <v>15</v>
      </c>
      <c r="F206" s="32" t="str">
        <f t="shared" si="105"/>
        <v>M20</v>
      </c>
      <c r="G206" s="61" t="str">
        <f t="shared" si="106"/>
        <v>007</v>
      </c>
      <c r="H206" s="72" t="str">
        <f t="shared" si="111"/>
        <v>C2</v>
      </c>
      <c r="I206" s="72">
        <f t="shared" si="112"/>
        <v>1</v>
      </c>
      <c r="J206" s="37" t="s">
        <v>34</v>
      </c>
      <c r="K206" s="37">
        <v>6</v>
      </c>
      <c r="L206" s="17">
        <v>0.31</v>
      </c>
      <c r="M206" s="19">
        <v>4.54</v>
      </c>
      <c r="N206" s="18">
        <f t="shared" si="104"/>
        <v>4.2300000000000004</v>
      </c>
      <c r="O206" s="20" t="str">
        <f t="shared" si="109"/>
        <v>OK</v>
      </c>
    </row>
    <row r="207" spans="1:15" ht="15" x14ac:dyDescent="0.25">
      <c r="A207" s="91"/>
      <c r="B207" s="32">
        <v>5</v>
      </c>
      <c r="C207" s="32">
        <v>1116984</v>
      </c>
      <c r="D207" s="39">
        <v>45813</v>
      </c>
      <c r="E207" s="32" t="s">
        <v>15</v>
      </c>
      <c r="F207" s="32" t="str">
        <f t="shared" si="105"/>
        <v>M20</v>
      </c>
      <c r="G207" s="61" t="str">
        <f t="shared" si="106"/>
        <v>007</v>
      </c>
      <c r="H207" s="72" t="str">
        <f t="shared" si="111"/>
        <v>C2</v>
      </c>
      <c r="I207" s="72">
        <v>2</v>
      </c>
      <c r="J207" s="37" t="s">
        <v>35</v>
      </c>
      <c r="K207" s="37">
        <v>7</v>
      </c>
      <c r="L207" s="17">
        <v>0.43</v>
      </c>
      <c r="M207" s="19">
        <v>4.3099999999999996</v>
      </c>
      <c r="N207" s="18">
        <f t="shared" si="104"/>
        <v>3.8799999999999994</v>
      </c>
      <c r="O207" s="20" t="str">
        <f t="shared" si="109"/>
        <v>OK</v>
      </c>
    </row>
    <row r="208" spans="1:15" ht="15" x14ac:dyDescent="0.25">
      <c r="A208" s="91"/>
      <c r="B208" s="32">
        <v>5</v>
      </c>
      <c r="C208" s="32">
        <v>1116984</v>
      </c>
      <c r="D208" s="39">
        <v>45813</v>
      </c>
      <c r="E208" s="32" t="s">
        <v>15</v>
      </c>
      <c r="F208" s="32" t="str">
        <f t="shared" si="105"/>
        <v>M20</v>
      </c>
      <c r="G208" s="61" t="str">
        <f t="shared" si="106"/>
        <v>007</v>
      </c>
      <c r="H208" s="72" t="str">
        <f t="shared" si="111"/>
        <v>C2</v>
      </c>
      <c r="I208" s="72">
        <f t="shared" ref="I208:I210" si="113">I207</f>
        <v>2</v>
      </c>
      <c r="J208" s="37" t="s">
        <v>36</v>
      </c>
      <c r="K208" s="37">
        <v>7</v>
      </c>
      <c r="L208" s="17">
        <v>0.16</v>
      </c>
      <c r="M208" s="19">
        <v>4.2</v>
      </c>
      <c r="N208" s="18">
        <f t="shared" si="104"/>
        <v>4.04</v>
      </c>
      <c r="O208" s="20" t="str">
        <f t="shared" si="109"/>
        <v>OK</v>
      </c>
    </row>
    <row r="209" spans="1:15" ht="15" x14ac:dyDescent="0.25">
      <c r="A209" s="91"/>
      <c r="B209" s="32">
        <v>5</v>
      </c>
      <c r="C209" s="32">
        <v>1116984</v>
      </c>
      <c r="D209" s="39">
        <v>45813</v>
      </c>
      <c r="E209" s="32" t="s">
        <v>15</v>
      </c>
      <c r="F209" s="32" t="str">
        <f t="shared" si="105"/>
        <v>M20</v>
      </c>
      <c r="G209" s="61" t="str">
        <f t="shared" si="106"/>
        <v>007</v>
      </c>
      <c r="H209" s="72" t="str">
        <f t="shared" si="111"/>
        <v>C2</v>
      </c>
      <c r="I209" s="72">
        <f t="shared" si="113"/>
        <v>2</v>
      </c>
      <c r="J209" s="37" t="s">
        <v>37</v>
      </c>
      <c r="K209" s="37">
        <v>8</v>
      </c>
      <c r="L209" s="17">
        <v>0.11</v>
      </c>
      <c r="M209" s="19">
        <v>4.2300000000000004</v>
      </c>
      <c r="N209" s="18">
        <f t="shared" si="104"/>
        <v>4.12</v>
      </c>
      <c r="O209" s="20" t="str">
        <f t="shared" si="109"/>
        <v>OK</v>
      </c>
    </row>
    <row r="210" spans="1:15" ht="15" x14ac:dyDescent="0.25">
      <c r="A210" s="91"/>
      <c r="B210" s="32">
        <v>5</v>
      </c>
      <c r="C210" s="32">
        <v>1116984</v>
      </c>
      <c r="D210" s="39">
        <v>45813</v>
      </c>
      <c r="E210" s="32" t="s">
        <v>15</v>
      </c>
      <c r="F210" s="32" t="str">
        <f t="shared" si="105"/>
        <v>M20</v>
      </c>
      <c r="G210" s="61" t="str">
        <f t="shared" si="106"/>
        <v>007</v>
      </c>
      <c r="H210" s="72" t="str">
        <f t="shared" si="111"/>
        <v>C2</v>
      </c>
      <c r="I210" s="72">
        <f t="shared" si="113"/>
        <v>2</v>
      </c>
      <c r="J210" s="37" t="s">
        <v>38</v>
      </c>
      <c r="K210" s="37">
        <v>8</v>
      </c>
      <c r="L210" s="17">
        <v>0.42</v>
      </c>
      <c r="M210" s="19">
        <v>4.3499999999999996</v>
      </c>
      <c r="N210" s="18">
        <f t="shared" si="104"/>
        <v>3.9299999999999997</v>
      </c>
      <c r="O210" s="20" t="str">
        <f t="shared" si="109"/>
        <v>OK</v>
      </c>
    </row>
    <row r="211" spans="1:15" ht="15" x14ac:dyDescent="0.25">
      <c r="A211" s="91"/>
      <c r="B211" s="32">
        <v>5</v>
      </c>
      <c r="C211" s="32">
        <v>1116984</v>
      </c>
      <c r="D211" s="39">
        <v>45813</v>
      </c>
      <c r="E211" s="32" t="s">
        <v>15</v>
      </c>
      <c r="F211" s="32" t="s">
        <v>40</v>
      </c>
      <c r="G211" s="61" t="s">
        <v>57</v>
      </c>
      <c r="H211" s="72" t="s">
        <v>42</v>
      </c>
      <c r="I211" s="72">
        <v>1</v>
      </c>
      <c r="J211" s="37" t="s">
        <v>31</v>
      </c>
      <c r="K211" s="37">
        <v>9</v>
      </c>
      <c r="L211" s="17">
        <v>0.38</v>
      </c>
      <c r="M211" s="19">
        <v>1.76</v>
      </c>
      <c r="N211" s="18">
        <f t="shared" si="104"/>
        <v>1.38</v>
      </c>
      <c r="O211" s="20" t="str">
        <f t="shared" si="109"/>
        <v>OK</v>
      </c>
    </row>
    <row r="212" spans="1:15" ht="15" x14ac:dyDescent="0.25">
      <c r="A212" s="91"/>
      <c r="B212" s="32">
        <v>5</v>
      </c>
      <c r="C212" s="32">
        <v>1116984</v>
      </c>
      <c r="D212" s="39">
        <v>45813</v>
      </c>
      <c r="E212" s="32" t="s">
        <v>15</v>
      </c>
      <c r="F212" s="32" t="str">
        <f t="shared" ref="F212:F226" si="114">F211</f>
        <v>M21</v>
      </c>
      <c r="G212" s="61" t="str">
        <f t="shared" ref="G212:G226" si="115">G211</f>
        <v>008</v>
      </c>
      <c r="H212" s="72" t="str">
        <f t="shared" ref="H212:H218" si="116">H211</f>
        <v>C3</v>
      </c>
      <c r="I212" s="72">
        <f t="shared" ref="I212:I214" si="117">I211</f>
        <v>1</v>
      </c>
      <c r="J212" s="37" t="s">
        <v>32</v>
      </c>
      <c r="K212" s="37">
        <v>9</v>
      </c>
      <c r="L212" s="17">
        <v>1.1399999999999999</v>
      </c>
      <c r="M212" s="19">
        <v>3.63</v>
      </c>
      <c r="N212" s="18">
        <f t="shared" si="104"/>
        <v>2.4900000000000002</v>
      </c>
      <c r="O212" s="20" t="str">
        <f t="shared" si="109"/>
        <v>OK</v>
      </c>
    </row>
    <row r="213" spans="1:15" ht="15" x14ac:dyDescent="0.25">
      <c r="A213" s="91"/>
      <c r="B213" s="32">
        <v>5</v>
      </c>
      <c r="C213" s="32">
        <v>1116984</v>
      </c>
      <c r="D213" s="39">
        <v>45813</v>
      </c>
      <c r="E213" s="32" t="s">
        <v>15</v>
      </c>
      <c r="F213" s="32" t="str">
        <f t="shared" si="114"/>
        <v>M21</v>
      </c>
      <c r="G213" s="61" t="str">
        <f t="shared" si="115"/>
        <v>008</v>
      </c>
      <c r="H213" s="72" t="str">
        <f t="shared" si="116"/>
        <v>C3</v>
      </c>
      <c r="I213" s="72">
        <f t="shared" si="117"/>
        <v>1</v>
      </c>
      <c r="J213" s="37" t="s">
        <v>33</v>
      </c>
      <c r="K213" s="37">
        <v>10</v>
      </c>
      <c r="L213" s="17">
        <v>1</v>
      </c>
      <c r="M213" s="19">
        <v>3.66</v>
      </c>
      <c r="N213" s="18">
        <f t="shared" si="104"/>
        <v>2.66</v>
      </c>
      <c r="O213" s="20" t="str">
        <f t="shared" si="109"/>
        <v>OK</v>
      </c>
    </row>
    <row r="214" spans="1:15" ht="15" x14ac:dyDescent="0.25">
      <c r="A214" s="91"/>
      <c r="B214" s="32">
        <v>5</v>
      </c>
      <c r="C214" s="32">
        <v>1116984</v>
      </c>
      <c r="D214" s="39">
        <v>45813</v>
      </c>
      <c r="E214" s="32" t="s">
        <v>15</v>
      </c>
      <c r="F214" s="32" t="str">
        <f t="shared" si="114"/>
        <v>M21</v>
      </c>
      <c r="G214" s="61" t="str">
        <f t="shared" si="115"/>
        <v>008</v>
      </c>
      <c r="H214" s="72" t="str">
        <f t="shared" si="116"/>
        <v>C3</v>
      </c>
      <c r="I214" s="72">
        <f t="shared" si="117"/>
        <v>1</v>
      </c>
      <c r="J214" s="37" t="s">
        <v>34</v>
      </c>
      <c r="K214" s="37">
        <v>10</v>
      </c>
      <c r="L214" s="17">
        <v>0.82</v>
      </c>
      <c r="M214" s="19">
        <v>3.59</v>
      </c>
      <c r="N214" s="18">
        <f t="shared" si="104"/>
        <v>2.77</v>
      </c>
      <c r="O214" s="20" t="str">
        <f t="shared" si="109"/>
        <v>OK</v>
      </c>
    </row>
    <row r="215" spans="1:15" ht="15" x14ac:dyDescent="0.25">
      <c r="A215" s="91"/>
      <c r="B215" s="32">
        <v>5</v>
      </c>
      <c r="C215" s="32">
        <v>1116984</v>
      </c>
      <c r="D215" s="39">
        <v>45813</v>
      </c>
      <c r="E215" s="32" t="s">
        <v>15</v>
      </c>
      <c r="F215" s="32" t="str">
        <f t="shared" si="114"/>
        <v>M21</v>
      </c>
      <c r="G215" s="61" t="str">
        <f t="shared" si="115"/>
        <v>008</v>
      </c>
      <c r="H215" s="72" t="str">
        <f t="shared" si="116"/>
        <v>C3</v>
      </c>
      <c r="I215" s="72">
        <v>2</v>
      </c>
      <c r="J215" s="37" t="s">
        <v>35</v>
      </c>
      <c r="K215" s="37">
        <v>11</v>
      </c>
      <c r="L215" s="17">
        <v>0.87</v>
      </c>
      <c r="M215" s="19">
        <v>2.97</v>
      </c>
      <c r="N215" s="18">
        <f t="shared" si="104"/>
        <v>2.1</v>
      </c>
      <c r="O215" s="20" t="str">
        <f t="shared" si="109"/>
        <v>OK</v>
      </c>
    </row>
    <row r="216" spans="1:15" ht="15" x14ac:dyDescent="0.25">
      <c r="A216" s="91"/>
      <c r="B216" s="32">
        <v>5</v>
      </c>
      <c r="C216" s="32">
        <v>1116984</v>
      </c>
      <c r="D216" s="39">
        <v>45813</v>
      </c>
      <c r="E216" s="32" t="s">
        <v>15</v>
      </c>
      <c r="F216" s="32" t="str">
        <f t="shared" si="114"/>
        <v>M21</v>
      </c>
      <c r="G216" s="61" t="str">
        <f t="shared" si="115"/>
        <v>008</v>
      </c>
      <c r="H216" s="72" t="str">
        <f t="shared" si="116"/>
        <v>C3</v>
      </c>
      <c r="I216" s="72">
        <f t="shared" ref="I216:I218" si="118">I215</f>
        <v>2</v>
      </c>
      <c r="J216" s="37" t="s">
        <v>36</v>
      </c>
      <c r="K216" s="37">
        <v>11</v>
      </c>
      <c r="L216" s="17">
        <v>0.03</v>
      </c>
      <c r="M216" s="19">
        <v>4.3899999999999997</v>
      </c>
      <c r="N216" s="18">
        <f t="shared" si="104"/>
        <v>4.3599999999999994</v>
      </c>
      <c r="O216" s="20" t="str">
        <f t="shared" si="109"/>
        <v>OK</v>
      </c>
    </row>
    <row r="217" spans="1:15" ht="15" x14ac:dyDescent="0.25">
      <c r="A217" s="91"/>
      <c r="B217" s="32">
        <v>5</v>
      </c>
      <c r="C217" s="32">
        <v>1116984</v>
      </c>
      <c r="D217" s="39">
        <v>45813</v>
      </c>
      <c r="E217" s="32" t="s">
        <v>15</v>
      </c>
      <c r="F217" s="32" t="str">
        <f t="shared" si="114"/>
        <v>M21</v>
      </c>
      <c r="G217" s="61" t="str">
        <f t="shared" si="115"/>
        <v>008</v>
      </c>
      <c r="H217" s="72" t="str">
        <f t="shared" si="116"/>
        <v>C3</v>
      </c>
      <c r="I217" s="72">
        <f t="shared" si="118"/>
        <v>2</v>
      </c>
      <c r="J217" s="37" t="s">
        <v>37</v>
      </c>
      <c r="K217" s="37">
        <v>12</v>
      </c>
      <c r="L217" s="17">
        <v>0.16</v>
      </c>
      <c r="M217" s="19">
        <v>1.77</v>
      </c>
      <c r="N217" s="18">
        <f t="shared" si="104"/>
        <v>1.61</v>
      </c>
      <c r="O217" s="20" t="str">
        <f t="shared" si="109"/>
        <v>OK</v>
      </c>
    </row>
    <row r="218" spans="1:15" ht="15" x14ac:dyDescent="0.25">
      <c r="A218" s="91"/>
      <c r="B218" s="32">
        <v>5</v>
      </c>
      <c r="C218" s="32">
        <v>1116984</v>
      </c>
      <c r="D218" s="39">
        <v>45813</v>
      </c>
      <c r="E218" s="32" t="s">
        <v>15</v>
      </c>
      <c r="F218" s="32" t="str">
        <f t="shared" si="114"/>
        <v>M21</v>
      </c>
      <c r="G218" s="61" t="str">
        <f t="shared" si="115"/>
        <v>008</v>
      </c>
      <c r="H218" s="72" t="str">
        <f t="shared" si="116"/>
        <v>C3</v>
      </c>
      <c r="I218" s="72">
        <f t="shared" si="118"/>
        <v>2</v>
      </c>
      <c r="J218" s="37" t="s">
        <v>38</v>
      </c>
      <c r="K218" s="37">
        <v>12</v>
      </c>
      <c r="L218" s="17">
        <v>0.03</v>
      </c>
      <c r="M218" s="19">
        <v>4.72</v>
      </c>
      <c r="N218" s="18">
        <f t="shared" si="104"/>
        <v>4.6899999999999995</v>
      </c>
      <c r="O218" s="20" t="str">
        <f t="shared" si="109"/>
        <v>OK</v>
      </c>
    </row>
    <row r="219" spans="1:15" ht="15" x14ac:dyDescent="0.25">
      <c r="A219" s="91"/>
      <c r="B219" s="32">
        <v>5</v>
      </c>
      <c r="C219" s="32">
        <v>1116984</v>
      </c>
      <c r="D219" s="39">
        <v>45813</v>
      </c>
      <c r="E219" s="32" t="s">
        <v>15</v>
      </c>
      <c r="F219" s="32" t="str">
        <f t="shared" si="114"/>
        <v>M21</v>
      </c>
      <c r="G219" s="61" t="str">
        <f t="shared" si="115"/>
        <v>008</v>
      </c>
      <c r="H219" s="72" t="s">
        <v>43</v>
      </c>
      <c r="I219" s="72">
        <v>1</v>
      </c>
      <c r="J219" s="37" t="s">
        <v>31</v>
      </c>
      <c r="K219" s="37">
        <v>13</v>
      </c>
      <c r="L219" s="17">
        <v>0.13</v>
      </c>
      <c r="M219" s="19">
        <v>2.35</v>
      </c>
      <c r="N219" s="18">
        <f t="shared" si="104"/>
        <v>2.2200000000000002</v>
      </c>
      <c r="O219" s="20" t="str">
        <f t="shared" si="109"/>
        <v>OK</v>
      </c>
    </row>
    <row r="220" spans="1:15" ht="15" x14ac:dyDescent="0.25">
      <c r="A220" s="91"/>
      <c r="B220" s="32">
        <v>5</v>
      </c>
      <c r="C220" s="32">
        <v>1116984</v>
      </c>
      <c r="D220" s="39">
        <v>45813</v>
      </c>
      <c r="E220" s="32" t="s">
        <v>15</v>
      </c>
      <c r="F220" s="32" t="str">
        <f t="shared" si="114"/>
        <v>M21</v>
      </c>
      <c r="G220" s="61" t="str">
        <f t="shared" si="115"/>
        <v>008</v>
      </c>
      <c r="H220" s="72" t="str">
        <f t="shared" ref="H220:H226" si="119">H219</f>
        <v>C4</v>
      </c>
      <c r="I220" s="72">
        <f t="shared" ref="I220:I222" si="120">I219</f>
        <v>1</v>
      </c>
      <c r="J220" s="37" t="s">
        <v>32</v>
      </c>
      <c r="K220" s="37">
        <v>13</v>
      </c>
      <c r="L220" s="17">
        <v>0.72</v>
      </c>
      <c r="M220" s="19">
        <v>2.97</v>
      </c>
      <c r="N220" s="18">
        <f t="shared" si="104"/>
        <v>2.25</v>
      </c>
      <c r="O220" s="20" t="str">
        <f t="shared" si="109"/>
        <v>OK</v>
      </c>
    </row>
    <row r="221" spans="1:15" ht="15" x14ac:dyDescent="0.25">
      <c r="A221" s="91"/>
      <c r="B221" s="32">
        <v>5</v>
      </c>
      <c r="C221" s="32">
        <v>1116984</v>
      </c>
      <c r="D221" s="39">
        <v>45813</v>
      </c>
      <c r="E221" s="32" t="s">
        <v>15</v>
      </c>
      <c r="F221" s="32" t="str">
        <f t="shared" si="114"/>
        <v>M21</v>
      </c>
      <c r="G221" s="61" t="str">
        <f t="shared" si="115"/>
        <v>008</v>
      </c>
      <c r="H221" s="72" t="str">
        <f t="shared" si="119"/>
        <v>C4</v>
      </c>
      <c r="I221" s="72">
        <f t="shared" si="120"/>
        <v>1</v>
      </c>
      <c r="J221" s="37" t="s">
        <v>33</v>
      </c>
      <c r="K221" s="37">
        <v>14</v>
      </c>
      <c r="L221" s="17">
        <v>0.05</v>
      </c>
      <c r="M221" s="19">
        <v>4.68</v>
      </c>
      <c r="N221" s="18">
        <f t="shared" si="104"/>
        <v>4.63</v>
      </c>
      <c r="O221" s="20" t="str">
        <f t="shared" si="109"/>
        <v>OK</v>
      </c>
    </row>
    <row r="222" spans="1:15" ht="15" x14ac:dyDescent="0.25">
      <c r="A222" s="91"/>
      <c r="B222" s="32">
        <v>5</v>
      </c>
      <c r="C222" s="32">
        <v>1116984</v>
      </c>
      <c r="D222" s="39">
        <v>45813</v>
      </c>
      <c r="E222" s="32" t="s">
        <v>15</v>
      </c>
      <c r="F222" s="32" t="str">
        <f t="shared" si="114"/>
        <v>M21</v>
      </c>
      <c r="G222" s="61" t="str">
        <f t="shared" si="115"/>
        <v>008</v>
      </c>
      <c r="H222" s="72" t="str">
        <f t="shared" si="119"/>
        <v>C4</v>
      </c>
      <c r="I222" s="72">
        <f t="shared" si="120"/>
        <v>1</v>
      </c>
      <c r="J222" s="37" t="s">
        <v>34</v>
      </c>
      <c r="K222" s="37">
        <v>14</v>
      </c>
      <c r="L222" s="17">
        <v>7.0000000000000007E-2</v>
      </c>
      <c r="M222" s="19">
        <v>4.8099999999999996</v>
      </c>
      <c r="N222" s="18">
        <f t="shared" si="104"/>
        <v>4.7399999999999993</v>
      </c>
      <c r="O222" s="20" t="str">
        <f t="shared" si="109"/>
        <v>OK</v>
      </c>
    </row>
    <row r="223" spans="1:15" ht="15" x14ac:dyDescent="0.25">
      <c r="A223" s="91"/>
      <c r="B223" s="32">
        <v>5</v>
      </c>
      <c r="C223" s="32">
        <v>1116984</v>
      </c>
      <c r="D223" s="39">
        <v>45813</v>
      </c>
      <c r="E223" s="32" t="s">
        <v>15</v>
      </c>
      <c r="F223" s="32" t="str">
        <f t="shared" si="114"/>
        <v>M21</v>
      </c>
      <c r="G223" s="61" t="str">
        <f t="shared" si="115"/>
        <v>008</v>
      </c>
      <c r="H223" s="72" t="str">
        <f t="shared" si="119"/>
        <v>C4</v>
      </c>
      <c r="I223" s="72">
        <v>2</v>
      </c>
      <c r="J223" s="37" t="s">
        <v>35</v>
      </c>
      <c r="K223" s="37">
        <v>15</v>
      </c>
      <c r="L223" s="17">
        <v>0.97</v>
      </c>
      <c r="M223" s="19">
        <v>4.04</v>
      </c>
      <c r="N223" s="18">
        <f t="shared" si="104"/>
        <v>3.0700000000000003</v>
      </c>
      <c r="O223" s="20" t="str">
        <f t="shared" si="109"/>
        <v>OK</v>
      </c>
    </row>
    <row r="224" spans="1:15" ht="15" x14ac:dyDescent="0.25">
      <c r="A224" s="91"/>
      <c r="B224" s="32">
        <v>5</v>
      </c>
      <c r="C224" s="32">
        <v>1116984</v>
      </c>
      <c r="D224" s="39">
        <v>45813</v>
      </c>
      <c r="E224" s="32" t="s">
        <v>15</v>
      </c>
      <c r="F224" s="32" t="str">
        <f t="shared" si="114"/>
        <v>M21</v>
      </c>
      <c r="G224" s="61" t="str">
        <f t="shared" si="115"/>
        <v>008</v>
      </c>
      <c r="H224" s="72" t="str">
        <f t="shared" si="119"/>
        <v>C4</v>
      </c>
      <c r="I224" s="72">
        <f t="shared" ref="I224:I226" si="121">I223</f>
        <v>2</v>
      </c>
      <c r="J224" s="37" t="s">
        <v>36</v>
      </c>
      <c r="K224" s="37">
        <v>15</v>
      </c>
      <c r="L224" s="17">
        <v>0.08</v>
      </c>
      <c r="M224" s="19">
        <v>4.87</v>
      </c>
      <c r="N224" s="18">
        <f t="shared" si="104"/>
        <v>4.79</v>
      </c>
      <c r="O224" s="20" t="str">
        <f t="shared" si="109"/>
        <v>OK</v>
      </c>
    </row>
    <row r="225" spans="1:15" ht="15" x14ac:dyDescent="0.25">
      <c r="A225" s="91"/>
      <c r="B225" s="32">
        <v>5</v>
      </c>
      <c r="C225" s="32">
        <v>1116984</v>
      </c>
      <c r="D225" s="39">
        <v>45813</v>
      </c>
      <c r="E225" s="32" t="s">
        <v>15</v>
      </c>
      <c r="F225" s="32" t="str">
        <f t="shared" si="114"/>
        <v>M21</v>
      </c>
      <c r="G225" s="61" t="str">
        <f t="shared" si="115"/>
        <v>008</v>
      </c>
      <c r="H225" s="72" t="str">
        <f t="shared" si="119"/>
        <v>C4</v>
      </c>
      <c r="I225" s="72">
        <f t="shared" si="121"/>
        <v>2</v>
      </c>
      <c r="J225" s="37" t="s">
        <v>37</v>
      </c>
      <c r="K225" s="37">
        <v>16</v>
      </c>
      <c r="L225" s="17">
        <v>0.81</v>
      </c>
      <c r="M225" s="19">
        <v>2.71</v>
      </c>
      <c r="N225" s="18">
        <f t="shared" si="104"/>
        <v>1.9</v>
      </c>
      <c r="O225" s="20" t="str">
        <f t="shared" si="109"/>
        <v>OK</v>
      </c>
    </row>
    <row r="226" spans="1:15" ht="15" x14ac:dyDescent="0.25">
      <c r="A226" s="91"/>
      <c r="B226" s="32">
        <v>5</v>
      </c>
      <c r="C226" s="32">
        <v>1116984</v>
      </c>
      <c r="D226" s="39">
        <v>45813</v>
      </c>
      <c r="E226" s="32" t="s">
        <v>15</v>
      </c>
      <c r="F226" s="32" t="str">
        <f t="shared" si="114"/>
        <v>M21</v>
      </c>
      <c r="G226" s="61" t="str">
        <f t="shared" si="115"/>
        <v>008</v>
      </c>
      <c r="H226" s="72" t="str">
        <f t="shared" si="119"/>
        <v>C4</v>
      </c>
      <c r="I226" s="72">
        <f t="shared" si="121"/>
        <v>2</v>
      </c>
      <c r="J226" s="37" t="s">
        <v>38</v>
      </c>
      <c r="K226" s="37">
        <v>16</v>
      </c>
      <c r="L226" s="17">
        <v>1.04</v>
      </c>
      <c r="M226" s="19">
        <v>3.15</v>
      </c>
      <c r="N226" s="18">
        <f t="shared" si="104"/>
        <v>2.11</v>
      </c>
      <c r="O226" s="20" t="str">
        <f t="shared" si="109"/>
        <v>OK</v>
      </c>
    </row>
    <row r="227" spans="1:15" ht="15" x14ac:dyDescent="0.25">
      <c r="A227" s="91"/>
      <c r="B227" s="32">
        <v>5</v>
      </c>
      <c r="C227" s="32">
        <v>1116984</v>
      </c>
      <c r="D227" s="39">
        <v>45813</v>
      </c>
      <c r="E227" s="32" t="s">
        <v>15</v>
      </c>
      <c r="F227" s="32" t="s">
        <v>44</v>
      </c>
      <c r="G227" s="61" t="s">
        <v>71</v>
      </c>
      <c r="H227" s="72" t="s">
        <v>46</v>
      </c>
      <c r="I227" s="72">
        <v>1</v>
      </c>
      <c r="J227" s="37" t="s">
        <v>31</v>
      </c>
      <c r="K227" s="37">
        <v>17</v>
      </c>
      <c r="L227" s="17">
        <v>0.21</v>
      </c>
      <c r="M227" s="19">
        <v>5.0199999999999996</v>
      </c>
      <c r="N227" s="18">
        <f t="shared" si="104"/>
        <v>4.8099999999999996</v>
      </c>
      <c r="O227" s="20" t="str">
        <f t="shared" si="109"/>
        <v>OK</v>
      </c>
    </row>
    <row r="228" spans="1:15" ht="15" x14ac:dyDescent="0.25">
      <c r="A228" s="91"/>
      <c r="B228" s="32">
        <v>5</v>
      </c>
      <c r="C228" s="32">
        <v>1116984</v>
      </c>
      <c r="D228" s="39">
        <v>45813</v>
      </c>
      <c r="E228" s="32" t="s">
        <v>15</v>
      </c>
      <c r="F228" s="32" t="str">
        <f t="shared" ref="F228:F242" si="122">F227</f>
        <v>M22</v>
      </c>
      <c r="G228" s="61" t="str">
        <f t="shared" ref="G228:G242" si="123">G227</f>
        <v>304</v>
      </c>
      <c r="H228" s="72" t="str">
        <f t="shared" ref="H228:H234" si="124">H227</f>
        <v>C5</v>
      </c>
      <c r="I228" s="72">
        <f t="shared" ref="I228:I230" si="125">I227</f>
        <v>1</v>
      </c>
      <c r="J228" s="37" t="s">
        <v>32</v>
      </c>
      <c r="K228" s="37">
        <v>17</v>
      </c>
      <c r="L228" s="17">
        <v>0.61</v>
      </c>
      <c r="M228" s="19">
        <v>2.0299999999999998</v>
      </c>
      <c r="N228" s="18">
        <f t="shared" si="104"/>
        <v>1.42</v>
      </c>
      <c r="O228" s="20" t="str">
        <f t="shared" si="109"/>
        <v>OK</v>
      </c>
    </row>
    <row r="229" spans="1:15" ht="15" x14ac:dyDescent="0.25">
      <c r="A229" s="91"/>
      <c r="B229" s="32">
        <v>5</v>
      </c>
      <c r="C229" s="32">
        <v>1116984</v>
      </c>
      <c r="D229" s="39">
        <v>45813</v>
      </c>
      <c r="E229" s="32" t="s">
        <v>15</v>
      </c>
      <c r="F229" s="32" t="str">
        <f t="shared" si="122"/>
        <v>M22</v>
      </c>
      <c r="G229" s="61" t="str">
        <f t="shared" si="123"/>
        <v>304</v>
      </c>
      <c r="H229" s="72" t="str">
        <f t="shared" si="124"/>
        <v>C5</v>
      </c>
      <c r="I229" s="72">
        <f t="shared" si="125"/>
        <v>1</v>
      </c>
      <c r="J229" s="37" t="s">
        <v>33</v>
      </c>
      <c r="K229" s="37">
        <v>18</v>
      </c>
      <c r="L229" s="17">
        <v>0.13</v>
      </c>
      <c r="M229" s="19">
        <v>2.16</v>
      </c>
      <c r="N229" s="18">
        <f t="shared" si="104"/>
        <v>2.0300000000000002</v>
      </c>
      <c r="O229" s="20" t="str">
        <f t="shared" si="109"/>
        <v>OK</v>
      </c>
    </row>
    <row r="230" spans="1:15" ht="15" x14ac:dyDescent="0.25">
      <c r="A230" s="91"/>
      <c r="B230" s="32">
        <v>5</v>
      </c>
      <c r="C230" s="32">
        <v>1116984</v>
      </c>
      <c r="D230" s="39">
        <v>45813</v>
      </c>
      <c r="E230" s="32" t="s">
        <v>15</v>
      </c>
      <c r="F230" s="32" t="str">
        <f t="shared" si="122"/>
        <v>M22</v>
      </c>
      <c r="G230" s="61" t="str">
        <f t="shared" si="123"/>
        <v>304</v>
      </c>
      <c r="H230" s="72" t="str">
        <f t="shared" si="124"/>
        <v>C5</v>
      </c>
      <c r="I230" s="72">
        <f t="shared" si="125"/>
        <v>1</v>
      </c>
      <c r="J230" s="37" t="s">
        <v>34</v>
      </c>
      <c r="K230" s="37">
        <v>18</v>
      </c>
      <c r="L230" s="17">
        <v>0.26</v>
      </c>
      <c r="M230" s="19">
        <v>4.97</v>
      </c>
      <c r="N230" s="18">
        <f t="shared" si="104"/>
        <v>4.71</v>
      </c>
      <c r="O230" s="20" t="str">
        <f t="shared" si="109"/>
        <v>OK</v>
      </c>
    </row>
    <row r="231" spans="1:15" ht="15" x14ac:dyDescent="0.25">
      <c r="A231" s="91"/>
      <c r="B231" s="32">
        <v>5</v>
      </c>
      <c r="C231" s="32">
        <v>1116984</v>
      </c>
      <c r="D231" s="39">
        <v>45813</v>
      </c>
      <c r="E231" s="32" t="s">
        <v>15</v>
      </c>
      <c r="F231" s="32" t="str">
        <f t="shared" si="122"/>
        <v>M22</v>
      </c>
      <c r="G231" s="61" t="str">
        <f t="shared" si="123"/>
        <v>304</v>
      </c>
      <c r="H231" s="72" t="str">
        <f t="shared" si="124"/>
        <v>C5</v>
      </c>
      <c r="I231" s="72">
        <v>2</v>
      </c>
      <c r="J231" s="37" t="s">
        <v>35</v>
      </c>
      <c r="K231" s="37">
        <v>19</v>
      </c>
      <c r="L231" s="17">
        <v>0.25</v>
      </c>
      <c r="M231" s="19">
        <v>1.94</v>
      </c>
      <c r="N231" s="18">
        <f t="shared" si="104"/>
        <v>1.69</v>
      </c>
      <c r="O231" s="20" t="str">
        <f t="shared" si="109"/>
        <v>OK</v>
      </c>
    </row>
    <row r="232" spans="1:15" ht="15" x14ac:dyDescent="0.25">
      <c r="A232" s="91"/>
      <c r="B232" s="32">
        <v>5</v>
      </c>
      <c r="C232" s="32">
        <v>1116984</v>
      </c>
      <c r="D232" s="39">
        <v>45813</v>
      </c>
      <c r="E232" s="32" t="s">
        <v>15</v>
      </c>
      <c r="F232" s="32" t="str">
        <f t="shared" si="122"/>
        <v>M22</v>
      </c>
      <c r="G232" s="61" t="str">
        <f t="shared" si="123"/>
        <v>304</v>
      </c>
      <c r="H232" s="72" t="str">
        <f t="shared" si="124"/>
        <v>C5</v>
      </c>
      <c r="I232" s="72">
        <f t="shared" ref="I232:I234" si="126">I231</f>
        <v>2</v>
      </c>
      <c r="J232" s="37" t="s">
        <v>36</v>
      </c>
      <c r="K232" s="37">
        <v>19</v>
      </c>
      <c r="L232" s="17">
        <v>0.13</v>
      </c>
      <c r="M232" s="19">
        <v>4.82</v>
      </c>
      <c r="N232" s="18">
        <f t="shared" si="104"/>
        <v>4.6900000000000004</v>
      </c>
      <c r="O232" s="20" t="str">
        <f t="shared" si="109"/>
        <v>OK</v>
      </c>
    </row>
    <row r="233" spans="1:15" ht="15" x14ac:dyDescent="0.25">
      <c r="A233" s="91"/>
      <c r="B233" s="32">
        <v>5</v>
      </c>
      <c r="C233" s="32">
        <v>1116984</v>
      </c>
      <c r="D233" s="39">
        <v>45813</v>
      </c>
      <c r="E233" s="32" t="s">
        <v>15</v>
      </c>
      <c r="F233" s="32" t="str">
        <f t="shared" si="122"/>
        <v>M22</v>
      </c>
      <c r="G233" s="61" t="str">
        <f t="shared" si="123"/>
        <v>304</v>
      </c>
      <c r="H233" s="72" t="str">
        <f t="shared" si="124"/>
        <v>C5</v>
      </c>
      <c r="I233" s="72">
        <f t="shared" si="126"/>
        <v>2</v>
      </c>
      <c r="J233" s="37" t="s">
        <v>37</v>
      </c>
      <c r="K233" s="37">
        <v>20</v>
      </c>
      <c r="L233" s="17">
        <v>0.21</v>
      </c>
      <c r="M233" s="19">
        <v>4.93</v>
      </c>
      <c r="N233" s="18">
        <f t="shared" si="104"/>
        <v>4.72</v>
      </c>
      <c r="O233" s="20" t="str">
        <f t="shared" si="109"/>
        <v>OK</v>
      </c>
    </row>
    <row r="234" spans="1:15" ht="15" x14ac:dyDescent="0.25">
      <c r="A234" s="91"/>
      <c r="B234" s="32">
        <v>5</v>
      </c>
      <c r="C234" s="32">
        <v>1116984</v>
      </c>
      <c r="D234" s="39">
        <v>45813</v>
      </c>
      <c r="E234" s="32" t="s">
        <v>15</v>
      </c>
      <c r="F234" s="32" t="str">
        <f t="shared" si="122"/>
        <v>M22</v>
      </c>
      <c r="G234" s="61" t="str">
        <f t="shared" si="123"/>
        <v>304</v>
      </c>
      <c r="H234" s="72" t="str">
        <f t="shared" si="124"/>
        <v>C5</v>
      </c>
      <c r="I234" s="72">
        <f t="shared" si="126"/>
        <v>2</v>
      </c>
      <c r="J234" s="37" t="s">
        <v>38</v>
      </c>
      <c r="K234" s="37">
        <v>20</v>
      </c>
      <c r="L234" s="17">
        <v>0.79</v>
      </c>
      <c r="M234" s="19">
        <v>4.1500000000000004</v>
      </c>
      <c r="N234" s="18">
        <f t="shared" si="104"/>
        <v>3.3600000000000003</v>
      </c>
      <c r="O234" s="20" t="str">
        <f t="shared" si="109"/>
        <v>OK</v>
      </c>
    </row>
    <row r="235" spans="1:15" ht="15" x14ac:dyDescent="0.25">
      <c r="A235" s="91"/>
      <c r="B235" s="32">
        <v>5</v>
      </c>
      <c r="C235" s="32">
        <v>1116984</v>
      </c>
      <c r="D235" s="39">
        <v>45813</v>
      </c>
      <c r="E235" s="32" t="s">
        <v>15</v>
      </c>
      <c r="F235" s="32" t="str">
        <f t="shared" si="122"/>
        <v>M22</v>
      </c>
      <c r="G235" s="61" t="str">
        <f t="shared" si="123"/>
        <v>304</v>
      </c>
      <c r="H235" s="72" t="s">
        <v>47</v>
      </c>
      <c r="I235" s="72">
        <v>1</v>
      </c>
      <c r="J235" s="37" t="s">
        <v>31</v>
      </c>
      <c r="K235" s="37">
        <v>21</v>
      </c>
      <c r="L235" s="17">
        <v>0.11</v>
      </c>
      <c r="M235" s="19">
        <v>4.8899999999999997</v>
      </c>
      <c r="N235" s="18">
        <f t="shared" si="104"/>
        <v>4.7799999999999994</v>
      </c>
      <c r="O235" s="20" t="str">
        <f t="shared" si="109"/>
        <v>OK</v>
      </c>
    </row>
    <row r="236" spans="1:15" ht="15" x14ac:dyDescent="0.25">
      <c r="A236" s="91"/>
      <c r="B236" s="32">
        <v>5</v>
      </c>
      <c r="C236" s="32">
        <v>1116984</v>
      </c>
      <c r="D236" s="39">
        <v>45813</v>
      </c>
      <c r="E236" s="32" t="s">
        <v>15</v>
      </c>
      <c r="F236" s="32" t="str">
        <f t="shared" si="122"/>
        <v>M22</v>
      </c>
      <c r="G236" s="61" t="str">
        <f t="shared" si="123"/>
        <v>304</v>
      </c>
      <c r="H236" s="72" t="str">
        <f t="shared" ref="H236:H242" si="127">H235</f>
        <v>C6</v>
      </c>
      <c r="I236" s="72">
        <f t="shared" ref="I236:I238" si="128">I235</f>
        <v>1</v>
      </c>
      <c r="J236" s="37" t="s">
        <v>32</v>
      </c>
      <c r="K236" s="37">
        <v>21</v>
      </c>
      <c r="L236" s="17">
        <v>0.09</v>
      </c>
      <c r="M236" s="19">
        <v>4.92</v>
      </c>
      <c r="N236" s="18">
        <f t="shared" si="104"/>
        <v>4.83</v>
      </c>
      <c r="O236" s="20" t="str">
        <f t="shared" si="109"/>
        <v>OK</v>
      </c>
    </row>
    <row r="237" spans="1:15" ht="15" x14ac:dyDescent="0.25">
      <c r="A237" s="91"/>
      <c r="B237" s="32">
        <v>5</v>
      </c>
      <c r="C237" s="32">
        <v>1116984</v>
      </c>
      <c r="D237" s="39">
        <v>45813</v>
      </c>
      <c r="E237" s="32" t="s">
        <v>15</v>
      </c>
      <c r="F237" s="32" t="str">
        <f t="shared" si="122"/>
        <v>M22</v>
      </c>
      <c r="G237" s="61" t="str">
        <f t="shared" si="123"/>
        <v>304</v>
      </c>
      <c r="H237" s="72" t="str">
        <f t="shared" si="127"/>
        <v>C6</v>
      </c>
      <c r="I237" s="72">
        <f t="shared" si="128"/>
        <v>1</v>
      </c>
      <c r="J237" s="37" t="s">
        <v>33</v>
      </c>
      <c r="K237" s="37">
        <v>22</v>
      </c>
      <c r="L237" s="17">
        <v>0.19</v>
      </c>
      <c r="M237" s="19">
        <v>4.87</v>
      </c>
      <c r="N237" s="18">
        <f t="shared" si="104"/>
        <v>4.68</v>
      </c>
      <c r="O237" s="20" t="str">
        <f t="shared" si="109"/>
        <v>OK</v>
      </c>
    </row>
    <row r="238" spans="1:15" ht="15" x14ac:dyDescent="0.25">
      <c r="A238" s="91"/>
      <c r="B238" s="32">
        <v>5</v>
      </c>
      <c r="C238" s="32">
        <v>1116984</v>
      </c>
      <c r="D238" s="39">
        <v>45813</v>
      </c>
      <c r="E238" s="32" t="s">
        <v>15</v>
      </c>
      <c r="F238" s="32" t="str">
        <f t="shared" si="122"/>
        <v>M22</v>
      </c>
      <c r="G238" s="61" t="str">
        <f t="shared" si="123"/>
        <v>304</v>
      </c>
      <c r="H238" s="72" t="str">
        <f t="shared" si="127"/>
        <v>C6</v>
      </c>
      <c r="I238" s="72">
        <f t="shared" si="128"/>
        <v>1</v>
      </c>
      <c r="J238" s="37" t="s">
        <v>34</v>
      </c>
      <c r="K238" s="37">
        <v>22</v>
      </c>
      <c r="L238" s="17">
        <v>0.13</v>
      </c>
      <c r="M238" s="19">
        <v>4.71</v>
      </c>
      <c r="N238" s="18">
        <f t="shared" si="104"/>
        <v>4.58</v>
      </c>
      <c r="O238" s="20" t="str">
        <f t="shared" si="109"/>
        <v>OK</v>
      </c>
    </row>
    <row r="239" spans="1:15" ht="15" x14ac:dyDescent="0.25">
      <c r="A239" s="91"/>
      <c r="B239" s="32">
        <v>5</v>
      </c>
      <c r="C239" s="32">
        <v>1116984</v>
      </c>
      <c r="D239" s="39">
        <v>45813</v>
      </c>
      <c r="E239" s="32" t="s">
        <v>15</v>
      </c>
      <c r="F239" s="32" t="str">
        <f t="shared" si="122"/>
        <v>M22</v>
      </c>
      <c r="G239" s="61" t="str">
        <f t="shared" si="123"/>
        <v>304</v>
      </c>
      <c r="H239" s="72" t="str">
        <f t="shared" si="127"/>
        <v>C6</v>
      </c>
      <c r="I239" s="72">
        <v>2</v>
      </c>
      <c r="J239" s="37" t="s">
        <v>35</v>
      </c>
      <c r="K239" s="37">
        <v>23</v>
      </c>
      <c r="L239" s="17">
        <v>0.09</v>
      </c>
      <c r="M239" s="19">
        <v>4.82</v>
      </c>
      <c r="N239" s="18">
        <f t="shared" si="104"/>
        <v>4.7300000000000004</v>
      </c>
      <c r="O239" s="20" t="str">
        <f t="shared" si="109"/>
        <v>OK</v>
      </c>
    </row>
    <row r="240" spans="1:15" ht="15" x14ac:dyDescent="0.25">
      <c r="A240" s="91"/>
      <c r="B240" s="32">
        <v>5</v>
      </c>
      <c r="C240" s="32">
        <v>1116984</v>
      </c>
      <c r="D240" s="39">
        <v>45813</v>
      </c>
      <c r="E240" s="32" t="s">
        <v>15</v>
      </c>
      <c r="F240" s="32" t="str">
        <f t="shared" si="122"/>
        <v>M22</v>
      </c>
      <c r="G240" s="61" t="str">
        <f t="shared" si="123"/>
        <v>304</v>
      </c>
      <c r="H240" s="72" t="str">
        <f t="shared" si="127"/>
        <v>C6</v>
      </c>
      <c r="I240" s="72">
        <f t="shared" ref="I240:I242" si="129">I239</f>
        <v>2</v>
      </c>
      <c r="J240" s="37" t="s">
        <v>36</v>
      </c>
      <c r="K240" s="37">
        <v>23</v>
      </c>
      <c r="L240" s="17">
        <v>0.1</v>
      </c>
      <c r="M240" s="19">
        <v>4.6100000000000003</v>
      </c>
      <c r="N240" s="18">
        <f t="shared" si="104"/>
        <v>4.5100000000000007</v>
      </c>
      <c r="O240" s="20" t="str">
        <f t="shared" si="109"/>
        <v>OK</v>
      </c>
    </row>
    <row r="241" spans="1:15" ht="15" x14ac:dyDescent="0.25">
      <c r="A241" s="91"/>
      <c r="B241" s="32">
        <v>5</v>
      </c>
      <c r="C241" s="32">
        <v>1116984</v>
      </c>
      <c r="D241" s="39">
        <v>45813</v>
      </c>
      <c r="E241" s="32" t="s">
        <v>15</v>
      </c>
      <c r="F241" s="32" t="str">
        <f t="shared" si="122"/>
        <v>M22</v>
      </c>
      <c r="G241" s="61" t="str">
        <f t="shared" si="123"/>
        <v>304</v>
      </c>
      <c r="H241" s="72" t="str">
        <f t="shared" si="127"/>
        <v>C6</v>
      </c>
      <c r="I241" s="72">
        <f t="shared" si="129"/>
        <v>2</v>
      </c>
      <c r="J241" s="37" t="s">
        <v>37</v>
      </c>
      <c r="K241" s="37">
        <v>24</v>
      </c>
      <c r="L241" s="17">
        <v>0.17</v>
      </c>
      <c r="M241" s="19">
        <v>4.92</v>
      </c>
      <c r="N241" s="18">
        <f t="shared" si="104"/>
        <v>4.75</v>
      </c>
      <c r="O241" s="20" t="str">
        <f t="shared" si="109"/>
        <v>OK</v>
      </c>
    </row>
    <row r="242" spans="1:15" ht="15" x14ac:dyDescent="0.25">
      <c r="A242" s="91"/>
      <c r="B242" s="32">
        <v>5</v>
      </c>
      <c r="C242" s="32">
        <v>1116984</v>
      </c>
      <c r="D242" s="39">
        <v>45813</v>
      </c>
      <c r="E242" s="32" t="s">
        <v>15</v>
      </c>
      <c r="F242" s="32" t="str">
        <f t="shared" si="122"/>
        <v>M22</v>
      </c>
      <c r="G242" s="61" t="str">
        <f t="shared" si="123"/>
        <v>304</v>
      </c>
      <c r="H242" s="72" t="str">
        <f t="shared" si="127"/>
        <v>C6</v>
      </c>
      <c r="I242" s="72">
        <f t="shared" si="129"/>
        <v>2</v>
      </c>
      <c r="J242" s="37" t="s">
        <v>38</v>
      </c>
      <c r="K242" s="37">
        <v>24</v>
      </c>
      <c r="L242" s="17">
        <v>0.21</v>
      </c>
      <c r="M242" s="19">
        <v>4.9400000000000004</v>
      </c>
      <c r="N242" s="18">
        <f t="shared" si="104"/>
        <v>4.7300000000000004</v>
      </c>
      <c r="O242" s="20" t="str">
        <f t="shared" si="109"/>
        <v>OK</v>
      </c>
    </row>
    <row r="243" spans="1:15" ht="15" x14ac:dyDescent="0.25">
      <c r="A243" s="91"/>
      <c r="B243" s="32">
        <v>5</v>
      </c>
      <c r="C243" s="32">
        <v>1116984</v>
      </c>
      <c r="D243" s="39">
        <v>45813</v>
      </c>
      <c r="E243" s="32" t="s">
        <v>15</v>
      </c>
      <c r="F243" s="32" t="s">
        <v>44</v>
      </c>
      <c r="G243" s="61" t="s">
        <v>72</v>
      </c>
      <c r="H243" s="72" t="s">
        <v>47</v>
      </c>
      <c r="I243" s="72">
        <v>2</v>
      </c>
      <c r="J243" s="37" t="s">
        <v>31</v>
      </c>
      <c r="K243" s="37">
        <v>25</v>
      </c>
      <c r="L243" s="17">
        <v>0.09</v>
      </c>
      <c r="M243" s="19">
        <v>4.59</v>
      </c>
      <c r="N243" s="18">
        <f t="shared" si="104"/>
        <v>4.5</v>
      </c>
      <c r="O243" s="20" t="str">
        <f t="shared" si="109"/>
        <v>OK</v>
      </c>
    </row>
    <row r="244" spans="1:15" ht="15" x14ac:dyDescent="0.25">
      <c r="A244" s="91"/>
      <c r="B244" s="32">
        <v>5</v>
      </c>
      <c r="C244" s="32">
        <v>1116984</v>
      </c>
      <c r="D244" s="39">
        <v>45813</v>
      </c>
      <c r="E244" s="32" t="s">
        <v>15</v>
      </c>
      <c r="F244" s="32" t="str">
        <f t="shared" ref="F244:F258" si="130">F243</f>
        <v>M22</v>
      </c>
      <c r="G244" s="61" t="str">
        <f t="shared" ref="G244:G258" si="131">G243</f>
        <v>310</v>
      </c>
      <c r="H244" s="72" t="str">
        <f t="shared" ref="H244:H250" si="132">H243</f>
        <v>C6</v>
      </c>
      <c r="I244" s="72">
        <f t="shared" ref="I244:I246" si="133">I243</f>
        <v>2</v>
      </c>
      <c r="J244" s="37" t="s">
        <v>32</v>
      </c>
      <c r="K244" s="37">
        <v>25</v>
      </c>
      <c r="L244" s="17">
        <v>0.17</v>
      </c>
      <c r="M244" s="19">
        <v>1.58</v>
      </c>
      <c r="N244" s="18">
        <f t="shared" si="104"/>
        <v>1.4100000000000001</v>
      </c>
      <c r="O244" s="20" t="str">
        <f t="shared" si="109"/>
        <v>OK</v>
      </c>
    </row>
    <row r="245" spans="1:15" ht="15" x14ac:dyDescent="0.25">
      <c r="A245" s="91"/>
      <c r="B245" s="32">
        <v>5</v>
      </c>
      <c r="C245" s="32">
        <v>1116984</v>
      </c>
      <c r="D245" s="39">
        <v>45813</v>
      </c>
      <c r="E245" s="32" t="s">
        <v>15</v>
      </c>
      <c r="F245" s="32" t="str">
        <f t="shared" si="130"/>
        <v>M22</v>
      </c>
      <c r="G245" s="61" t="str">
        <f t="shared" si="131"/>
        <v>310</v>
      </c>
      <c r="H245" s="72" t="str">
        <f t="shared" si="132"/>
        <v>C6</v>
      </c>
      <c r="I245" s="72">
        <f t="shared" si="133"/>
        <v>2</v>
      </c>
      <c r="J245" s="37" t="s">
        <v>33</v>
      </c>
      <c r="K245" s="37">
        <v>26</v>
      </c>
      <c r="L245" s="17">
        <v>0.55000000000000004</v>
      </c>
      <c r="M245" s="19">
        <v>4.2300000000000004</v>
      </c>
      <c r="N245" s="18">
        <f t="shared" si="104"/>
        <v>3.6800000000000006</v>
      </c>
      <c r="O245" s="20" t="str">
        <f t="shared" si="109"/>
        <v>OK</v>
      </c>
    </row>
    <row r="246" spans="1:15" ht="15" x14ac:dyDescent="0.25">
      <c r="A246" s="91"/>
      <c r="B246" s="32">
        <v>5</v>
      </c>
      <c r="C246" s="32">
        <v>1116984</v>
      </c>
      <c r="D246" s="39">
        <v>45813</v>
      </c>
      <c r="E246" s="32" t="s">
        <v>15</v>
      </c>
      <c r="F246" s="32" t="str">
        <f t="shared" si="130"/>
        <v>M22</v>
      </c>
      <c r="G246" s="61" t="str">
        <f t="shared" si="131"/>
        <v>310</v>
      </c>
      <c r="H246" s="72" t="str">
        <f t="shared" si="132"/>
        <v>C6</v>
      </c>
      <c r="I246" s="72">
        <f t="shared" si="133"/>
        <v>2</v>
      </c>
      <c r="J246" s="37" t="s">
        <v>34</v>
      </c>
      <c r="K246" s="37">
        <v>26</v>
      </c>
      <c r="L246" s="17">
        <v>0.21</v>
      </c>
      <c r="M246" s="19">
        <v>4.66</v>
      </c>
      <c r="N246" s="18">
        <f t="shared" si="104"/>
        <v>4.45</v>
      </c>
      <c r="O246" s="20" t="str">
        <f t="shared" si="109"/>
        <v>OK</v>
      </c>
    </row>
    <row r="247" spans="1:15" ht="15" x14ac:dyDescent="0.25">
      <c r="A247" s="91"/>
      <c r="B247" s="32">
        <v>5</v>
      </c>
      <c r="C247" s="32">
        <v>1116984</v>
      </c>
      <c r="D247" s="39">
        <v>45813</v>
      </c>
      <c r="E247" s="32" t="s">
        <v>15</v>
      </c>
      <c r="F247" s="32" t="str">
        <f t="shared" si="130"/>
        <v>M22</v>
      </c>
      <c r="G247" s="61" t="str">
        <f t="shared" si="131"/>
        <v>310</v>
      </c>
      <c r="H247" s="72" t="str">
        <f t="shared" si="132"/>
        <v>C6</v>
      </c>
      <c r="I247" s="72">
        <v>1</v>
      </c>
      <c r="J247" s="37" t="s">
        <v>35</v>
      </c>
      <c r="K247" s="37">
        <v>27</v>
      </c>
      <c r="L247" s="17">
        <v>0.67</v>
      </c>
      <c r="M247" s="19">
        <v>4.47</v>
      </c>
      <c r="N247" s="18">
        <f t="shared" si="104"/>
        <v>3.8</v>
      </c>
      <c r="O247" s="20" t="str">
        <f t="shared" si="109"/>
        <v>OK</v>
      </c>
    </row>
    <row r="248" spans="1:15" ht="15" x14ac:dyDescent="0.25">
      <c r="A248" s="91"/>
      <c r="B248" s="32">
        <v>5</v>
      </c>
      <c r="C248" s="32">
        <v>1116984</v>
      </c>
      <c r="D248" s="39">
        <v>45813</v>
      </c>
      <c r="E248" s="32" t="s">
        <v>15</v>
      </c>
      <c r="F248" s="32" t="str">
        <f t="shared" si="130"/>
        <v>M22</v>
      </c>
      <c r="G248" s="61" t="str">
        <f t="shared" si="131"/>
        <v>310</v>
      </c>
      <c r="H248" s="72" t="str">
        <f t="shared" si="132"/>
        <v>C6</v>
      </c>
      <c r="I248" s="72">
        <f t="shared" ref="I248:I250" si="134">I247</f>
        <v>1</v>
      </c>
      <c r="J248" s="37" t="s">
        <v>36</v>
      </c>
      <c r="K248" s="37">
        <v>27</v>
      </c>
      <c r="L248" s="17">
        <v>0.63</v>
      </c>
      <c r="M248" s="19">
        <v>4.28</v>
      </c>
      <c r="N248" s="18">
        <f t="shared" si="104"/>
        <v>3.6500000000000004</v>
      </c>
      <c r="O248" s="20" t="str">
        <f t="shared" si="109"/>
        <v>OK</v>
      </c>
    </row>
    <row r="249" spans="1:15" ht="15" x14ac:dyDescent="0.25">
      <c r="A249" s="91"/>
      <c r="B249" s="32">
        <v>5</v>
      </c>
      <c r="C249" s="32">
        <v>1116984</v>
      </c>
      <c r="D249" s="39">
        <v>45813</v>
      </c>
      <c r="E249" s="32" t="s">
        <v>15</v>
      </c>
      <c r="F249" s="32" t="str">
        <f t="shared" si="130"/>
        <v>M22</v>
      </c>
      <c r="G249" s="61" t="str">
        <f t="shared" si="131"/>
        <v>310</v>
      </c>
      <c r="H249" s="72" t="str">
        <f t="shared" si="132"/>
        <v>C6</v>
      </c>
      <c r="I249" s="72">
        <f t="shared" si="134"/>
        <v>1</v>
      </c>
      <c r="J249" s="37" t="s">
        <v>37</v>
      </c>
      <c r="K249" s="37">
        <v>28</v>
      </c>
      <c r="L249" s="17">
        <v>0.57999999999999996</v>
      </c>
      <c r="M249" s="19">
        <v>4.76</v>
      </c>
      <c r="N249" s="18">
        <f t="shared" si="104"/>
        <v>4.18</v>
      </c>
      <c r="O249" s="20" t="str">
        <f t="shared" si="109"/>
        <v>OK</v>
      </c>
    </row>
    <row r="250" spans="1:15" ht="15" x14ac:dyDescent="0.25">
      <c r="A250" s="91"/>
      <c r="B250" s="32">
        <v>5</v>
      </c>
      <c r="C250" s="32">
        <v>1116984</v>
      </c>
      <c r="D250" s="39">
        <v>45813</v>
      </c>
      <c r="E250" s="32" t="s">
        <v>15</v>
      </c>
      <c r="F250" s="32" t="str">
        <f t="shared" si="130"/>
        <v>M22</v>
      </c>
      <c r="G250" s="61" t="str">
        <f t="shared" si="131"/>
        <v>310</v>
      </c>
      <c r="H250" s="72" t="str">
        <f t="shared" si="132"/>
        <v>C6</v>
      </c>
      <c r="I250" s="72">
        <f t="shared" si="134"/>
        <v>1</v>
      </c>
      <c r="J250" s="37" t="s">
        <v>38</v>
      </c>
      <c r="K250" s="37">
        <v>28</v>
      </c>
      <c r="L250" s="17">
        <v>0.22</v>
      </c>
      <c r="M250" s="19">
        <v>4.58</v>
      </c>
      <c r="N250" s="18">
        <f t="shared" si="104"/>
        <v>4.3600000000000003</v>
      </c>
      <c r="O250" s="20" t="str">
        <f t="shared" si="109"/>
        <v>OK</v>
      </c>
    </row>
    <row r="251" spans="1:15" ht="15" x14ac:dyDescent="0.25">
      <c r="A251" s="91"/>
      <c r="B251" s="32">
        <v>5</v>
      </c>
      <c r="C251" s="32">
        <v>1116984</v>
      </c>
      <c r="D251" s="39">
        <v>45813</v>
      </c>
      <c r="E251" s="32" t="s">
        <v>15</v>
      </c>
      <c r="F251" s="32" t="str">
        <f t="shared" si="130"/>
        <v>M22</v>
      </c>
      <c r="G251" s="61" t="str">
        <f t="shared" si="131"/>
        <v>310</v>
      </c>
      <c r="H251" s="72" t="s">
        <v>46</v>
      </c>
      <c r="I251" s="72">
        <v>2</v>
      </c>
      <c r="J251" s="37" t="s">
        <v>31</v>
      </c>
      <c r="K251" s="37">
        <v>29</v>
      </c>
      <c r="L251" s="17">
        <v>0.99</v>
      </c>
      <c r="M251" s="19">
        <v>4.0999999999999996</v>
      </c>
      <c r="N251" s="18">
        <f t="shared" si="104"/>
        <v>3.1099999999999994</v>
      </c>
      <c r="O251" s="20" t="str">
        <f t="shared" si="109"/>
        <v>OK</v>
      </c>
    </row>
    <row r="252" spans="1:15" ht="15" x14ac:dyDescent="0.25">
      <c r="A252" s="91"/>
      <c r="B252" s="32">
        <v>5</v>
      </c>
      <c r="C252" s="32">
        <v>1116984</v>
      </c>
      <c r="D252" s="39">
        <v>45813</v>
      </c>
      <c r="E252" s="32" t="s">
        <v>15</v>
      </c>
      <c r="F252" s="32" t="str">
        <f t="shared" si="130"/>
        <v>M22</v>
      </c>
      <c r="G252" s="61" t="str">
        <f t="shared" si="131"/>
        <v>310</v>
      </c>
      <c r="H252" s="72" t="str">
        <f t="shared" ref="H252:H258" si="135">H251</f>
        <v>C5</v>
      </c>
      <c r="I252" s="72">
        <f t="shared" ref="I252:I254" si="136">I251</f>
        <v>2</v>
      </c>
      <c r="J252" s="37" t="s">
        <v>32</v>
      </c>
      <c r="K252" s="37">
        <v>29</v>
      </c>
      <c r="L252" s="17">
        <v>0.16</v>
      </c>
      <c r="M252" s="19">
        <v>1.1599999999999999</v>
      </c>
      <c r="N252" s="18">
        <f t="shared" si="104"/>
        <v>0.99999999999999989</v>
      </c>
      <c r="O252" s="20" t="str">
        <f t="shared" si="109"/>
        <v>Seguimiento</v>
      </c>
    </row>
    <row r="253" spans="1:15" ht="15" x14ac:dyDescent="0.25">
      <c r="A253" s="91"/>
      <c r="B253" s="32">
        <v>5</v>
      </c>
      <c r="C253" s="32">
        <v>1116984</v>
      </c>
      <c r="D253" s="39">
        <v>45813</v>
      </c>
      <c r="E253" s="32" t="s">
        <v>15</v>
      </c>
      <c r="F253" s="32" t="str">
        <f t="shared" si="130"/>
        <v>M22</v>
      </c>
      <c r="G253" s="61" t="str">
        <f t="shared" si="131"/>
        <v>310</v>
      </c>
      <c r="H253" s="72" t="str">
        <f t="shared" si="135"/>
        <v>C5</v>
      </c>
      <c r="I253" s="72">
        <f t="shared" si="136"/>
        <v>2</v>
      </c>
      <c r="J253" s="37" t="s">
        <v>33</v>
      </c>
      <c r="K253" s="37">
        <v>30</v>
      </c>
      <c r="L253" s="17">
        <v>0.44</v>
      </c>
      <c r="M253" s="19">
        <v>1.48</v>
      </c>
      <c r="N253" s="18">
        <f t="shared" si="104"/>
        <v>1.04</v>
      </c>
      <c r="O253" s="20" t="str">
        <f t="shared" si="109"/>
        <v>OK</v>
      </c>
    </row>
    <row r="254" spans="1:15" ht="15" x14ac:dyDescent="0.25">
      <c r="A254" s="91"/>
      <c r="B254" s="32">
        <v>5</v>
      </c>
      <c r="C254" s="32">
        <v>1116984</v>
      </c>
      <c r="D254" s="39">
        <v>45813</v>
      </c>
      <c r="E254" s="32" t="s">
        <v>15</v>
      </c>
      <c r="F254" s="32" t="str">
        <f t="shared" si="130"/>
        <v>M22</v>
      </c>
      <c r="G254" s="61" t="str">
        <f t="shared" si="131"/>
        <v>310</v>
      </c>
      <c r="H254" s="72" t="str">
        <f t="shared" si="135"/>
        <v>C5</v>
      </c>
      <c r="I254" s="72">
        <f t="shared" si="136"/>
        <v>2</v>
      </c>
      <c r="J254" s="37" t="s">
        <v>34</v>
      </c>
      <c r="K254" s="37">
        <v>30</v>
      </c>
      <c r="L254" s="17">
        <v>0.13</v>
      </c>
      <c r="M254" s="19">
        <v>0.91</v>
      </c>
      <c r="N254" s="18">
        <f t="shared" si="104"/>
        <v>0.78</v>
      </c>
      <c r="O254" s="20" t="str">
        <f t="shared" si="109"/>
        <v>Seguimiento</v>
      </c>
    </row>
    <row r="255" spans="1:15" ht="15" x14ac:dyDescent="0.25">
      <c r="A255" s="91"/>
      <c r="B255" s="32">
        <v>5</v>
      </c>
      <c r="C255" s="32">
        <v>1116984</v>
      </c>
      <c r="D255" s="39">
        <v>45813</v>
      </c>
      <c r="E255" s="32" t="s">
        <v>15</v>
      </c>
      <c r="F255" s="32" t="str">
        <f t="shared" si="130"/>
        <v>M22</v>
      </c>
      <c r="G255" s="61" t="str">
        <f t="shared" si="131"/>
        <v>310</v>
      </c>
      <c r="H255" s="72" t="str">
        <f t="shared" si="135"/>
        <v>C5</v>
      </c>
      <c r="I255" s="72">
        <v>1</v>
      </c>
      <c r="J255" s="37" t="s">
        <v>35</v>
      </c>
      <c r="K255" s="37">
        <v>31</v>
      </c>
      <c r="L255" s="17">
        <v>0.36</v>
      </c>
      <c r="M255" s="19">
        <v>1.48</v>
      </c>
      <c r="N255" s="18">
        <f t="shared" si="104"/>
        <v>1.1200000000000001</v>
      </c>
      <c r="O255" s="20" t="str">
        <f t="shared" si="109"/>
        <v>OK</v>
      </c>
    </row>
    <row r="256" spans="1:15" ht="15" x14ac:dyDescent="0.25">
      <c r="A256" s="91"/>
      <c r="B256" s="32">
        <v>5</v>
      </c>
      <c r="C256" s="32">
        <v>1116984</v>
      </c>
      <c r="D256" s="39">
        <v>45813</v>
      </c>
      <c r="E256" s="32" t="s">
        <v>15</v>
      </c>
      <c r="F256" s="32" t="str">
        <f t="shared" si="130"/>
        <v>M22</v>
      </c>
      <c r="G256" s="61" t="str">
        <f t="shared" si="131"/>
        <v>310</v>
      </c>
      <c r="H256" s="72" t="str">
        <f t="shared" si="135"/>
        <v>C5</v>
      </c>
      <c r="I256" s="72">
        <f t="shared" ref="I256:I258" si="137">I255</f>
        <v>1</v>
      </c>
      <c r="J256" s="37" t="s">
        <v>36</v>
      </c>
      <c r="K256" s="37">
        <v>31</v>
      </c>
      <c r="L256" s="17">
        <v>0.56999999999999995</v>
      </c>
      <c r="M256" s="19">
        <v>2.02</v>
      </c>
      <c r="N256" s="18">
        <f t="shared" si="104"/>
        <v>1.4500000000000002</v>
      </c>
      <c r="O256" s="20" t="str">
        <f t="shared" si="109"/>
        <v>OK</v>
      </c>
    </row>
    <row r="257" spans="1:15" ht="15" x14ac:dyDescent="0.25">
      <c r="A257" s="91"/>
      <c r="B257" s="32">
        <v>5</v>
      </c>
      <c r="C257" s="32">
        <v>1116984</v>
      </c>
      <c r="D257" s="39">
        <v>45813</v>
      </c>
      <c r="E257" s="32" t="s">
        <v>15</v>
      </c>
      <c r="F257" s="32" t="str">
        <f t="shared" si="130"/>
        <v>M22</v>
      </c>
      <c r="G257" s="61" t="str">
        <f t="shared" si="131"/>
        <v>310</v>
      </c>
      <c r="H257" s="72" t="str">
        <f t="shared" si="135"/>
        <v>C5</v>
      </c>
      <c r="I257" s="72">
        <f t="shared" si="137"/>
        <v>1</v>
      </c>
      <c r="J257" s="37" t="s">
        <v>37</v>
      </c>
      <c r="K257" s="37">
        <v>32</v>
      </c>
      <c r="L257" s="17">
        <v>0.76</v>
      </c>
      <c r="M257" s="19">
        <v>4.22</v>
      </c>
      <c r="N257" s="18">
        <f t="shared" si="104"/>
        <v>3.46</v>
      </c>
      <c r="O257" s="20" t="str">
        <f t="shared" si="109"/>
        <v>OK</v>
      </c>
    </row>
    <row r="258" spans="1:15" ht="15" x14ac:dyDescent="0.25">
      <c r="A258" s="91"/>
      <c r="B258" s="32">
        <v>5</v>
      </c>
      <c r="C258" s="32">
        <v>1116984</v>
      </c>
      <c r="D258" s="39">
        <v>45813</v>
      </c>
      <c r="E258" s="32" t="s">
        <v>15</v>
      </c>
      <c r="F258" s="32" t="str">
        <f t="shared" si="130"/>
        <v>M22</v>
      </c>
      <c r="G258" s="61" t="str">
        <f t="shared" si="131"/>
        <v>310</v>
      </c>
      <c r="H258" s="72" t="str">
        <f t="shared" si="135"/>
        <v>C5</v>
      </c>
      <c r="I258" s="72">
        <f t="shared" si="137"/>
        <v>1</v>
      </c>
      <c r="J258" s="37" t="s">
        <v>38</v>
      </c>
      <c r="K258" s="37">
        <v>32</v>
      </c>
      <c r="L258" s="23">
        <v>0.06</v>
      </c>
      <c r="M258" s="24">
        <v>1.34</v>
      </c>
      <c r="N258" s="18">
        <f t="shared" si="104"/>
        <v>1.28</v>
      </c>
      <c r="O258" s="20" t="str">
        <f t="shared" si="109"/>
        <v>OK</v>
      </c>
    </row>
    <row r="259" spans="1:15" ht="15" x14ac:dyDescent="0.25">
      <c r="A259" s="91"/>
      <c r="B259" s="32">
        <v>5</v>
      </c>
      <c r="C259" s="32">
        <v>1116984</v>
      </c>
      <c r="D259" s="39">
        <v>45813</v>
      </c>
      <c r="E259" s="32" t="s">
        <v>15</v>
      </c>
      <c r="F259" s="32" t="s">
        <v>40</v>
      </c>
      <c r="G259" s="61" t="s">
        <v>73</v>
      </c>
      <c r="H259" s="72" t="s">
        <v>43</v>
      </c>
      <c r="I259" s="72">
        <v>1</v>
      </c>
      <c r="J259" s="37" t="s">
        <v>31</v>
      </c>
      <c r="K259" s="37">
        <v>33</v>
      </c>
      <c r="L259" s="17">
        <v>0.42</v>
      </c>
      <c r="M259" s="17">
        <v>3.3</v>
      </c>
      <c r="N259" s="18">
        <f t="shared" ref="N259:N322" si="138">+M259-L259</f>
        <v>2.88</v>
      </c>
      <c r="O259" s="20" t="str">
        <f t="shared" si="109"/>
        <v>OK</v>
      </c>
    </row>
    <row r="260" spans="1:15" ht="15" x14ac:dyDescent="0.25">
      <c r="A260" s="91"/>
      <c r="B260" s="32">
        <v>5</v>
      </c>
      <c r="C260" s="32">
        <v>1116984</v>
      </c>
      <c r="D260" s="39">
        <v>45813</v>
      </c>
      <c r="E260" s="32" t="s">
        <v>15</v>
      </c>
      <c r="F260" s="32" t="str">
        <f t="shared" ref="F260:F274" si="139">F259</f>
        <v>M21</v>
      </c>
      <c r="G260" s="61" t="str">
        <f t="shared" ref="G260:G274" si="140">G259</f>
        <v>022</v>
      </c>
      <c r="H260" s="72" t="str">
        <f t="shared" ref="H260:H266" si="141">H259</f>
        <v>C4</v>
      </c>
      <c r="I260" s="72">
        <f t="shared" ref="I260:I262" si="142">I259</f>
        <v>1</v>
      </c>
      <c r="J260" s="37" t="s">
        <v>32</v>
      </c>
      <c r="K260" s="37">
        <v>33</v>
      </c>
      <c r="L260" s="17">
        <v>0.82</v>
      </c>
      <c r="M260" s="17">
        <v>3.77</v>
      </c>
      <c r="N260" s="18">
        <f t="shared" si="138"/>
        <v>2.95</v>
      </c>
      <c r="O260" s="20" t="str">
        <f t="shared" ref="O260:O290" si="143">IF(N260&lt;=0,"Critico",IF(N260&lt;=0.2,"Cambio",IF(N260&lt;=1,"Seguimiento",IF(L260&gt;=2,"Reperfilado","OK"))))</f>
        <v>OK</v>
      </c>
    </row>
    <row r="261" spans="1:15" ht="15" x14ac:dyDescent="0.25">
      <c r="A261" s="91"/>
      <c r="B261" s="32">
        <v>5</v>
      </c>
      <c r="C261" s="32">
        <v>1116984</v>
      </c>
      <c r="D261" s="39">
        <v>45813</v>
      </c>
      <c r="E261" s="32" t="s">
        <v>15</v>
      </c>
      <c r="F261" s="32" t="str">
        <f t="shared" si="139"/>
        <v>M21</v>
      </c>
      <c r="G261" s="61" t="str">
        <f t="shared" si="140"/>
        <v>022</v>
      </c>
      <c r="H261" s="72" t="str">
        <f t="shared" si="141"/>
        <v>C4</v>
      </c>
      <c r="I261" s="72">
        <f t="shared" si="142"/>
        <v>1</v>
      </c>
      <c r="J261" s="37" t="s">
        <v>33</v>
      </c>
      <c r="K261" s="37">
        <v>34</v>
      </c>
      <c r="L261" s="17">
        <v>1.58</v>
      </c>
      <c r="M261" s="17">
        <v>3.77</v>
      </c>
      <c r="N261" s="18">
        <f t="shared" si="138"/>
        <v>2.19</v>
      </c>
      <c r="O261" s="20" t="str">
        <f t="shared" si="143"/>
        <v>OK</v>
      </c>
    </row>
    <row r="262" spans="1:15" ht="15" x14ac:dyDescent="0.25">
      <c r="A262" s="91"/>
      <c r="B262" s="32">
        <v>5</v>
      </c>
      <c r="C262" s="32">
        <v>1116984</v>
      </c>
      <c r="D262" s="39">
        <v>45813</v>
      </c>
      <c r="E262" s="32" t="s">
        <v>15</v>
      </c>
      <c r="F262" s="32" t="str">
        <f t="shared" si="139"/>
        <v>M21</v>
      </c>
      <c r="G262" s="61" t="str">
        <f t="shared" si="140"/>
        <v>022</v>
      </c>
      <c r="H262" s="72" t="str">
        <f t="shared" si="141"/>
        <v>C4</v>
      </c>
      <c r="I262" s="72">
        <f t="shared" si="142"/>
        <v>1</v>
      </c>
      <c r="J262" s="37" t="s">
        <v>34</v>
      </c>
      <c r="K262" s="37">
        <v>34</v>
      </c>
      <c r="L262" s="17">
        <v>0.77</v>
      </c>
      <c r="M262" s="17">
        <v>3.8</v>
      </c>
      <c r="N262" s="18">
        <f t="shared" si="138"/>
        <v>3.03</v>
      </c>
      <c r="O262" s="20" t="str">
        <f t="shared" si="143"/>
        <v>OK</v>
      </c>
    </row>
    <row r="263" spans="1:15" ht="15" x14ac:dyDescent="0.25">
      <c r="A263" s="91"/>
      <c r="B263" s="32">
        <v>5</v>
      </c>
      <c r="C263" s="32">
        <v>1116984</v>
      </c>
      <c r="D263" s="39">
        <v>45813</v>
      </c>
      <c r="E263" s="32" t="s">
        <v>15</v>
      </c>
      <c r="F263" s="32" t="str">
        <f t="shared" si="139"/>
        <v>M21</v>
      </c>
      <c r="G263" s="61" t="str">
        <f t="shared" si="140"/>
        <v>022</v>
      </c>
      <c r="H263" s="72" t="str">
        <f t="shared" si="141"/>
        <v>C4</v>
      </c>
      <c r="I263" s="72">
        <v>2</v>
      </c>
      <c r="J263" s="37" t="s">
        <v>35</v>
      </c>
      <c r="K263" s="37">
        <v>35</v>
      </c>
      <c r="L263" s="17">
        <v>0.45</v>
      </c>
      <c r="M263" s="17">
        <v>4.1500000000000004</v>
      </c>
      <c r="N263" s="18">
        <f t="shared" si="138"/>
        <v>3.7</v>
      </c>
      <c r="O263" s="20" t="str">
        <f t="shared" si="143"/>
        <v>OK</v>
      </c>
    </row>
    <row r="264" spans="1:15" ht="15" x14ac:dyDescent="0.25">
      <c r="A264" s="91"/>
      <c r="B264" s="32">
        <v>5</v>
      </c>
      <c r="C264" s="32">
        <v>1116984</v>
      </c>
      <c r="D264" s="39">
        <v>45813</v>
      </c>
      <c r="E264" s="32" t="s">
        <v>15</v>
      </c>
      <c r="F264" s="32" t="str">
        <f t="shared" si="139"/>
        <v>M21</v>
      </c>
      <c r="G264" s="61" t="str">
        <f t="shared" si="140"/>
        <v>022</v>
      </c>
      <c r="H264" s="72" t="str">
        <f t="shared" si="141"/>
        <v>C4</v>
      </c>
      <c r="I264" s="72">
        <f t="shared" ref="I264:I266" si="144">I263</f>
        <v>2</v>
      </c>
      <c r="J264" s="37" t="s">
        <v>36</v>
      </c>
      <c r="K264" s="37">
        <v>35</v>
      </c>
      <c r="L264" s="17">
        <v>0.99</v>
      </c>
      <c r="M264" s="17">
        <v>3.05</v>
      </c>
      <c r="N264" s="18">
        <f t="shared" si="138"/>
        <v>2.0599999999999996</v>
      </c>
      <c r="O264" s="20" t="str">
        <f t="shared" si="143"/>
        <v>OK</v>
      </c>
    </row>
    <row r="265" spans="1:15" ht="15" x14ac:dyDescent="0.25">
      <c r="A265" s="91"/>
      <c r="B265" s="32">
        <v>5</v>
      </c>
      <c r="C265" s="32">
        <v>1116984</v>
      </c>
      <c r="D265" s="39">
        <v>45813</v>
      </c>
      <c r="E265" s="32" t="s">
        <v>15</v>
      </c>
      <c r="F265" s="32" t="str">
        <f t="shared" si="139"/>
        <v>M21</v>
      </c>
      <c r="G265" s="61" t="str">
        <f t="shared" si="140"/>
        <v>022</v>
      </c>
      <c r="H265" s="72" t="str">
        <f t="shared" si="141"/>
        <v>C4</v>
      </c>
      <c r="I265" s="72">
        <f t="shared" si="144"/>
        <v>2</v>
      </c>
      <c r="J265" s="37" t="s">
        <v>37</v>
      </c>
      <c r="K265" s="37">
        <v>36</v>
      </c>
      <c r="L265" s="17">
        <v>0.7</v>
      </c>
      <c r="M265" s="17">
        <v>1.63</v>
      </c>
      <c r="N265" s="18">
        <f t="shared" si="138"/>
        <v>0.92999999999999994</v>
      </c>
      <c r="O265" s="20" t="str">
        <f t="shared" si="143"/>
        <v>Seguimiento</v>
      </c>
    </row>
    <row r="266" spans="1:15" ht="15" x14ac:dyDescent="0.25">
      <c r="A266" s="91"/>
      <c r="B266" s="32">
        <v>5</v>
      </c>
      <c r="C266" s="32">
        <v>1116984</v>
      </c>
      <c r="D266" s="39">
        <v>45813</v>
      </c>
      <c r="E266" s="32" t="s">
        <v>15</v>
      </c>
      <c r="F266" s="32" t="str">
        <f t="shared" si="139"/>
        <v>M21</v>
      </c>
      <c r="G266" s="61" t="str">
        <f t="shared" si="140"/>
        <v>022</v>
      </c>
      <c r="H266" s="72" t="str">
        <f t="shared" si="141"/>
        <v>C4</v>
      </c>
      <c r="I266" s="72">
        <f t="shared" si="144"/>
        <v>2</v>
      </c>
      <c r="J266" s="37" t="s">
        <v>38</v>
      </c>
      <c r="K266" s="37">
        <v>36</v>
      </c>
      <c r="L266" s="17">
        <v>1.35</v>
      </c>
      <c r="M266" s="17">
        <v>4.08</v>
      </c>
      <c r="N266" s="18">
        <f t="shared" si="138"/>
        <v>2.73</v>
      </c>
      <c r="O266" s="20" t="str">
        <f t="shared" si="143"/>
        <v>OK</v>
      </c>
    </row>
    <row r="267" spans="1:15" ht="15" x14ac:dyDescent="0.25">
      <c r="A267" s="91"/>
      <c r="B267" s="32">
        <v>5</v>
      </c>
      <c r="C267" s="32">
        <v>1116984</v>
      </c>
      <c r="D267" s="39">
        <v>45813</v>
      </c>
      <c r="E267" s="32" t="s">
        <v>15</v>
      </c>
      <c r="F267" s="32" t="str">
        <f t="shared" si="139"/>
        <v>M21</v>
      </c>
      <c r="G267" s="61" t="str">
        <f t="shared" si="140"/>
        <v>022</v>
      </c>
      <c r="H267" s="72" t="s">
        <v>42</v>
      </c>
      <c r="I267" s="72">
        <v>1</v>
      </c>
      <c r="J267" s="37" t="s">
        <v>31</v>
      </c>
      <c r="K267" s="37">
        <v>37</v>
      </c>
      <c r="L267" s="17">
        <v>0.34</v>
      </c>
      <c r="M267" s="17">
        <v>1.21</v>
      </c>
      <c r="N267" s="18">
        <f t="shared" si="138"/>
        <v>0.86999999999999988</v>
      </c>
      <c r="O267" s="20" t="str">
        <f t="shared" si="143"/>
        <v>Seguimiento</v>
      </c>
    </row>
    <row r="268" spans="1:15" ht="15" x14ac:dyDescent="0.25">
      <c r="A268" s="91"/>
      <c r="B268" s="32">
        <v>5</v>
      </c>
      <c r="C268" s="32">
        <v>1116984</v>
      </c>
      <c r="D268" s="39">
        <v>45813</v>
      </c>
      <c r="E268" s="32" t="s">
        <v>15</v>
      </c>
      <c r="F268" s="32" t="str">
        <f t="shared" si="139"/>
        <v>M21</v>
      </c>
      <c r="G268" s="61" t="str">
        <f t="shared" si="140"/>
        <v>022</v>
      </c>
      <c r="H268" s="72" t="str">
        <f t="shared" ref="H268:H274" si="145">H267</f>
        <v>C3</v>
      </c>
      <c r="I268" s="72">
        <f t="shared" ref="I268:I270" si="146">I267</f>
        <v>1</v>
      </c>
      <c r="J268" s="37" t="s">
        <v>32</v>
      </c>
      <c r="K268" s="37">
        <v>37</v>
      </c>
      <c r="L268" s="17">
        <v>0.89</v>
      </c>
      <c r="M268" s="17">
        <v>3.9</v>
      </c>
      <c r="N268" s="18">
        <f t="shared" si="138"/>
        <v>3.01</v>
      </c>
      <c r="O268" s="20" t="str">
        <f t="shared" si="143"/>
        <v>OK</v>
      </c>
    </row>
    <row r="269" spans="1:15" ht="15" x14ac:dyDescent="0.25">
      <c r="A269" s="91"/>
      <c r="B269" s="32">
        <v>5</v>
      </c>
      <c r="C269" s="32">
        <v>1116984</v>
      </c>
      <c r="D269" s="39">
        <v>45813</v>
      </c>
      <c r="E269" s="32" t="s">
        <v>15</v>
      </c>
      <c r="F269" s="32" t="str">
        <f t="shared" si="139"/>
        <v>M21</v>
      </c>
      <c r="G269" s="61" t="str">
        <f t="shared" si="140"/>
        <v>022</v>
      </c>
      <c r="H269" s="72" t="str">
        <f t="shared" si="145"/>
        <v>C3</v>
      </c>
      <c r="I269" s="72">
        <f t="shared" si="146"/>
        <v>1</v>
      </c>
      <c r="J269" s="37" t="s">
        <v>33</v>
      </c>
      <c r="K269" s="37">
        <v>38</v>
      </c>
      <c r="L269" s="17">
        <v>0.1</v>
      </c>
      <c r="M269" s="17">
        <v>4.53</v>
      </c>
      <c r="N269" s="18">
        <f t="shared" si="138"/>
        <v>4.4300000000000006</v>
      </c>
      <c r="O269" s="20" t="str">
        <f t="shared" si="143"/>
        <v>OK</v>
      </c>
    </row>
    <row r="270" spans="1:15" ht="15" x14ac:dyDescent="0.25">
      <c r="A270" s="91"/>
      <c r="B270" s="32">
        <v>5</v>
      </c>
      <c r="C270" s="32">
        <v>1116984</v>
      </c>
      <c r="D270" s="39">
        <v>45813</v>
      </c>
      <c r="E270" s="32" t="s">
        <v>15</v>
      </c>
      <c r="F270" s="32" t="str">
        <f t="shared" si="139"/>
        <v>M21</v>
      </c>
      <c r="G270" s="61" t="str">
        <f t="shared" si="140"/>
        <v>022</v>
      </c>
      <c r="H270" s="72" t="str">
        <f t="shared" si="145"/>
        <v>C3</v>
      </c>
      <c r="I270" s="72">
        <f t="shared" si="146"/>
        <v>1</v>
      </c>
      <c r="J270" s="37" t="s">
        <v>34</v>
      </c>
      <c r="K270" s="37">
        <v>38</v>
      </c>
      <c r="L270" s="17">
        <v>1.1299999999999999</v>
      </c>
      <c r="M270" s="17">
        <v>2.82</v>
      </c>
      <c r="N270" s="18">
        <f t="shared" si="138"/>
        <v>1.69</v>
      </c>
      <c r="O270" s="20" t="str">
        <f t="shared" si="143"/>
        <v>OK</v>
      </c>
    </row>
    <row r="271" spans="1:15" ht="15" x14ac:dyDescent="0.25">
      <c r="A271" s="91"/>
      <c r="B271" s="32">
        <v>5</v>
      </c>
      <c r="C271" s="32">
        <v>1116984</v>
      </c>
      <c r="D271" s="39">
        <v>45813</v>
      </c>
      <c r="E271" s="32" t="s">
        <v>15</v>
      </c>
      <c r="F271" s="32" t="str">
        <f t="shared" si="139"/>
        <v>M21</v>
      </c>
      <c r="G271" s="61" t="str">
        <f t="shared" si="140"/>
        <v>022</v>
      </c>
      <c r="H271" s="72" t="str">
        <f t="shared" si="145"/>
        <v>C3</v>
      </c>
      <c r="I271" s="72">
        <v>2</v>
      </c>
      <c r="J271" s="37" t="s">
        <v>35</v>
      </c>
      <c r="K271" s="37">
        <v>39</v>
      </c>
      <c r="L271" s="17">
        <v>0.42</v>
      </c>
      <c r="M271" s="17">
        <v>0.95</v>
      </c>
      <c r="N271" s="18">
        <f t="shared" si="138"/>
        <v>0.53</v>
      </c>
      <c r="O271" s="20" t="str">
        <f t="shared" si="143"/>
        <v>Seguimiento</v>
      </c>
    </row>
    <row r="272" spans="1:15" ht="15" x14ac:dyDescent="0.25">
      <c r="A272" s="91"/>
      <c r="B272" s="32">
        <v>5</v>
      </c>
      <c r="C272" s="32">
        <v>1116984</v>
      </c>
      <c r="D272" s="39">
        <v>45813</v>
      </c>
      <c r="E272" s="32" t="s">
        <v>15</v>
      </c>
      <c r="F272" s="32" t="str">
        <f t="shared" si="139"/>
        <v>M21</v>
      </c>
      <c r="G272" s="61" t="str">
        <f t="shared" si="140"/>
        <v>022</v>
      </c>
      <c r="H272" s="72" t="str">
        <f t="shared" si="145"/>
        <v>C3</v>
      </c>
      <c r="I272" s="72">
        <f t="shared" ref="I272:I274" si="147">I271</f>
        <v>2</v>
      </c>
      <c r="J272" s="37" t="s">
        <v>36</v>
      </c>
      <c r="K272" s="37">
        <v>39</v>
      </c>
      <c r="L272" s="17">
        <v>1</v>
      </c>
      <c r="M272" s="17">
        <v>3.97</v>
      </c>
      <c r="N272" s="18">
        <f t="shared" si="138"/>
        <v>2.97</v>
      </c>
      <c r="O272" s="20" t="str">
        <f t="shared" si="143"/>
        <v>OK</v>
      </c>
    </row>
    <row r="273" spans="1:15" ht="15" x14ac:dyDescent="0.25">
      <c r="A273" s="91"/>
      <c r="B273" s="32">
        <v>5</v>
      </c>
      <c r="C273" s="32">
        <v>1116984</v>
      </c>
      <c r="D273" s="39">
        <v>45813</v>
      </c>
      <c r="E273" s="32" t="s">
        <v>15</v>
      </c>
      <c r="F273" s="32" t="str">
        <f t="shared" si="139"/>
        <v>M21</v>
      </c>
      <c r="G273" s="61" t="str">
        <f t="shared" si="140"/>
        <v>022</v>
      </c>
      <c r="H273" s="72" t="str">
        <f t="shared" si="145"/>
        <v>C3</v>
      </c>
      <c r="I273" s="72">
        <f t="shared" si="147"/>
        <v>2</v>
      </c>
      <c r="J273" s="37" t="s">
        <v>37</v>
      </c>
      <c r="K273" s="37">
        <v>40</v>
      </c>
      <c r="L273" s="17">
        <v>1.1499999999999999</v>
      </c>
      <c r="M273" s="17">
        <v>4.55</v>
      </c>
      <c r="N273" s="18">
        <f t="shared" si="138"/>
        <v>3.4</v>
      </c>
      <c r="O273" s="20" t="str">
        <f t="shared" si="143"/>
        <v>OK</v>
      </c>
    </row>
    <row r="274" spans="1:15" ht="15" x14ac:dyDescent="0.25">
      <c r="A274" s="91"/>
      <c r="B274" s="32">
        <v>5</v>
      </c>
      <c r="C274" s="32">
        <v>1116984</v>
      </c>
      <c r="D274" s="39">
        <v>45813</v>
      </c>
      <c r="E274" s="32" t="s">
        <v>15</v>
      </c>
      <c r="F274" s="32" t="str">
        <f t="shared" si="139"/>
        <v>M21</v>
      </c>
      <c r="G274" s="61" t="str">
        <f t="shared" si="140"/>
        <v>022</v>
      </c>
      <c r="H274" s="72" t="str">
        <f t="shared" si="145"/>
        <v>C3</v>
      </c>
      <c r="I274" s="72">
        <f t="shared" si="147"/>
        <v>2</v>
      </c>
      <c r="J274" s="37" t="s">
        <v>38</v>
      </c>
      <c r="K274" s="37">
        <v>40</v>
      </c>
      <c r="L274" s="17">
        <v>0.06</v>
      </c>
      <c r="M274" s="17">
        <v>5.0599999999999996</v>
      </c>
      <c r="N274" s="18">
        <f t="shared" si="138"/>
        <v>5</v>
      </c>
      <c r="O274" s="20" t="str">
        <f t="shared" si="143"/>
        <v>OK</v>
      </c>
    </row>
    <row r="275" spans="1:15" ht="15" x14ac:dyDescent="0.25">
      <c r="A275" s="91"/>
      <c r="B275" s="32">
        <v>5</v>
      </c>
      <c r="C275" s="32">
        <v>1116984</v>
      </c>
      <c r="D275" s="39">
        <v>45813</v>
      </c>
      <c r="E275" s="32" t="s">
        <v>15</v>
      </c>
      <c r="F275" s="32" t="s">
        <v>28</v>
      </c>
      <c r="G275" s="61" t="s">
        <v>74</v>
      </c>
      <c r="H275" s="72" t="s">
        <v>39</v>
      </c>
      <c r="I275" s="72">
        <v>1</v>
      </c>
      <c r="J275" s="37" t="s">
        <v>31</v>
      </c>
      <c r="K275" s="37">
        <v>41</v>
      </c>
      <c r="L275" s="17">
        <v>1.5</v>
      </c>
      <c r="M275" s="17">
        <v>4.51</v>
      </c>
      <c r="N275" s="18">
        <f t="shared" si="138"/>
        <v>3.01</v>
      </c>
      <c r="O275" s="20" t="str">
        <f t="shared" si="143"/>
        <v>OK</v>
      </c>
    </row>
    <row r="276" spans="1:15" ht="15" x14ac:dyDescent="0.25">
      <c r="A276" s="91"/>
      <c r="B276" s="32">
        <v>5</v>
      </c>
      <c r="C276" s="32">
        <v>1116984</v>
      </c>
      <c r="D276" s="39">
        <v>45813</v>
      </c>
      <c r="E276" s="32" t="s">
        <v>15</v>
      </c>
      <c r="F276" s="32" t="str">
        <f t="shared" ref="F276:F290" si="148">F275</f>
        <v>M20</v>
      </c>
      <c r="G276" s="61" t="str">
        <f t="shared" ref="G276:G290" si="149">G275</f>
        <v>021</v>
      </c>
      <c r="H276" s="72" t="str">
        <f t="shared" ref="H276:H282" si="150">H275</f>
        <v>C2</v>
      </c>
      <c r="I276" s="72">
        <f t="shared" ref="I276:I278" si="151">I275</f>
        <v>1</v>
      </c>
      <c r="J276" s="37" t="s">
        <v>32</v>
      </c>
      <c r="K276" s="37">
        <v>41</v>
      </c>
      <c r="L276" s="17">
        <v>0.44</v>
      </c>
      <c r="M276" s="17">
        <v>3.58</v>
      </c>
      <c r="N276" s="18">
        <f t="shared" si="138"/>
        <v>3.14</v>
      </c>
      <c r="O276" s="20" t="str">
        <f t="shared" si="143"/>
        <v>OK</v>
      </c>
    </row>
    <row r="277" spans="1:15" ht="15" x14ac:dyDescent="0.25">
      <c r="A277" s="91"/>
      <c r="B277" s="32">
        <v>5</v>
      </c>
      <c r="C277" s="32">
        <v>1116984</v>
      </c>
      <c r="D277" s="39">
        <v>45813</v>
      </c>
      <c r="E277" s="32" t="s">
        <v>15</v>
      </c>
      <c r="F277" s="32" t="str">
        <f t="shared" si="148"/>
        <v>M20</v>
      </c>
      <c r="G277" s="61" t="str">
        <f t="shared" si="149"/>
        <v>021</v>
      </c>
      <c r="H277" s="72" t="str">
        <f t="shared" si="150"/>
        <v>C2</v>
      </c>
      <c r="I277" s="72">
        <f t="shared" si="151"/>
        <v>1</v>
      </c>
      <c r="J277" s="37" t="s">
        <v>33</v>
      </c>
      <c r="K277" s="37">
        <v>42</v>
      </c>
      <c r="L277" s="17">
        <v>0.66</v>
      </c>
      <c r="M277" s="17">
        <v>4.41</v>
      </c>
      <c r="N277" s="18">
        <f t="shared" si="138"/>
        <v>3.75</v>
      </c>
      <c r="O277" s="20" t="str">
        <f t="shared" si="143"/>
        <v>OK</v>
      </c>
    </row>
    <row r="278" spans="1:15" ht="15" x14ac:dyDescent="0.25">
      <c r="A278" s="91"/>
      <c r="B278" s="32">
        <v>5</v>
      </c>
      <c r="C278" s="32">
        <v>1116984</v>
      </c>
      <c r="D278" s="39">
        <v>45813</v>
      </c>
      <c r="E278" s="32" t="s">
        <v>15</v>
      </c>
      <c r="F278" s="32" t="str">
        <f t="shared" si="148"/>
        <v>M20</v>
      </c>
      <c r="G278" s="61" t="str">
        <f t="shared" si="149"/>
        <v>021</v>
      </c>
      <c r="H278" s="72" t="str">
        <f t="shared" si="150"/>
        <v>C2</v>
      </c>
      <c r="I278" s="72">
        <f t="shared" si="151"/>
        <v>1</v>
      </c>
      <c r="J278" s="37" t="s">
        <v>34</v>
      </c>
      <c r="K278" s="37">
        <v>42</v>
      </c>
      <c r="L278" s="17">
        <v>0.3</v>
      </c>
      <c r="M278" s="17">
        <v>2.0299999999999998</v>
      </c>
      <c r="N278" s="18">
        <f t="shared" si="138"/>
        <v>1.7299999999999998</v>
      </c>
      <c r="O278" s="20" t="str">
        <f t="shared" si="143"/>
        <v>OK</v>
      </c>
    </row>
    <row r="279" spans="1:15" ht="15" x14ac:dyDescent="0.25">
      <c r="A279" s="91"/>
      <c r="B279" s="32">
        <v>5</v>
      </c>
      <c r="C279" s="32">
        <v>1116984</v>
      </c>
      <c r="D279" s="39">
        <v>45813</v>
      </c>
      <c r="E279" s="32" t="s">
        <v>15</v>
      </c>
      <c r="F279" s="32" t="str">
        <f t="shared" si="148"/>
        <v>M20</v>
      </c>
      <c r="G279" s="61" t="str">
        <f t="shared" si="149"/>
        <v>021</v>
      </c>
      <c r="H279" s="72" t="str">
        <f t="shared" si="150"/>
        <v>C2</v>
      </c>
      <c r="I279" s="72">
        <v>2</v>
      </c>
      <c r="J279" s="37" t="s">
        <v>35</v>
      </c>
      <c r="K279" s="37">
        <v>43</v>
      </c>
      <c r="L279" s="17">
        <v>0.99</v>
      </c>
      <c r="M279" s="17">
        <v>4.7300000000000004</v>
      </c>
      <c r="N279" s="18">
        <f t="shared" si="138"/>
        <v>3.74</v>
      </c>
      <c r="O279" s="20" t="str">
        <f t="shared" si="143"/>
        <v>OK</v>
      </c>
    </row>
    <row r="280" spans="1:15" ht="15" x14ac:dyDescent="0.25">
      <c r="A280" s="91"/>
      <c r="B280" s="32">
        <v>5</v>
      </c>
      <c r="C280" s="32">
        <v>1116984</v>
      </c>
      <c r="D280" s="39">
        <v>45813</v>
      </c>
      <c r="E280" s="32" t="s">
        <v>15</v>
      </c>
      <c r="F280" s="32" t="str">
        <f t="shared" si="148"/>
        <v>M20</v>
      </c>
      <c r="G280" s="61" t="str">
        <f t="shared" si="149"/>
        <v>021</v>
      </c>
      <c r="H280" s="72" t="str">
        <f t="shared" si="150"/>
        <v>C2</v>
      </c>
      <c r="I280" s="72">
        <f t="shared" ref="I280:I282" si="152">I279</f>
        <v>2</v>
      </c>
      <c r="J280" s="37" t="s">
        <v>36</v>
      </c>
      <c r="K280" s="37">
        <v>43</v>
      </c>
      <c r="L280" s="17">
        <v>0.78</v>
      </c>
      <c r="M280" s="17">
        <v>4.2</v>
      </c>
      <c r="N280" s="18">
        <f t="shared" si="138"/>
        <v>3.42</v>
      </c>
      <c r="O280" s="20" t="str">
        <f t="shared" si="143"/>
        <v>OK</v>
      </c>
    </row>
    <row r="281" spans="1:15" ht="15" x14ac:dyDescent="0.25">
      <c r="A281" s="91"/>
      <c r="B281" s="32">
        <v>5</v>
      </c>
      <c r="C281" s="32">
        <v>1116984</v>
      </c>
      <c r="D281" s="39">
        <v>45813</v>
      </c>
      <c r="E281" s="32" t="s">
        <v>15</v>
      </c>
      <c r="F281" s="32" t="str">
        <f t="shared" si="148"/>
        <v>M20</v>
      </c>
      <c r="G281" s="61" t="str">
        <f t="shared" si="149"/>
        <v>021</v>
      </c>
      <c r="H281" s="72" t="str">
        <f t="shared" si="150"/>
        <v>C2</v>
      </c>
      <c r="I281" s="72">
        <f t="shared" si="152"/>
        <v>2</v>
      </c>
      <c r="J281" s="37" t="s">
        <v>37</v>
      </c>
      <c r="K281" s="37">
        <v>44</v>
      </c>
      <c r="L281" s="17">
        <v>0.21</v>
      </c>
      <c r="M281" s="17">
        <v>3.48</v>
      </c>
      <c r="N281" s="18">
        <f t="shared" si="138"/>
        <v>3.27</v>
      </c>
      <c r="O281" s="20" t="str">
        <f t="shared" si="143"/>
        <v>OK</v>
      </c>
    </row>
    <row r="282" spans="1:15" ht="15" x14ac:dyDescent="0.25">
      <c r="A282" s="91"/>
      <c r="B282" s="32">
        <v>5</v>
      </c>
      <c r="C282" s="32">
        <v>1116984</v>
      </c>
      <c r="D282" s="39">
        <v>45813</v>
      </c>
      <c r="E282" s="32" t="s">
        <v>15</v>
      </c>
      <c r="F282" s="32" t="str">
        <f t="shared" si="148"/>
        <v>M20</v>
      </c>
      <c r="G282" s="61" t="str">
        <f t="shared" si="149"/>
        <v>021</v>
      </c>
      <c r="H282" s="72" t="str">
        <f t="shared" si="150"/>
        <v>C2</v>
      </c>
      <c r="I282" s="72">
        <f t="shared" si="152"/>
        <v>2</v>
      </c>
      <c r="J282" s="37" t="s">
        <v>38</v>
      </c>
      <c r="K282" s="37">
        <v>44</v>
      </c>
      <c r="L282" s="17">
        <v>0.5</v>
      </c>
      <c r="M282" s="17">
        <v>3.45</v>
      </c>
      <c r="N282" s="18">
        <f t="shared" si="138"/>
        <v>2.95</v>
      </c>
      <c r="O282" s="20" t="str">
        <f t="shared" si="143"/>
        <v>OK</v>
      </c>
    </row>
    <row r="283" spans="1:15" ht="15" x14ac:dyDescent="0.25">
      <c r="A283" s="91"/>
      <c r="B283" s="32">
        <v>5</v>
      </c>
      <c r="C283" s="32">
        <v>1116984</v>
      </c>
      <c r="D283" s="39">
        <v>45813</v>
      </c>
      <c r="E283" s="32" t="s">
        <v>15</v>
      </c>
      <c r="F283" s="32" t="str">
        <f t="shared" si="148"/>
        <v>M20</v>
      </c>
      <c r="G283" s="61" t="str">
        <f t="shared" si="149"/>
        <v>021</v>
      </c>
      <c r="H283" s="72" t="s">
        <v>30</v>
      </c>
      <c r="I283" s="72">
        <v>1</v>
      </c>
      <c r="J283" s="37" t="s">
        <v>31</v>
      </c>
      <c r="K283" s="37">
        <v>45</v>
      </c>
      <c r="L283" s="17">
        <v>0.59</v>
      </c>
      <c r="M283" s="17">
        <v>3.68</v>
      </c>
      <c r="N283" s="18">
        <f t="shared" si="138"/>
        <v>3.0900000000000003</v>
      </c>
      <c r="O283" s="20" t="str">
        <f t="shared" si="143"/>
        <v>OK</v>
      </c>
    </row>
    <row r="284" spans="1:15" ht="15" x14ac:dyDescent="0.25">
      <c r="A284" s="91"/>
      <c r="B284" s="32">
        <v>5</v>
      </c>
      <c r="C284" s="32">
        <v>1116984</v>
      </c>
      <c r="D284" s="39">
        <v>45813</v>
      </c>
      <c r="E284" s="32" t="s">
        <v>15</v>
      </c>
      <c r="F284" s="32" t="str">
        <f t="shared" si="148"/>
        <v>M20</v>
      </c>
      <c r="G284" s="61" t="str">
        <f t="shared" si="149"/>
        <v>021</v>
      </c>
      <c r="H284" s="72" t="str">
        <f t="shared" ref="H284:H290" si="153">H283</f>
        <v>C1</v>
      </c>
      <c r="I284" s="72">
        <f t="shared" ref="I284:I286" si="154">I283</f>
        <v>1</v>
      </c>
      <c r="J284" s="37" t="s">
        <v>32</v>
      </c>
      <c r="K284" s="37">
        <v>45</v>
      </c>
      <c r="L284" s="17">
        <v>0.18</v>
      </c>
      <c r="M284" s="17">
        <v>2.16</v>
      </c>
      <c r="N284" s="18">
        <f t="shared" si="138"/>
        <v>1.9800000000000002</v>
      </c>
      <c r="O284" s="20" t="str">
        <f t="shared" si="143"/>
        <v>OK</v>
      </c>
    </row>
    <row r="285" spans="1:15" ht="15" x14ac:dyDescent="0.25">
      <c r="A285" s="91"/>
      <c r="B285" s="32">
        <v>5</v>
      </c>
      <c r="C285" s="32">
        <v>1116984</v>
      </c>
      <c r="D285" s="39">
        <v>45813</v>
      </c>
      <c r="E285" s="32" t="s">
        <v>15</v>
      </c>
      <c r="F285" s="32" t="str">
        <f t="shared" si="148"/>
        <v>M20</v>
      </c>
      <c r="G285" s="61" t="str">
        <f t="shared" si="149"/>
        <v>021</v>
      </c>
      <c r="H285" s="72" t="str">
        <f t="shared" si="153"/>
        <v>C1</v>
      </c>
      <c r="I285" s="72">
        <f t="shared" si="154"/>
        <v>1</v>
      </c>
      <c r="J285" s="37" t="s">
        <v>33</v>
      </c>
      <c r="K285" s="37">
        <v>46</v>
      </c>
      <c r="L285" s="17">
        <v>0.25</v>
      </c>
      <c r="M285" s="17">
        <v>2.39</v>
      </c>
      <c r="N285" s="18">
        <f t="shared" si="138"/>
        <v>2.14</v>
      </c>
      <c r="O285" s="20" t="str">
        <f t="shared" si="143"/>
        <v>OK</v>
      </c>
    </row>
    <row r="286" spans="1:15" ht="15" x14ac:dyDescent="0.25">
      <c r="A286" s="91"/>
      <c r="B286" s="32">
        <v>5</v>
      </c>
      <c r="C286" s="32">
        <v>1116984</v>
      </c>
      <c r="D286" s="39">
        <v>45813</v>
      </c>
      <c r="E286" s="32" t="s">
        <v>15</v>
      </c>
      <c r="F286" s="32" t="str">
        <f t="shared" si="148"/>
        <v>M20</v>
      </c>
      <c r="G286" s="61" t="str">
        <f t="shared" si="149"/>
        <v>021</v>
      </c>
      <c r="H286" s="72" t="str">
        <f t="shared" si="153"/>
        <v>C1</v>
      </c>
      <c r="I286" s="72">
        <f t="shared" si="154"/>
        <v>1</v>
      </c>
      <c r="J286" s="37" t="s">
        <v>34</v>
      </c>
      <c r="K286" s="37">
        <v>46</v>
      </c>
      <c r="L286" s="17">
        <v>0.69</v>
      </c>
      <c r="M286" s="17">
        <v>3.9</v>
      </c>
      <c r="N286" s="18">
        <f t="shared" si="138"/>
        <v>3.21</v>
      </c>
      <c r="O286" s="20" t="str">
        <f t="shared" si="143"/>
        <v>OK</v>
      </c>
    </row>
    <row r="287" spans="1:15" ht="15" x14ac:dyDescent="0.25">
      <c r="A287" s="91"/>
      <c r="B287" s="32">
        <v>5</v>
      </c>
      <c r="C287" s="32">
        <v>1116984</v>
      </c>
      <c r="D287" s="39">
        <v>45813</v>
      </c>
      <c r="E287" s="32" t="s">
        <v>15</v>
      </c>
      <c r="F287" s="32" t="str">
        <f t="shared" si="148"/>
        <v>M20</v>
      </c>
      <c r="G287" s="61" t="str">
        <f t="shared" si="149"/>
        <v>021</v>
      </c>
      <c r="H287" s="72" t="str">
        <f t="shared" si="153"/>
        <v>C1</v>
      </c>
      <c r="I287" s="72">
        <v>2</v>
      </c>
      <c r="J287" s="37" t="s">
        <v>35</v>
      </c>
      <c r="K287" s="37">
        <v>47</v>
      </c>
      <c r="L287" s="17">
        <v>0.15</v>
      </c>
      <c r="M287" s="17">
        <v>2.94</v>
      </c>
      <c r="N287" s="18">
        <f t="shared" si="138"/>
        <v>2.79</v>
      </c>
      <c r="O287" s="20" t="str">
        <f t="shared" si="143"/>
        <v>OK</v>
      </c>
    </row>
    <row r="288" spans="1:15" ht="15" x14ac:dyDescent="0.25">
      <c r="A288" s="91"/>
      <c r="B288" s="32">
        <v>5</v>
      </c>
      <c r="C288" s="32">
        <v>1116984</v>
      </c>
      <c r="D288" s="39">
        <v>45813</v>
      </c>
      <c r="E288" s="32" t="s">
        <v>15</v>
      </c>
      <c r="F288" s="32" t="str">
        <f t="shared" si="148"/>
        <v>M20</v>
      </c>
      <c r="G288" s="61" t="str">
        <f t="shared" si="149"/>
        <v>021</v>
      </c>
      <c r="H288" s="72" t="str">
        <f t="shared" si="153"/>
        <v>C1</v>
      </c>
      <c r="I288" s="72">
        <f t="shared" ref="I288:I290" si="155">I287</f>
        <v>2</v>
      </c>
      <c r="J288" s="37" t="s">
        <v>36</v>
      </c>
      <c r="K288" s="37">
        <v>47</v>
      </c>
      <c r="L288" s="17">
        <v>0.09</v>
      </c>
      <c r="M288" s="17">
        <v>2.74</v>
      </c>
      <c r="N288" s="18">
        <f t="shared" si="138"/>
        <v>2.6500000000000004</v>
      </c>
      <c r="O288" s="20" t="str">
        <f t="shared" si="143"/>
        <v>OK</v>
      </c>
    </row>
    <row r="289" spans="1:15" ht="15" x14ac:dyDescent="0.25">
      <c r="A289" s="91"/>
      <c r="B289" s="32">
        <v>5</v>
      </c>
      <c r="C289" s="32">
        <v>1116984</v>
      </c>
      <c r="D289" s="39">
        <v>45813</v>
      </c>
      <c r="E289" s="32" t="s">
        <v>15</v>
      </c>
      <c r="F289" s="32" t="str">
        <f t="shared" si="148"/>
        <v>M20</v>
      </c>
      <c r="G289" s="61" t="str">
        <f t="shared" si="149"/>
        <v>021</v>
      </c>
      <c r="H289" s="72" t="str">
        <f t="shared" si="153"/>
        <v>C1</v>
      </c>
      <c r="I289" s="72">
        <f t="shared" si="155"/>
        <v>2</v>
      </c>
      <c r="J289" s="37" t="s">
        <v>37</v>
      </c>
      <c r="K289" s="37">
        <v>48</v>
      </c>
      <c r="L289" s="17">
        <v>0.11</v>
      </c>
      <c r="M289" s="17">
        <v>0.21</v>
      </c>
      <c r="N289" s="18">
        <f t="shared" si="138"/>
        <v>9.9999999999999992E-2</v>
      </c>
      <c r="O289" s="20" t="str">
        <f t="shared" si="143"/>
        <v>Cambio</v>
      </c>
    </row>
    <row r="290" spans="1:15" ht="15.75" thickBot="1" x14ac:dyDescent="0.3">
      <c r="A290" s="92"/>
      <c r="B290" s="48">
        <v>5</v>
      </c>
      <c r="C290" s="48">
        <v>1116984</v>
      </c>
      <c r="D290" s="49">
        <v>45813</v>
      </c>
      <c r="E290" s="48" t="s">
        <v>15</v>
      </c>
      <c r="F290" s="48" t="str">
        <f t="shared" si="148"/>
        <v>M20</v>
      </c>
      <c r="G290" s="73" t="str">
        <f t="shared" si="149"/>
        <v>021</v>
      </c>
      <c r="H290" s="74" t="str">
        <f t="shared" si="153"/>
        <v>C1</v>
      </c>
      <c r="I290" s="74">
        <f t="shared" si="155"/>
        <v>2</v>
      </c>
      <c r="J290" s="41" t="s">
        <v>38</v>
      </c>
      <c r="K290" s="37">
        <v>48</v>
      </c>
      <c r="L290" s="51">
        <v>0.44</v>
      </c>
      <c r="M290" s="33">
        <v>3.92</v>
      </c>
      <c r="N290" s="53">
        <f t="shared" si="138"/>
        <v>3.48</v>
      </c>
      <c r="O290" s="57" t="str">
        <f t="shared" si="143"/>
        <v>OK</v>
      </c>
    </row>
    <row r="291" spans="1:15" ht="12" customHeight="1" x14ac:dyDescent="0.25">
      <c r="A291" s="93" t="s">
        <v>16</v>
      </c>
      <c r="B291" s="36">
        <v>5</v>
      </c>
      <c r="C291" s="36">
        <v>1125522</v>
      </c>
      <c r="D291" s="52">
        <v>45869</v>
      </c>
      <c r="E291" s="36" t="s">
        <v>15</v>
      </c>
      <c r="F291" s="36" t="s">
        <v>28</v>
      </c>
      <c r="G291" s="80" t="s">
        <v>58</v>
      </c>
      <c r="H291" s="81" t="s">
        <v>30</v>
      </c>
      <c r="I291" s="81">
        <v>1</v>
      </c>
      <c r="J291" s="40" t="s">
        <v>31</v>
      </c>
      <c r="K291" s="37">
        <v>1</v>
      </c>
      <c r="L291" s="17">
        <v>0.25</v>
      </c>
      <c r="M291" s="19">
        <v>4</v>
      </c>
      <c r="N291" s="18">
        <f t="shared" si="138"/>
        <v>3.75</v>
      </c>
      <c r="O291" s="20" t="str">
        <f>IF(N291&lt;=0,"Critico",IF(N291&lt;=0.2,"Cambio",IF(N291&lt;=1,"Seguimiento",IF(L291&gt;=2,"Reperfilado","OK"))))</f>
        <v>OK</v>
      </c>
    </row>
    <row r="292" spans="1:15" ht="12" customHeight="1" x14ac:dyDescent="0.25">
      <c r="A292" s="93" t="s">
        <v>16</v>
      </c>
      <c r="B292" s="32">
        <v>5</v>
      </c>
      <c r="C292" s="36">
        <v>1125522</v>
      </c>
      <c r="D292" s="52">
        <v>45869</v>
      </c>
      <c r="E292" s="32" t="s">
        <v>15</v>
      </c>
      <c r="F292" s="32" t="str">
        <f t="shared" ref="F292:I306" si="156">F291</f>
        <v>M20</v>
      </c>
      <c r="G292" s="61" t="str">
        <f t="shared" si="156"/>
        <v>007</v>
      </c>
      <c r="H292" s="72" t="str">
        <f t="shared" si="156"/>
        <v>C1</v>
      </c>
      <c r="I292" s="72">
        <f t="shared" si="156"/>
        <v>1</v>
      </c>
      <c r="J292" s="37" t="s">
        <v>32</v>
      </c>
      <c r="K292" s="37">
        <v>1</v>
      </c>
      <c r="L292" s="17">
        <v>0.95</v>
      </c>
      <c r="M292" s="19">
        <v>2.52</v>
      </c>
      <c r="N292" s="18">
        <f t="shared" si="138"/>
        <v>1.57</v>
      </c>
      <c r="O292" s="20" t="str">
        <f t="shared" ref="O292:O355" si="157">IF(N292&lt;=0,"Critico",IF(N292&lt;=0.2,"Cambio",IF(N292&lt;=1,"Seguimiento",IF(L292&gt;=2,"Reperfilado","OK"))))</f>
        <v>OK</v>
      </c>
    </row>
    <row r="293" spans="1:15" ht="12" customHeight="1" x14ac:dyDescent="0.25">
      <c r="A293" s="93" t="s">
        <v>16</v>
      </c>
      <c r="B293" s="32">
        <v>5</v>
      </c>
      <c r="C293" s="36">
        <v>1125522</v>
      </c>
      <c r="D293" s="52">
        <v>45869</v>
      </c>
      <c r="E293" s="32" t="s">
        <v>15</v>
      </c>
      <c r="F293" s="32" t="str">
        <f t="shared" si="156"/>
        <v>M20</v>
      </c>
      <c r="G293" s="61" t="str">
        <f t="shared" si="156"/>
        <v>007</v>
      </c>
      <c r="H293" s="72" t="str">
        <f t="shared" si="156"/>
        <v>C1</v>
      </c>
      <c r="I293" s="72">
        <f t="shared" si="156"/>
        <v>1</v>
      </c>
      <c r="J293" s="37" t="s">
        <v>33</v>
      </c>
      <c r="K293" s="37">
        <v>2</v>
      </c>
      <c r="L293" s="17">
        <v>0.16</v>
      </c>
      <c r="M293" s="19">
        <v>4.71</v>
      </c>
      <c r="N293" s="18">
        <f t="shared" si="138"/>
        <v>4.55</v>
      </c>
      <c r="O293" s="20" t="str">
        <f t="shared" si="157"/>
        <v>OK</v>
      </c>
    </row>
    <row r="294" spans="1:15" ht="12" customHeight="1" x14ac:dyDescent="0.25">
      <c r="A294" s="93" t="s">
        <v>16</v>
      </c>
      <c r="B294" s="32">
        <v>5</v>
      </c>
      <c r="C294" s="36">
        <v>1125522</v>
      </c>
      <c r="D294" s="52">
        <v>45869</v>
      </c>
      <c r="E294" s="32" t="s">
        <v>15</v>
      </c>
      <c r="F294" s="32" t="str">
        <f t="shared" si="156"/>
        <v>M20</v>
      </c>
      <c r="G294" s="61" t="str">
        <f t="shared" si="156"/>
        <v>007</v>
      </c>
      <c r="H294" s="72" t="str">
        <f t="shared" si="156"/>
        <v>C1</v>
      </c>
      <c r="I294" s="72">
        <f t="shared" si="156"/>
        <v>1</v>
      </c>
      <c r="J294" s="37" t="s">
        <v>34</v>
      </c>
      <c r="K294" s="37">
        <v>2</v>
      </c>
      <c r="L294" s="17">
        <v>0.38</v>
      </c>
      <c r="M294" s="19">
        <v>1.03</v>
      </c>
      <c r="N294" s="18">
        <f t="shared" si="138"/>
        <v>0.65</v>
      </c>
      <c r="O294" s="20" t="str">
        <f t="shared" si="157"/>
        <v>Seguimiento</v>
      </c>
    </row>
    <row r="295" spans="1:15" ht="12" customHeight="1" x14ac:dyDescent="0.25">
      <c r="A295" s="93" t="s">
        <v>16</v>
      </c>
      <c r="B295" s="32">
        <v>5</v>
      </c>
      <c r="C295" s="36">
        <v>1125522</v>
      </c>
      <c r="D295" s="52">
        <v>45869</v>
      </c>
      <c r="E295" s="32" t="s">
        <v>15</v>
      </c>
      <c r="F295" s="32" t="str">
        <f t="shared" si="156"/>
        <v>M20</v>
      </c>
      <c r="G295" s="61" t="str">
        <f t="shared" si="156"/>
        <v>007</v>
      </c>
      <c r="H295" s="72" t="str">
        <f t="shared" si="156"/>
        <v>C1</v>
      </c>
      <c r="I295" s="72">
        <v>2</v>
      </c>
      <c r="J295" s="37" t="s">
        <v>35</v>
      </c>
      <c r="K295" s="37">
        <v>3</v>
      </c>
      <c r="L295" s="17">
        <v>0.16</v>
      </c>
      <c r="M295" s="19">
        <v>4.7699999999999996</v>
      </c>
      <c r="N295" s="18">
        <f t="shared" si="138"/>
        <v>4.6099999999999994</v>
      </c>
      <c r="O295" s="20" t="str">
        <f t="shared" si="157"/>
        <v>OK</v>
      </c>
    </row>
    <row r="296" spans="1:15" ht="12" customHeight="1" x14ac:dyDescent="0.25">
      <c r="A296" s="93" t="s">
        <v>16</v>
      </c>
      <c r="B296" s="32">
        <v>5</v>
      </c>
      <c r="C296" s="36">
        <v>1125522</v>
      </c>
      <c r="D296" s="52">
        <v>45869</v>
      </c>
      <c r="E296" s="32" t="s">
        <v>15</v>
      </c>
      <c r="F296" s="32" t="str">
        <f t="shared" si="156"/>
        <v>M20</v>
      </c>
      <c r="G296" s="61" t="str">
        <f t="shared" si="156"/>
        <v>007</v>
      </c>
      <c r="H296" s="72" t="str">
        <f t="shared" si="156"/>
        <v>C1</v>
      </c>
      <c r="I296" s="72">
        <f t="shared" si="156"/>
        <v>2</v>
      </c>
      <c r="J296" s="37" t="s">
        <v>36</v>
      </c>
      <c r="K296" s="37">
        <v>3</v>
      </c>
      <c r="L296" s="17">
        <v>0.52</v>
      </c>
      <c r="M296" s="19">
        <v>1.74</v>
      </c>
      <c r="N296" s="18">
        <f t="shared" si="138"/>
        <v>1.22</v>
      </c>
      <c r="O296" s="20" t="str">
        <f t="shared" si="157"/>
        <v>OK</v>
      </c>
    </row>
    <row r="297" spans="1:15" ht="12" customHeight="1" x14ac:dyDescent="0.25">
      <c r="A297" s="93" t="s">
        <v>16</v>
      </c>
      <c r="B297" s="32">
        <v>5</v>
      </c>
      <c r="C297" s="36">
        <v>1125522</v>
      </c>
      <c r="D297" s="52">
        <v>45869</v>
      </c>
      <c r="E297" s="32" t="s">
        <v>15</v>
      </c>
      <c r="F297" s="32" t="str">
        <f t="shared" si="156"/>
        <v>M20</v>
      </c>
      <c r="G297" s="61" t="str">
        <f t="shared" si="156"/>
        <v>007</v>
      </c>
      <c r="H297" s="72" t="str">
        <f t="shared" si="156"/>
        <v>C1</v>
      </c>
      <c r="I297" s="72">
        <f t="shared" si="156"/>
        <v>2</v>
      </c>
      <c r="J297" s="37" t="s">
        <v>37</v>
      </c>
      <c r="K297" s="37">
        <v>4</v>
      </c>
      <c r="L297" s="17">
        <v>0.51</v>
      </c>
      <c r="M297" s="19">
        <v>2.19</v>
      </c>
      <c r="N297" s="18">
        <f t="shared" si="138"/>
        <v>1.68</v>
      </c>
      <c r="O297" s="20" t="str">
        <f t="shared" si="157"/>
        <v>OK</v>
      </c>
    </row>
    <row r="298" spans="1:15" ht="12" customHeight="1" x14ac:dyDescent="0.25">
      <c r="A298" s="93" t="s">
        <v>16</v>
      </c>
      <c r="B298" s="32">
        <v>5</v>
      </c>
      <c r="C298" s="36">
        <v>1125522</v>
      </c>
      <c r="D298" s="52">
        <v>45869</v>
      </c>
      <c r="E298" s="32" t="s">
        <v>15</v>
      </c>
      <c r="F298" s="32" t="str">
        <f t="shared" si="156"/>
        <v>M20</v>
      </c>
      <c r="G298" s="61" t="str">
        <f t="shared" si="156"/>
        <v>007</v>
      </c>
      <c r="H298" s="72" t="str">
        <f t="shared" si="156"/>
        <v>C1</v>
      </c>
      <c r="I298" s="72">
        <f t="shared" si="156"/>
        <v>2</v>
      </c>
      <c r="J298" s="37" t="s">
        <v>38</v>
      </c>
      <c r="K298" s="37">
        <v>4</v>
      </c>
      <c r="L298" s="17">
        <v>0.32</v>
      </c>
      <c r="M298" s="19">
        <v>4.3499999999999996</v>
      </c>
      <c r="N298" s="18">
        <f t="shared" si="138"/>
        <v>4.0299999999999994</v>
      </c>
      <c r="O298" s="20" t="str">
        <f t="shared" si="157"/>
        <v>OK</v>
      </c>
    </row>
    <row r="299" spans="1:15" ht="12" customHeight="1" x14ac:dyDescent="0.25">
      <c r="A299" s="93" t="s">
        <v>16</v>
      </c>
      <c r="B299" s="32">
        <v>5</v>
      </c>
      <c r="C299" s="36">
        <v>1125522</v>
      </c>
      <c r="D299" s="52">
        <v>45869</v>
      </c>
      <c r="E299" s="32" t="s">
        <v>15</v>
      </c>
      <c r="F299" s="32" t="str">
        <f t="shared" si="156"/>
        <v>M20</v>
      </c>
      <c r="G299" s="61" t="str">
        <f t="shared" si="156"/>
        <v>007</v>
      </c>
      <c r="H299" s="72" t="s">
        <v>39</v>
      </c>
      <c r="I299" s="72">
        <v>1</v>
      </c>
      <c r="J299" s="37" t="s">
        <v>31</v>
      </c>
      <c r="K299" s="37">
        <v>5</v>
      </c>
      <c r="L299" s="17">
        <v>0.3</v>
      </c>
      <c r="M299" s="19">
        <v>4.6399999999999997</v>
      </c>
      <c r="N299" s="18">
        <f t="shared" si="138"/>
        <v>4.34</v>
      </c>
      <c r="O299" s="20" t="str">
        <f t="shared" si="157"/>
        <v>OK</v>
      </c>
    </row>
    <row r="300" spans="1:15" ht="12" customHeight="1" x14ac:dyDescent="0.25">
      <c r="A300" s="93" t="s">
        <v>16</v>
      </c>
      <c r="B300" s="32">
        <v>5</v>
      </c>
      <c r="C300" s="36">
        <v>1125522</v>
      </c>
      <c r="D300" s="52">
        <v>45869</v>
      </c>
      <c r="E300" s="32" t="s">
        <v>15</v>
      </c>
      <c r="F300" s="32" t="str">
        <f t="shared" si="156"/>
        <v>M20</v>
      </c>
      <c r="G300" s="61" t="str">
        <f t="shared" si="156"/>
        <v>007</v>
      </c>
      <c r="H300" s="72" t="str">
        <f t="shared" si="156"/>
        <v>C2</v>
      </c>
      <c r="I300" s="72">
        <f t="shared" si="156"/>
        <v>1</v>
      </c>
      <c r="J300" s="37" t="s">
        <v>32</v>
      </c>
      <c r="K300" s="37">
        <v>5</v>
      </c>
      <c r="L300" s="17">
        <v>0.21</v>
      </c>
      <c r="M300" s="19">
        <v>4.43</v>
      </c>
      <c r="N300" s="18">
        <f t="shared" si="138"/>
        <v>4.22</v>
      </c>
      <c r="O300" s="20" t="str">
        <f t="shared" si="157"/>
        <v>OK</v>
      </c>
    </row>
    <row r="301" spans="1:15" ht="12" customHeight="1" x14ac:dyDescent="0.25">
      <c r="A301" s="93" t="s">
        <v>16</v>
      </c>
      <c r="B301" s="32">
        <v>5</v>
      </c>
      <c r="C301" s="36">
        <v>1125522</v>
      </c>
      <c r="D301" s="52">
        <v>45869</v>
      </c>
      <c r="E301" s="32" t="s">
        <v>15</v>
      </c>
      <c r="F301" s="32" t="str">
        <f t="shared" si="156"/>
        <v>M20</v>
      </c>
      <c r="G301" s="61" t="str">
        <f t="shared" si="156"/>
        <v>007</v>
      </c>
      <c r="H301" s="72" t="str">
        <f t="shared" si="156"/>
        <v>C2</v>
      </c>
      <c r="I301" s="72">
        <f t="shared" si="156"/>
        <v>1</v>
      </c>
      <c r="J301" s="37" t="s">
        <v>33</v>
      </c>
      <c r="K301" s="37">
        <v>6</v>
      </c>
      <c r="L301" s="17">
        <v>0.14000000000000001</v>
      </c>
      <c r="M301" s="19">
        <v>4.53</v>
      </c>
      <c r="N301" s="18">
        <f t="shared" si="138"/>
        <v>4.3900000000000006</v>
      </c>
      <c r="O301" s="20" t="str">
        <f t="shared" si="157"/>
        <v>OK</v>
      </c>
    </row>
    <row r="302" spans="1:15" ht="12" customHeight="1" x14ac:dyDescent="0.25">
      <c r="A302" s="93" t="s">
        <v>16</v>
      </c>
      <c r="B302" s="32">
        <v>5</v>
      </c>
      <c r="C302" s="36">
        <v>1125522</v>
      </c>
      <c r="D302" s="52">
        <v>45869</v>
      </c>
      <c r="E302" s="32" t="s">
        <v>15</v>
      </c>
      <c r="F302" s="32" t="str">
        <f t="shared" si="156"/>
        <v>M20</v>
      </c>
      <c r="G302" s="61" t="str">
        <f t="shared" si="156"/>
        <v>007</v>
      </c>
      <c r="H302" s="72" t="str">
        <f t="shared" si="156"/>
        <v>C2</v>
      </c>
      <c r="I302" s="72">
        <f t="shared" si="156"/>
        <v>1</v>
      </c>
      <c r="J302" s="37" t="s">
        <v>34</v>
      </c>
      <c r="K302" s="37">
        <v>6</v>
      </c>
      <c r="L302" s="17">
        <v>0.34</v>
      </c>
      <c r="M302" s="19">
        <v>4.57</v>
      </c>
      <c r="N302" s="18">
        <f t="shared" si="138"/>
        <v>4.2300000000000004</v>
      </c>
      <c r="O302" s="20" t="str">
        <f t="shared" si="157"/>
        <v>OK</v>
      </c>
    </row>
    <row r="303" spans="1:15" ht="12" customHeight="1" x14ac:dyDescent="0.25">
      <c r="A303" s="93" t="s">
        <v>16</v>
      </c>
      <c r="B303" s="32">
        <v>5</v>
      </c>
      <c r="C303" s="36">
        <v>1125522</v>
      </c>
      <c r="D303" s="52">
        <v>45869</v>
      </c>
      <c r="E303" s="32" t="s">
        <v>15</v>
      </c>
      <c r="F303" s="32" t="str">
        <f t="shared" si="156"/>
        <v>M20</v>
      </c>
      <c r="G303" s="61" t="str">
        <f t="shared" si="156"/>
        <v>007</v>
      </c>
      <c r="H303" s="72" t="str">
        <f t="shared" si="156"/>
        <v>C2</v>
      </c>
      <c r="I303" s="72">
        <v>2</v>
      </c>
      <c r="J303" s="37" t="s">
        <v>35</v>
      </c>
      <c r="K303" s="37">
        <v>7</v>
      </c>
      <c r="L303" s="17">
        <v>0.44</v>
      </c>
      <c r="M303" s="19">
        <v>4.3099999999999996</v>
      </c>
      <c r="N303" s="18">
        <f t="shared" si="138"/>
        <v>3.8699999999999997</v>
      </c>
      <c r="O303" s="20" t="str">
        <f t="shared" si="157"/>
        <v>OK</v>
      </c>
    </row>
    <row r="304" spans="1:15" ht="12" customHeight="1" x14ac:dyDescent="0.25">
      <c r="A304" s="93" t="s">
        <v>16</v>
      </c>
      <c r="B304" s="32">
        <v>5</v>
      </c>
      <c r="C304" s="36">
        <v>1125522</v>
      </c>
      <c r="D304" s="52">
        <v>45869</v>
      </c>
      <c r="E304" s="32" t="s">
        <v>15</v>
      </c>
      <c r="F304" s="32" t="str">
        <f t="shared" si="156"/>
        <v>M20</v>
      </c>
      <c r="G304" s="61" t="str">
        <f t="shared" si="156"/>
        <v>007</v>
      </c>
      <c r="H304" s="72" t="str">
        <f t="shared" si="156"/>
        <v>C2</v>
      </c>
      <c r="I304" s="72">
        <f t="shared" si="156"/>
        <v>2</v>
      </c>
      <c r="J304" s="37" t="s">
        <v>36</v>
      </c>
      <c r="K304" s="37">
        <v>7</v>
      </c>
      <c r="L304" s="17">
        <v>0.21</v>
      </c>
      <c r="M304" s="19">
        <v>4.1500000000000004</v>
      </c>
      <c r="N304" s="18">
        <f t="shared" si="138"/>
        <v>3.9400000000000004</v>
      </c>
      <c r="O304" s="20" t="str">
        <f t="shared" si="157"/>
        <v>OK</v>
      </c>
    </row>
    <row r="305" spans="1:15" ht="12" customHeight="1" x14ac:dyDescent="0.25">
      <c r="A305" s="93" t="s">
        <v>16</v>
      </c>
      <c r="B305" s="32">
        <v>5</v>
      </c>
      <c r="C305" s="36">
        <v>1125522</v>
      </c>
      <c r="D305" s="52">
        <v>45869</v>
      </c>
      <c r="E305" s="32" t="s">
        <v>15</v>
      </c>
      <c r="F305" s="32" t="str">
        <f t="shared" si="156"/>
        <v>M20</v>
      </c>
      <c r="G305" s="61" t="str">
        <f t="shared" si="156"/>
        <v>007</v>
      </c>
      <c r="H305" s="72" t="str">
        <f t="shared" si="156"/>
        <v>C2</v>
      </c>
      <c r="I305" s="72">
        <f t="shared" si="156"/>
        <v>2</v>
      </c>
      <c r="J305" s="37" t="s">
        <v>37</v>
      </c>
      <c r="K305" s="37">
        <v>8</v>
      </c>
      <c r="L305" s="17">
        <v>0.13</v>
      </c>
      <c r="M305" s="19">
        <v>4.3499999999999996</v>
      </c>
      <c r="N305" s="18">
        <f t="shared" si="138"/>
        <v>4.22</v>
      </c>
      <c r="O305" s="20" t="str">
        <f t="shared" si="157"/>
        <v>OK</v>
      </c>
    </row>
    <row r="306" spans="1:15" ht="12" customHeight="1" x14ac:dyDescent="0.25">
      <c r="A306" s="93" t="s">
        <v>16</v>
      </c>
      <c r="B306" s="32">
        <v>5</v>
      </c>
      <c r="C306" s="36">
        <v>1125522</v>
      </c>
      <c r="D306" s="52">
        <v>45869</v>
      </c>
      <c r="E306" s="32" t="s">
        <v>15</v>
      </c>
      <c r="F306" s="32" t="str">
        <f t="shared" si="156"/>
        <v>M20</v>
      </c>
      <c r="G306" s="61" t="str">
        <f t="shared" si="156"/>
        <v>007</v>
      </c>
      <c r="H306" s="72" t="str">
        <f t="shared" si="156"/>
        <v>C2</v>
      </c>
      <c r="I306" s="72">
        <f t="shared" si="156"/>
        <v>2</v>
      </c>
      <c r="J306" s="37" t="s">
        <v>38</v>
      </c>
      <c r="K306" s="37">
        <v>8</v>
      </c>
      <c r="L306" s="17">
        <v>0.42</v>
      </c>
      <c r="M306" s="19">
        <v>4.43</v>
      </c>
      <c r="N306" s="18">
        <f t="shared" si="138"/>
        <v>4.01</v>
      </c>
      <c r="O306" s="20" t="str">
        <f t="shared" si="157"/>
        <v>OK</v>
      </c>
    </row>
    <row r="307" spans="1:15" ht="12" customHeight="1" x14ac:dyDescent="0.25">
      <c r="A307" s="93" t="s">
        <v>16</v>
      </c>
      <c r="B307" s="32">
        <v>5</v>
      </c>
      <c r="C307" s="36">
        <v>1125522</v>
      </c>
      <c r="D307" s="52">
        <v>45869</v>
      </c>
      <c r="E307" s="32" t="s">
        <v>15</v>
      </c>
      <c r="F307" s="32" t="s">
        <v>40</v>
      </c>
      <c r="G307" s="61" t="s">
        <v>57</v>
      </c>
      <c r="H307" s="72" t="s">
        <v>42</v>
      </c>
      <c r="I307" s="72">
        <v>1</v>
      </c>
      <c r="J307" s="37" t="s">
        <v>31</v>
      </c>
      <c r="K307" s="37">
        <v>9</v>
      </c>
      <c r="L307" s="17">
        <v>0.41</v>
      </c>
      <c r="M307" s="19">
        <v>1.36</v>
      </c>
      <c r="N307" s="18">
        <f t="shared" si="138"/>
        <v>0.95000000000000018</v>
      </c>
      <c r="O307" s="20" t="str">
        <f t="shared" si="157"/>
        <v>Seguimiento</v>
      </c>
    </row>
    <row r="308" spans="1:15" ht="12" customHeight="1" x14ac:dyDescent="0.25">
      <c r="A308" s="93" t="s">
        <v>16</v>
      </c>
      <c r="B308" s="32">
        <v>5</v>
      </c>
      <c r="C308" s="36">
        <v>1125522</v>
      </c>
      <c r="D308" s="52">
        <v>45869</v>
      </c>
      <c r="E308" s="32" t="s">
        <v>15</v>
      </c>
      <c r="F308" s="32" t="str">
        <f t="shared" ref="F308:I322" si="158">F307</f>
        <v>M21</v>
      </c>
      <c r="G308" s="61" t="str">
        <f t="shared" si="158"/>
        <v>008</v>
      </c>
      <c r="H308" s="72" t="str">
        <f t="shared" si="158"/>
        <v>C3</v>
      </c>
      <c r="I308" s="72">
        <f t="shared" si="158"/>
        <v>1</v>
      </c>
      <c r="J308" s="37" t="s">
        <v>32</v>
      </c>
      <c r="K308" s="37">
        <v>9</v>
      </c>
      <c r="L308" s="17">
        <v>1.1599999999999999</v>
      </c>
      <c r="M308" s="19">
        <v>3.62</v>
      </c>
      <c r="N308" s="18">
        <f t="shared" si="138"/>
        <v>2.46</v>
      </c>
      <c r="O308" s="20" t="str">
        <f t="shared" si="157"/>
        <v>OK</v>
      </c>
    </row>
    <row r="309" spans="1:15" ht="12" customHeight="1" x14ac:dyDescent="0.25">
      <c r="A309" s="93" t="s">
        <v>16</v>
      </c>
      <c r="B309" s="32">
        <v>5</v>
      </c>
      <c r="C309" s="36">
        <v>1125522</v>
      </c>
      <c r="D309" s="52">
        <v>45869</v>
      </c>
      <c r="E309" s="32" t="s">
        <v>15</v>
      </c>
      <c r="F309" s="32" t="str">
        <f t="shared" si="158"/>
        <v>M21</v>
      </c>
      <c r="G309" s="61" t="str">
        <f t="shared" si="158"/>
        <v>008</v>
      </c>
      <c r="H309" s="72" t="str">
        <f t="shared" si="158"/>
        <v>C3</v>
      </c>
      <c r="I309" s="72">
        <f t="shared" si="158"/>
        <v>1</v>
      </c>
      <c r="J309" s="37" t="s">
        <v>33</v>
      </c>
      <c r="K309" s="37">
        <v>10</v>
      </c>
      <c r="L309" s="17">
        <v>0.98</v>
      </c>
      <c r="M309" s="19">
        <v>3.32</v>
      </c>
      <c r="N309" s="18">
        <f t="shared" si="138"/>
        <v>2.34</v>
      </c>
      <c r="O309" s="20" t="str">
        <f t="shared" si="157"/>
        <v>OK</v>
      </c>
    </row>
    <row r="310" spans="1:15" ht="12" customHeight="1" x14ac:dyDescent="0.25">
      <c r="A310" s="93" t="s">
        <v>16</v>
      </c>
      <c r="B310" s="32">
        <v>5</v>
      </c>
      <c r="C310" s="36">
        <v>1125522</v>
      </c>
      <c r="D310" s="52">
        <v>45869</v>
      </c>
      <c r="E310" s="32" t="s">
        <v>15</v>
      </c>
      <c r="F310" s="32" t="str">
        <f t="shared" si="158"/>
        <v>M21</v>
      </c>
      <c r="G310" s="61" t="str">
        <f t="shared" si="158"/>
        <v>008</v>
      </c>
      <c r="H310" s="72" t="str">
        <f t="shared" si="158"/>
        <v>C3</v>
      </c>
      <c r="I310" s="72">
        <f t="shared" si="158"/>
        <v>1</v>
      </c>
      <c r="J310" s="37" t="s">
        <v>34</v>
      </c>
      <c r="K310" s="37">
        <v>10</v>
      </c>
      <c r="L310" s="17">
        <v>0.88</v>
      </c>
      <c r="M310" s="19">
        <v>3.76</v>
      </c>
      <c r="N310" s="18">
        <f t="shared" si="138"/>
        <v>2.88</v>
      </c>
      <c r="O310" s="20" t="str">
        <f t="shared" si="157"/>
        <v>OK</v>
      </c>
    </row>
    <row r="311" spans="1:15" ht="12" customHeight="1" x14ac:dyDescent="0.25">
      <c r="A311" s="93" t="s">
        <v>16</v>
      </c>
      <c r="B311" s="32">
        <v>5</v>
      </c>
      <c r="C311" s="36">
        <v>1125522</v>
      </c>
      <c r="D311" s="52">
        <v>45869</v>
      </c>
      <c r="E311" s="32" t="s">
        <v>15</v>
      </c>
      <c r="F311" s="32" t="str">
        <f t="shared" si="158"/>
        <v>M21</v>
      </c>
      <c r="G311" s="61" t="str">
        <f t="shared" si="158"/>
        <v>008</v>
      </c>
      <c r="H311" s="72" t="str">
        <f t="shared" si="158"/>
        <v>C3</v>
      </c>
      <c r="I311" s="72">
        <v>2</v>
      </c>
      <c r="J311" s="37" t="s">
        <v>35</v>
      </c>
      <c r="K311" s="37">
        <v>11</v>
      </c>
      <c r="L311" s="17">
        <v>0.87</v>
      </c>
      <c r="M311" s="19">
        <v>2.65</v>
      </c>
      <c r="N311" s="18">
        <f t="shared" si="138"/>
        <v>1.7799999999999998</v>
      </c>
      <c r="O311" s="20" t="str">
        <f t="shared" si="157"/>
        <v>OK</v>
      </c>
    </row>
    <row r="312" spans="1:15" ht="12" customHeight="1" x14ac:dyDescent="0.25">
      <c r="A312" s="93" t="s">
        <v>16</v>
      </c>
      <c r="B312" s="32">
        <v>5</v>
      </c>
      <c r="C312" s="36">
        <v>1125522</v>
      </c>
      <c r="D312" s="52">
        <v>45869</v>
      </c>
      <c r="E312" s="32" t="s">
        <v>15</v>
      </c>
      <c r="F312" s="32" t="str">
        <f t="shared" si="158"/>
        <v>M21</v>
      </c>
      <c r="G312" s="61" t="str">
        <f t="shared" si="158"/>
        <v>008</v>
      </c>
      <c r="H312" s="72" t="str">
        <f t="shared" si="158"/>
        <v>C3</v>
      </c>
      <c r="I312" s="72">
        <f t="shared" si="158"/>
        <v>2</v>
      </c>
      <c r="J312" s="37" t="s">
        <v>36</v>
      </c>
      <c r="K312" s="37">
        <v>11</v>
      </c>
      <c r="L312" s="17">
        <v>0.06</v>
      </c>
      <c r="M312" s="19">
        <v>4.08</v>
      </c>
      <c r="N312" s="18">
        <f t="shared" si="138"/>
        <v>4.0200000000000005</v>
      </c>
      <c r="O312" s="20" t="str">
        <f t="shared" si="157"/>
        <v>OK</v>
      </c>
    </row>
    <row r="313" spans="1:15" ht="12" customHeight="1" x14ac:dyDescent="0.25">
      <c r="A313" s="93" t="s">
        <v>16</v>
      </c>
      <c r="B313" s="32">
        <v>5</v>
      </c>
      <c r="C313" s="36">
        <v>1125522</v>
      </c>
      <c r="D313" s="52">
        <v>45869</v>
      </c>
      <c r="E313" s="32" t="s">
        <v>15</v>
      </c>
      <c r="F313" s="32" t="str">
        <f t="shared" si="158"/>
        <v>M21</v>
      </c>
      <c r="G313" s="61" t="str">
        <f t="shared" si="158"/>
        <v>008</v>
      </c>
      <c r="H313" s="72" t="str">
        <f t="shared" si="158"/>
        <v>C3</v>
      </c>
      <c r="I313" s="72">
        <f t="shared" si="158"/>
        <v>2</v>
      </c>
      <c r="J313" s="37" t="s">
        <v>37</v>
      </c>
      <c r="K313" s="37">
        <v>12</v>
      </c>
      <c r="L313" s="17">
        <v>0.16</v>
      </c>
      <c r="M313" s="19">
        <v>2.42</v>
      </c>
      <c r="N313" s="18">
        <f t="shared" si="138"/>
        <v>2.2599999999999998</v>
      </c>
      <c r="O313" s="20" t="str">
        <f t="shared" si="157"/>
        <v>OK</v>
      </c>
    </row>
    <row r="314" spans="1:15" ht="12" customHeight="1" x14ac:dyDescent="0.25">
      <c r="A314" s="93" t="s">
        <v>16</v>
      </c>
      <c r="B314" s="32">
        <v>5</v>
      </c>
      <c r="C314" s="36">
        <v>1125522</v>
      </c>
      <c r="D314" s="52">
        <v>45869</v>
      </c>
      <c r="E314" s="32" t="s">
        <v>15</v>
      </c>
      <c r="F314" s="32" t="str">
        <f t="shared" si="158"/>
        <v>M21</v>
      </c>
      <c r="G314" s="61" t="str">
        <f t="shared" si="158"/>
        <v>008</v>
      </c>
      <c r="H314" s="72" t="str">
        <f t="shared" si="158"/>
        <v>C3</v>
      </c>
      <c r="I314" s="72">
        <f t="shared" si="158"/>
        <v>2</v>
      </c>
      <c r="J314" s="37" t="s">
        <v>38</v>
      </c>
      <c r="K314" s="37">
        <v>12</v>
      </c>
      <c r="L314" s="17">
        <v>0.03</v>
      </c>
      <c r="M314" s="19">
        <v>4.75</v>
      </c>
      <c r="N314" s="18">
        <f t="shared" si="138"/>
        <v>4.72</v>
      </c>
      <c r="O314" s="20" t="str">
        <f t="shared" si="157"/>
        <v>OK</v>
      </c>
    </row>
    <row r="315" spans="1:15" ht="12" customHeight="1" x14ac:dyDescent="0.25">
      <c r="A315" s="93" t="s">
        <v>16</v>
      </c>
      <c r="B315" s="32">
        <v>5</v>
      </c>
      <c r="C315" s="36">
        <v>1125522</v>
      </c>
      <c r="D315" s="52">
        <v>45869</v>
      </c>
      <c r="E315" s="32" t="s">
        <v>15</v>
      </c>
      <c r="F315" s="32" t="str">
        <f t="shared" si="158"/>
        <v>M21</v>
      </c>
      <c r="G315" s="61" t="str">
        <f t="shared" si="158"/>
        <v>008</v>
      </c>
      <c r="H315" s="72" t="s">
        <v>43</v>
      </c>
      <c r="I315" s="72">
        <v>1</v>
      </c>
      <c r="J315" s="37" t="s">
        <v>31</v>
      </c>
      <c r="K315" s="37">
        <v>13</v>
      </c>
      <c r="L315" s="17">
        <v>0.16</v>
      </c>
      <c r="M315" s="19">
        <v>1.88</v>
      </c>
      <c r="N315" s="18">
        <f t="shared" si="138"/>
        <v>1.72</v>
      </c>
      <c r="O315" s="20" t="str">
        <f t="shared" si="157"/>
        <v>OK</v>
      </c>
    </row>
    <row r="316" spans="1:15" ht="12" customHeight="1" x14ac:dyDescent="0.25">
      <c r="A316" s="93" t="s">
        <v>16</v>
      </c>
      <c r="B316" s="32">
        <v>5</v>
      </c>
      <c r="C316" s="36">
        <v>1125522</v>
      </c>
      <c r="D316" s="52">
        <v>45869</v>
      </c>
      <c r="E316" s="32" t="s">
        <v>15</v>
      </c>
      <c r="F316" s="32" t="str">
        <f t="shared" si="158"/>
        <v>M21</v>
      </c>
      <c r="G316" s="61" t="str">
        <f t="shared" si="158"/>
        <v>008</v>
      </c>
      <c r="H316" s="72" t="str">
        <f t="shared" si="158"/>
        <v>C4</v>
      </c>
      <c r="I316" s="72">
        <f t="shared" si="158"/>
        <v>1</v>
      </c>
      <c r="J316" s="37" t="s">
        <v>32</v>
      </c>
      <c r="K316" s="37">
        <v>13</v>
      </c>
      <c r="L316" s="17">
        <v>0.7</v>
      </c>
      <c r="M316" s="19">
        <v>2.76</v>
      </c>
      <c r="N316" s="18">
        <f t="shared" si="138"/>
        <v>2.0599999999999996</v>
      </c>
      <c r="O316" s="20" t="str">
        <f t="shared" si="157"/>
        <v>OK</v>
      </c>
    </row>
    <row r="317" spans="1:15" ht="12" customHeight="1" x14ac:dyDescent="0.25">
      <c r="A317" s="93" t="s">
        <v>16</v>
      </c>
      <c r="B317" s="32">
        <v>5</v>
      </c>
      <c r="C317" s="36">
        <v>1125522</v>
      </c>
      <c r="D317" s="52">
        <v>45869</v>
      </c>
      <c r="E317" s="32" t="s">
        <v>15</v>
      </c>
      <c r="F317" s="32" t="str">
        <f t="shared" si="158"/>
        <v>M21</v>
      </c>
      <c r="G317" s="61" t="str">
        <f t="shared" si="158"/>
        <v>008</v>
      </c>
      <c r="H317" s="72" t="str">
        <f t="shared" si="158"/>
        <v>C4</v>
      </c>
      <c r="I317" s="72">
        <f t="shared" si="158"/>
        <v>1</v>
      </c>
      <c r="J317" s="37" t="s">
        <v>33</v>
      </c>
      <c r="K317" s="37">
        <v>14</v>
      </c>
      <c r="L317" s="17">
        <v>0.06</v>
      </c>
      <c r="M317" s="19">
        <v>4.79</v>
      </c>
      <c r="N317" s="18">
        <f t="shared" si="138"/>
        <v>4.7300000000000004</v>
      </c>
      <c r="O317" s="20" t="str">
        <f t="shared" si="157"/>
        <v>OK</v>
      </c>
    </row>
    <row r="318" spans="1:15" ht="12" customHeight="1" x14ac:dyDescent="0.25">
      <c r="A318" s="93" t="s">
        <v>16</v>
      </c>
      <c r="B318" s="32">
        <v>5</v>
      </c>
      <c r="C318" s="36">
        <v>1125522</v>
      </c>
      <c r="D318" s="52">
        <v>45869</v>
      </c>
      <c r="E318" s="32" t="s">
        <v>15</v>
      </c>
      <c r="F318" s="32" t="str">
        <f t="shared" si="158"/>
        <v>M21</v>
      </c>
      <c r="G318" s="61" t="str">
        <f t="shared" si="158"/>
        <v>008</v>
      </c>
      <c r="H318" s="72" t="str">
        <f t="shared" si="158"/>
        <v>C4</v>
      </c>
      <c r="I318" s="72">
        <f t="shared" si="158"/>
        <v>1</v>
      </c>
      <c r="J318" s="37" t="s">
        <v>34</v>
      </c>
      <c r="K318" s="37">
        <v>14</v>
      </c>
      <c r="L318" s="17">
        <v>0.1</v>
      </c>
      <c r="M318" s="19">
        <v>4.88</v>
      </c>
      <c r="N318" s="18">
        <f t="shared" si="138"/>
        <v>4.78</v>
      </c>
      <c r="O318" s="20" t="str">
        <f t="shared" si="157"/>
        <v>OK</v>
      </c>
    </row>
    <row r="319" spans="1:15" ht="12" customHeight="1" x14ac:dyDescent="0.25">
      <c r="A319" s="93" t="s">
        <v>16</v>
      </c>
      <c r="B319" s="32">
        <v>5</v>
      </c>
      <c r="C319" s="36">
        <v>1125522</v>
      </c>
      <c r="D319" s="52">
        <v>45869</v>
      </c>
      <c r="E319" s="32" t="s">
        <v>15</v>
      </c>
      <c r="F319" s="32" t="str">
        <f t="shared" si="158"/>
        <v>M21</v>
      </c>
      <c r="G319" s="61" t="str">
        <f t="shared" si="158"/>
        <v>008</v>
      </c>
      <c r="H319" s="72" t="str">
        <f t="shared" si="158"/>
        <v>C4</v>
      </c>
      <c r="I319" s="72">
        <v>2</v>
      </c>
      <c r="J319" s="37" t="s">
        <v>35</v>
      </c>
      <c r="K319" s="37">
        <v>15</v>
      </c>
      <c r="L319" s="17">
        <v>0.99</v>
      </c>
      <c r="M319" s="19">
        <v>4.25</v>
      </c>
      <c r="N319" s="18">
        <f t="shared" si="138"/>
        <v>3.26</v>
      </c>
      <c r="O319" s="20" t="str">
        <f t="shared" si="157"/>
        <v>OK</v>
      </c>
    </row>
    <row r="320" spans="1:15" ht="12" customHeight="1" x14ac:dyDescent="0.25">
      <c r="A320" s="93" t="s">
        <v>16</v>
      </c>
      <c r="B320" s="32">
        <v>5</v>
      </c>
      <c r="C320" s="36">
        <v>1125522</v>
      </c>
      <c r="D320" s="52">
        <v>45869</v>
      </c>
      <c r="E320" s="32" t="s">
        <v>15</v>
      </c>
      <c r="F320" s="32" t="str">
        <f t="shared" si="158"/>
        <v>M21</v>
      </c>
      <c r="G320" s="61" t="str">
        <f t="shared" si="158"/>
        <v>008</v>
      </c>
      <c r="H320" s="72" t="str">
        <f t="shared" si="158"/>
        <v>C4</v>
      </c>
      <c r="I320" s="72">
        <f t="shared" si="158"/>
        <v>2</v>
      </c>
      <c r="J320" s="37" t="s">
        <v>36</v>
      </c>
      <c r="K320" s="37">
        <v>15</v>
      </c>
      <c r="L320" s="17">
        <v>0.09</v>
      </c>
      <c r="M320" s="19">
        <v>4.4800000000000004</v>
      </c>
      <c r="N320" s="18">
        <f t="shared" si="138"/>
        <v>4.3900000000000006</v>
      </c>
      <c r="O320" s="20" t="str">
        <f t="shared" si="157"/>
        <v>OK</v>
      </c>
    </row>
    <row r="321" spans="1:15" ht="12" customHeight="1" x14ac:dyDescent="0.25">
      <c r="A321" s="93" t="s">
        <v>16</v>
      </c>
      <c r="B321" s="32">
        <v>5</v>
      </c>
      <c r="C321" s="36">
        <v>1125522</v>
      </c>
      <c r="D321" s="52">
        <v>45869</v>
      </c>
      <c r="E321" s="32" t="s">
        <v>15</v>
      </c>
      <c r="F321" s="32" t="str">
        <f t="shared" si="158"/>
        <v>M21</v>
      </c>
      <c r="G321" s="61" t="str">
        <f t="shared" si="158"/>
        <v>008</v>
      </c>
      <c r="H321" s="72" t="str">
        <f t="shared" si="158"/>
        <v>C4</v>
      </c>
      <c r="I321" s="72">
        <f t="shared" si="158"/>
        <v>2</v>
      </c>
      <c r="J321" s="37" t="s">
        <v>37</v>
      </c>
      <c r="K321" s="37">
        <v>16</v>
      </c>
      <c r="L321" s="17">
        <v>0.8</v>
      </c>
      <c r="M321" s="19">
        <v>2.77</v>
      </c>
      <c r="N321" s="18">
        <f t="shared" si="138"/>
        <v>1.97</v>
      </c>
      <c r="O321" s="20" t="str">
        <f t="shared" si="157"/>
        <v>OK</v>
      </c>
    </row>
    <row r="322" spans="1:15" ht="12" customHeight="1" x14ac:dyDescent="0.25">
      <c r="A322" s="93" t="s">
        <v>16</v>
      </c>
      <c r="B322" s="32">
        <v>5</v>
      </c>
      <c r="C322" s="36">
        <v>1125522</v>
      </c>
      <c r="D322" s="52">
        <v>45869</v>
      </c>
      <c r="E322" s="32" t="s">
        <v>15</v>
      </c>
      <c r="F322" s="32" t="str">
        <f t="shared" si="158"/>
        <v>M21</v>
      </c>
      <c r="G322" s="61" t="str">
        <f t="shared" si="158"/>
        <v>008</v>
      </c>
      <c r="H322" s="72" t="str">
        <f t="shared" si="158"/>
        <v>C4</v>
      </c>
      <c r="I322" s="72">
        <f t="shared" si="158"/>
        <v>2</v>
      </c>
      <c r="J322" s="37" t="s">
        <v>38</v>
      </c>
      <c r="K322" s="37">
        <v>16</v>
      </c>
      <c r="L322" s="17">
        <v>1.08</v>
      </c>
      <c r="M322" s="19">
        <v>3.32</v>
      </c>
      <c r="N322" s="18">
        <f t="shared" si="138"/>
        <v>2.2399999999999998</v>
      </c>
      <c r="O322" s="20" t="str">
        <f t="shared" si="157"/>
        <v>OK</v>
      </c>
    </row>
    <row r="323" spans="1:15" ht="12" customHeight="1" x14ac:dyDescent="0.25">
      <c r="A323" s="93" t="s">
        <v>16</v>
      </c>
      <c r="B323" s="32">
        <v>5</v>
      </c>
      <c r="C323" s="36">
        <v>1125522</v>
      </c>
      <c r="D323" s="52">
        <v>45869</v>
      </c>
      <c r="E323" s="32" t="s">
        <v>15</v>
      </c>
      <c r="F323" s="32" t="s">
        <v>44</v>
      </c>
      <c r="G323" s="61" t="s">
        <v>71</v>
      </c>
      <c r="H323" s="72" t="s">
        <v>46</v>
      </c>
      <c r="I323" s="72">
        <v>1</v>
      </c>
      <c r="J323" s="37" t="s">
        <v>31</v>
      </c>
      <c r="K323" s="37">
        <v>17</v>
      </c>
      <c r="L323" s="17">
        <v>0.19</v>
      </c>
      <c r="M323" s="19">
        <v>4.8099999999999996</v>
      </c>
      <c r="N323" s="18">
        <f t="shared" ref="N323:N386" si="159">+M323-L323</f>
        <v>4.6199999999999992</v>
      </c>
      <c r="O323" s="20" t="str">
        <f t="shared" si="157"/>
        <v>OK</v>
      </c>
    </row>
    <row r="324" spans="1:15" ht="12" customHeight="1" x14ac:dyDescent="0.25">
      <c r="A324" s="93" t="s">
        <v>16</v>
      </c>
      <c r="B324" s="32">
        <v>5</v>
      </c>
      <c r="C324" s="36">
        <v>1125522</v>
      </c>
      <c r="D324" s="52">
        <v>45869</v>
      </c>
      <c r="E324" s="32" t="s">
        <v>15</v>
      </c>
      <c r="F324" s="32" t="str">
        <f t="shared" ref="F324:I338" si="160">F323</f>
        <v>M22</v>
      </c>
      <c r="G324" s="61" t="str">
        <f t="shared" si="160"/>
        <v>304</v>
      </c>
      <c r="H324" s="72" t="str">
        <f t="shared" si="160"/>
        <v>C5</v>
      </c>
      <c r="I324" s="72">
        <f t="shared" si="160"/>
        <v>1</v>
      </c>
      <c r="J324" s="37" t="s">
        <v>32</v>
      </c>
      <c r="K324" s="37">
        <v>17</v>
      </c>
      <c r="L324" s="17">
        <v>0.65</v>
      </c>
      <c r="M324" s="19">
        <v>1.96</v>
      </c>
      <c r="N324" s="18">
        <f t="shared" si="159"/>
        <v>1.31</v>
      </c>
      <c r="O324" s="20" t="str">
        <f t="shared" si="157"/>
        <v>OK</v>
      </c>
    </row>
    <row r="325" spans="1:15" ht="12" customHeight="1" x14ac:dyDescent="0.25">
      <c r="A325" s="93" t="s">
        <v>16</v>
      </c>
      <c r="B325" s="32">
        <v>5</v>
      </c>
      <c r="C325" s="36">
        <v>1125522</v>
      </c>
      <c r="D325" s="52">
        <v>45869</v>
      </c>
      <c r="E325" s="32" t="s">
        <v>15</v>
      </c>
      <c r="F325" s="32" t="str">
        <f t="shared" si="160"/>
        <v>M22</v>
      </c>
      <c r="G325" s="61" t="str">
        <f t="shared" si="160"/>
        <v>304</v>
      </c>
      <c r="H325" s="72" t="str">
        <f t="shared" si="160"/>
        <v>C5</v>
      </c>
      <c r="I325" s="72">
        <f t="shared" si="160"/>
        <v>1</v>
      </c>
      <c r="J325" s="37" t="s">
        <v>33</v>
      </c>
      <c r="K325" s="37">
        <v>18</v>
      </c>
      <c r="L325" s="17">
        <v>0.16</v>
      </c>
      <c r="M325" s="19">
        <v>2.85</v>
      </c>
      <c r="N325" s="18">
        <f t="shared" si="159"/>
        <v>2.69</v>
      </c>
      <c r="O325" s="20" t="str">
        <f t="shared" si="157"/>
        <v>OK</v>
      </c>
    </row>
    <row r="326" spans="1:15" ht="12" customHeight="1" x14ac:dyDescent="0.25">
      <c r="A326" s="93" t="s">
        <v>16</v>
      </c>
      <c r="B326" s="32">
        <v>5</v>
      </c>
      <c r="C326" s="36">
        <v>1125522</v>
      </c>
      <c r="D326" s="52">
        <v>45869</v>
      </c>
      <c r="E326" s="32" t="s">
        <v>15</v>
      </c>
      <c r="F326" s="32" t="str">
        <f t="shared" si="160"/>
        <v>M22</v>
      </c>
      <c r="G326" s="61" t="str">
        <f t="shared" si="160"/>
        <v>304</v>
      </c>
      <c r="H326" s="72" t="str">
        <f t="shared" si="160"/>
        <v>C5</v>
      </c>
      <c r="I326" s="72">
        <f t="shared" si="160"/>
        <v>1</v>
      </c>
      <c r="J326" s="37" t="s">
        <v>34</v>
      </c>
      <c r="K326" s="37">
        <v>18</v>
      </c>
      <c r="L326" s="17">
        <v>0.28999999999999998</v>
      </c>
      <c r="M326" s="19">
        <v>4.97</v>
      </c>
      <c r="N326" s="18">
        <f t="shared" si="159"/>
        <v>4.68</v>
      </c>
      <c r="O326" s="20" t="str">
        <f t="shared" si="157"/>
        <v>OK</v>
      </c>
    </row>
    <row r="327" spans="1:15" ht="12" customHeight="1" x14ac:dyDescent="0.25">
      <c r="A327" s="93" t="s">
        <v>16</v>
      </c>
      <c r="B327" s="32">
        <v>5</v>
      </c>
      <c r="C327" s="36">
        <v>1125522</v>
      </c>
      <c r="D327" s="52">
        <v>45869</v>
      </c>
      <c r="E327" s="32" t="s">
        <v>15</v>
      </c>
      <c r="F327" s="32" t="str">
        <f t="shared" si="160"/>
        <v>M22</v>
      </c>
      <c r="G327" s="61" t="str">
        <f t="shared" si="160"/>
        <v>304</v>
      </c>
      <c r="H327" s="72" t="str">
        <f t="shared" si="160"/>
        <v>C5</v>
      </c>
      <c r="I327" s="72">
        <v>2</v>
      </c>
      <c r="J327" s="37" t="s">
        <v>35</v>
      </c>
      <c r="K327" s="37">
        <v>19</v>
      </c>
      <c r="L327" s="17">
        <v>0.28000000000000003</v>
      </c>
      <c r="M327" s="19">
        <v>2.5499999999999998</v>
      </c>
      <c r="N327" s="18">
        <f t="shared" si="159"/>
        <v>2.2699999999999996</v>
      </c>
      <c r="O327" s="20" t="str">
        <f t="shared" si="157"/>
        <v>OK</v>
      </c>
    </row>
    <row r="328" spans="1:15" ht="12" customHeight="1" x14ac:dyDescent="0.25">
      <c r="A328" s="93" t="s">
        <v>16</v>
      </c>
      <c r="B328" s="32">
        <v>5</v>
      </c>
      <c r="C328" s="36">
        <v>1125522</v>
      </c>
      <c r="D328" s="52">
        <v>45869</v>
      </c>
      <c r="E328" s="32" t="s">
        <v>15</v>
      </c>
      <c r="F328" s="32" t="str">
        <f t="shared" si="160"/>
        <v>M22</v>
      </c>
      <c r="G328" s="61" t="str">
        <f t="shared" si="160"/>
        <v>304</v>
      </c>
      <c r="H328" s="72" t="str">
        <f t="shared" si="160"/>
        <v>C5</v>
      </c>
      <c r="I328" s="72">
        <f t="shared" si="160"/>
        <v>2</v>
      </c>
      <c r="J328" s="37" t="s">
        <v>36</v>
      </c>
      <c r="K328" s="37">
        <v>19</v>
      </c>
      <c r="L328" s="17">
        <v>0.23</v>
      </c>
      <c r="M328" s="19">
        <v>4.79</v>
      </c>
      <c r="N328" s="18">
        <f t="shared" si="159"/>
        <v>4.5599999999999996</v>
      </c>
      <c r="O328" s="20" t="str">
        <f t="shared" si="157"/>
        <v>OK</v>
      </c>
    </row>
    <row r="329" spans="1:15" ht="12" customHeight="1" x14ac:dyDescent="0.25">
      <c r="A329" s="93" t="s">
        <v>16</v>
      </c>
      <c r="B329" s="32">
        <v>5</v>
      </c>
      <c r="C329" s="36">
        <v>1125522</v>
      </c>
      <c r="D329" s="52">
        <v>45869</v>
      </c>
      <c r="E329" s="32" t="s">
        <v>15</v>
      </c>
      <c r="F329" s="32" t="str">
        <f t="shared" si="160"/>
        <v>M22</v>
      </c>
      <c r="G329" s="61" t="str">
        <f t="shared" si="160"/>
        <v>304</v>
      </c>
      <c r="H329" s="72" t="str">
        <f t="shared" si="160"/>
        <v>C5</v>
      </c>
      <c r="I329" s="72">
        <f t="shared" si="160"/>
        <v>2</v>
      </c>
      <c r="J329" s="37" t="s">
        <v>37</v>
      </c>
      <c r="K329" s="37">
        <v>20</v>
      </c>
      <c r="L329" s="17">
        <v>0.25</v>
      </c>
      <c r="M329" s="19">
        <v>4.9000000000000004</v>
      </c>
      <c r="N329" s="18">
        <f t="shared" si="159"/>
        <v>4.6500000000000004</v>
      </c>
      <c r="O329" s="20" t="str">
        <f t="shared" si="157"/>
        <v>OK</v>
      </c>
    </row>
    <row r="330" spans="1:15" ht="12" customHeight="1" x14ac:dyDescent="0.25">
      <c r="A330" s="93" t="s">
        <v>16</v>
      </c>
      <c r="B330" s="32">
        <v>5</v>
      </c>
      <c r="C330" s="36">
        <v>1125522</v>
      </c>
      <c r="D330" s="52">
        <v>45869</v>
      </c>
      <c r="E330" s="32" t="s">
        <v>15</v>
      </c>
      <c r="F330" s="32" t="str">
        <f t="shared" si="160"/>
        <v>M22</v>
      </c>
      <c r="G330" s="61" t="str">
        <f t="shared" si="160"/>
        <v>304</v>
      </c>
      <c r="H330" s="72" t="str">
        <f t="shared" si="160"/>
        <v>C5</v>
      </c>
      <c r="I330" s="72">
        <f t="shared" si="160"/>
        <v>2</v>
      </c>
      <c r="J330" s="37" t="s">
        <v>38</v>
      </c>
      <c r="K330" s="37">
        <v>20</v>
      </c>
      <c r="L330" s="17">
        <v>0.83</v>
      </c>
      <c r="M330" s="19">
        <v>4.2</v>
      </c>
      <c r="N330" s="18">
        <f t="shared" si="159"/>
        <v>3.37</v>
      </c>
      <c r="O330" s="20" t="str">
        <f t="shared" si="157"/>
        <v>OK</v>
      </c>
    </row>
    <row r="331" spans="1:15" ht="12" customHeight="1" x14ac:dyDescent="0.25">
      <c r="A331" s="93" t="s">
        <v>16</v>
      </c>
      <c r="B331" s="32">
        <v>5</v>
      </c>
      <c r="C331" s="36">
        <v>1125522</v>
      </c>
      <c r="D331" s="52">
        <v>45869</v>
      </c>
      <c r="E331" s="32" t="s">
        <v>15</v>
      </c>
      <c r="F331" s="32" t="str">
        <f t="shared" si="160"/>
        <v>M22</v>
      </c>
      <c r="G331" s="61" t="str">
        <f t="shared" si="160"/>
        <v>304</v>
      </c>
      <c r="H331" s="72" t="s">
        <v>47</v>
      </c>
      <c r="I331" s="72">
        <v>1</v>
      </c>
      <c r="J331" s="37" t="s">
        <v>31</v>
      </c>
      <c r="K331" s="37">
        <v>21</v>
      </c>
      <c r="L331" s="17">
        <v>0.14000000000000001</v>
      </c>
      <c r="M331" s="19">
        <v>4.87</v>
      </c>
      <c r="N331" s="18">
        <f t="shared" si="159"/>
        <v>4.7300000000000004</v>
      </c>
      <c r="O331" s="20" t="str">
        <f t="shared" si="157"/>
        <v>OK</v>
      </c>
    </row>
    <row r="332" spans="1:15" ht="12" customHeight="1" x14ac:dyDescent="0.25">
      <c r="A332" s="93" t="s">
        <v>16</v>
      </c>
      <c r="B332" s="32">
        <v>5</v>
      </c>
      <c r="C332" s="36">
        <v>1125522</v>
      </c>
      <c r="D332" s="52">
        <v>45869</v>
      </c>
      <c r="E332" s="32" t="s">
        <v>15</v>
      </c>
      <c r="F332" s="32" t="str">
        <f t="shared" si="160"/>
        <v>M22</v>
      </c>
      <c r="G332" s="61" t="str">
        <f t="shared" si="160"/>
        <v>304</v>
      </c>
      <c r="H332" s="72" t="str">
        <f t="shared" si="160"/>
        <v>C6</v>
      </c>
      <c r="I332" s="72">
        <f t="shared" si="160"/>
        <v>1</v>
      </c>
      <c r="J332" s="37" t="s">
        <v>32</v>
      </c>
      <c r="K332" s="37">
        <v>21</v>
      </c>
      <c r="L332" s="17">
        <v>0.17</v>
      </c>
      <c r="M332" s="19">
        <v>4.9400000000000004</v>
      </c>
      <c r="N332" s="18">
        <f t="shared" si="159"/>
        <v>4.7700000000000005</v>
      </c>
      <c r="O332" s="20" t="str">
        <f t="shared" si="157"/>
        <v>OK</v>
      </c>
    </row>
    <row r="333" spans="1:15" ht="12" customHeight="1" x14ac:dyDescent="0.25">
      <c r="A333" s="93" t="s">
        <v>16</v>
      </c>
      <c r="B333" s="32">
        <v>5</v>
      </c>
      <c r="C333" s="36">
        <v>1125522</v>
      </c>
      <c r="D333" s="52">
        <v>45869</v>
      </c>
      <c r="E333" s="32" t="s">
        <v>15</v>
      </c>
      <c r="F333" s="32" t="str">
        <f t="shared" si="160"/>
        <v>M22</v>
      </c>
      <c r="G333" s="61" t="str">
        <f t="shared" si="160"/>
        <v>304</v>
      </c>
      <c r="H333" s="72" t="str">
        <f t="shared" si="160"/>
        <v>C6</v>
      </c>
      <c r="I333" s="72">
        <f t="shared" si="160"/>
        <v>1</v>
      </c>
      <c r="J333" s="37" t="s">
        <v>33</v>
      </c>
      <c r="K333" s="37">
        <v>22</v>
      </c>
      <c r="L333" s="17">
        <v>0.25</v>
      </c>
      <c r="M333" s="19">
        <v>4.8600000000000003</v>
      </c>
      <c r="N333" s="18">
        <f t="shared" si="159"/>
        <v>4.6100000000000003</v>
      </c>
      <c r="O333" s="20" t="str">
        <f t="shared" si="157"/>
        <v>OK</v>
      </c>
    </row>
    <row r="334" spans="1:15" ht="12" customHeight="1" x14ac:dyDescent="0.25">
      <c r="A334" s="93" t="s">
        <v>16</v>
      </c>
      <c r="B334" s="32">
        <v>5</v>
      </c>
      <c r="C334" s="36">
        <v>1125522</v>
      </c>
      <c r="D334" s="52">
        <v>45869</v>
      </c>
      <c r="E334" s="32" t="s">
        <v>15</v>
      </c>
      <c r="F334" s="32" t="str">
        <f t="shared" si="160"/>
        <v>M22</v>
      </c>
      <c r="G334" s="61" t="str">
        <f t="shared" si="160"/>
        <v>304</v>
      </c>
      <c r="H334" s="72" t="str">
        <f t="shared" si="160"/>
        <v>C6</v>
      </c>
      <c r="I334" s="72">
        <f t="shared" si="160"/>
        <v>1</v>
      </c>
      <c r="J334" s="37" t="s">
        <v>34</v>
      </c>
      <c r="K334" s="37">
        <v>22</v>
      </c>
      <c r="L334" s="17">
        <v>0.17</v>
      </c>
      <c r="M334" s="19">
        <v>4.7</v>
      </c>
      <c r="N334" s="18">
        <f t="shared" si="159"/>
        <v>4.53</v>
      </c>
      <c r="O334" s="20" t="str">
        <f t="shared" si="157"/>
        <v>OK</v>
      </c>
    </row>
    <row r="335" spans="1:15" ht="12" customHeight="1" x14ac:dyDescent="0.25">
      <c r="A335" s="93" t="s">
        <v>16</v>
      </c>
      <c r="B335" s="32">
        <v>5</v>
      </c>
      <c r="C335" s="36">
        <v>1125522</v>
      </c>
      <c r="D335" s="52">
        <v>45869</v>
      </c>
      <c r="E335" s="32" t="s">
        <v>15</v>
      </c>
      <c r="F335" s="32" t="str">
        <f t="shared" si="160"/>
        <v>M22</v>
      </c>
      <c r="G335" s="61" t="str">
        <f t="shared" si="160"/>
        <v>304</v>
      </c>
      <c r="H335" s="72" t="str">
        <f t="shared" si="160"/>
        <v>C6</v>
      </c>
      <c r="I335" s="72">
        <v>2</v>
      </c>
      <c r="J335" s="37" t="s">
        <v>35</v>
      </c>
      <c r="K335" s="37">
        <v>23</v>
      </c>
      <c r="L335" s="17">
        <v>0.13</v>
      </c>
      <c r="M335" s="19">
        <v>4.7300000000000004</v>
      </c>
      <c r="N335" s="18">
        <f t="shared" si="159"/>
        <v>4.6000000000000005</v>
      </c>
      <c r="O335" s="20" t="str">
        <f t="shared" si="157"/>
        <v>OK</v>
      </c>
    </row>
    <row r="336" spans="1:15" ht="12" customHeight="1" x14ac:dyDescent="0.25">
      <c r="A336" s="93" t="s">
        <v>16</v>
      </c>
      <c r="B336" s="32">
        <v>5</v>
      </c>
      <c r="C336" s="36">
        <v>1125522</v>
      </c>
      <c r="D336" s="52">
        <v>45869</v>
      </c>
      <c r="E336" s="32" t="s">
        <v>15</v>
      </c>
      <c r="F336" s="32" t="str">
        <f t="shared" si="160"/>
        <v>M22</v>
      </c>
      <c r="G336" s="61" t="str">
        <f t="shared" si="160"/>
        <v>304</v>
      </c>
      <c r="H336" s="72" t="str">
        <f t="shared" si="160"/>
        <v>C6</v>
      </c>
      <c r="I336" s="72">
        <f t="shared" si="160"/>
        <v>2</v>
      </c>
      <c r="J336" s="37" t="s">
        <v>36</v>
      </c>
      <c r="K336" s="37">
        <v>23</v>
      </c>
      <c r="L336" s="17">
        <v>0.14000000000000001</v>
      </c>
      <c r="M336" s="19">
        <v>4.67</v>
      </c>
      <c r="N336" s="18">
        <f t="shared" si="159"/>
        <v>4.53</v>
      </c>
      <c r="O336" s="20" t="str">
        <f t="shared" si="157"/>
        <v>OK</v>
      </c>
    </row>
    <row r="337" spans="1:15" ht="12" customHeight="1" x14ac:dyDescent="0.25">
      <c r="A337" s="93" t="s">
        <v>16</v>
      </c>
      <c r="B337" s="32">
        <v>5</v>
      </c>
      <c r="C337" s="36">
        <v>1125522</v>
      </c>
      <c r="D337" s="52">
        <v>45869</v>
      </c>
      <c r="E337" s="32" t="s">
        <v>15</v>
      </c>
      <c r="F337" s="32" t="str">
        <f t="shared" si="160"/>
        <v>M22</v>
      </c>
      <c r="G337" s="61" t="str">
        <f t="shared" si="160"/>
        <v>304</v>
      </c>
      <c r="H337" s="72" t="str">
        <f t="shared" si="160"/>
        <v>C6</v>
      </c>
      <c r="I337" s="72">
        <f t="shared" si="160"/>
        <v>2</v>
      </c>
      <c r="J337" s="37" t="s">
        <v>37</v>
      </c>
      <c r="K337" s="37">
        <v>24</v>
      </c>
      <c r="L337" s="17">
        <v>0.21</v>
      </c>
      <c r="M337" s="19">
        <v>4.95</v>
      </c>
      <c r="N337" s="18">
        <f t="shared" si="159"/>
        <v>4.74</v>
      </c>
      <c r="O337" s="20" t="str">
        <f t="shared" si="157"/>
        <v>OK</v>
      </c>
    </row>
    <row r="338" spans="1:15" ht="12" customHeight="1" x14ac:dyDescent="0.25">
      <c r="A338" s="93" t="s">
        <v>16</v>
      </c>
      <c r="B338" s="32">
        <v>5</v>
      </c>
      <c r="C338" s="36">
        <v>1125522</v>
      </c>
      <c r="D338" s="52">
        <v>45869</v>
      </c>
      <c r="E338" s="32" t="s">
        <v>15</v>
      </c>
      <c r="F338" s="32" t="str">
        <f t="shared" si="160"/>
        <v>M22</v>
      </c>
      <c r="G338" s="61" t="str">
        <f t="shared" si="160"/>
        <v>304</v>
      </c>
      <c r="H338" s="72" t="str">
        <f t="shared" si="160"/>
        <v>C6</v>
      </c>
      <c r="I338" s="72">
        <f t="shared" si="160"/>
        <v>2</v>
      </c>
      <c r="J338" s="37" t="s">
        <v>38</v>
      </c>
      <c r="K338" s="37">
        <v>24</v>
      </c>
      <c r="L338" s="17">
        <v>0.26</v>
      </c>
      <c r="M338" s="19">
        <v>4.91</v>
      </c>
      <c r="N338" s="18">
        <f t="shared" si="159"/>
        <v>4.6500000000000004</v>
      </c>
      <c r="O338" s="20" t="str">
        <f t="shared" si="157"/>
        <v>OK</v>
      </c>
    </row>
    <row r="339" spans="1:15" ht="12" customHeight="1" x14ac:dyDescent="0.25">
      <c r="A339" s="93" t="s">
        <v>16</v>
      </c>
      <c r="B339" s="32">
        <v>5</v>
      </c>
      <c r="C339" s="36">
        <v>1125522</v>
      </c>
      <c r="D339" s="52">
        <v>45869</v>
      </c>
      <c r="E339" s="32" t="s">
        <v>15</v>
      </c>
      <c r="F339" s="32" t="s">
        <v>44</v>
      </c>
      <c r="G339" s="61" t="s">
        <v>72</v>
      </c>
      <c r="H339" s="72" t="s">
        <v>47</v>
      </c>
      <c r="I339" s="72">
        <v>2</v>
      </c>
      <c r="J339" s="37" t="s">
        <v>31</v>
      </c>
      <c r="K339" s="37">
        <v>25</v>
      </c>
      <c r="L339" s="17">
        <v>0.18</v>
      </c>
      <c r="M339" s="19">
        <v>4.59</v>
      </c>
      <c r="N339" s="18">
        <f t="shared" si="159"/>
        <v>4.41</v>
      </c>
      <c r="O339" s="20" t="str">
        <f t="shared" si="157"/>
        <v>OK</v>
      </c>
    </row>
    <row r="340" spans="1:15" ht="12" customHeight="1" x14ac:dyDescent="0.25">
      <c r="A340" s="93" t="s">
        <v>16</v>
      </c>
      <c r="B340" s="32">
        <v>5</v>
      </c>
      <c r="C340" s="36">
        <v>1125522</v>
      </c>
      <c r="D340" s="52">
        <v>45869</v>
      </c>
      <c r="E340" s="32" t="s">
        <v>15</v>
      </c>
      <c r="F340" s="32" t="str">
        <f t="shared" ref="F340:I354" si="161">F339</f>
        <v>M22</v>
      </c>
      <c r="G340" s="61" t="str">
        <f t="shared" si="161"/>
        <v>310</v>
      </c>
      <c r="H340" s="72" t="str">
        <f t="shared" si="161"/>
        <v>C6</v>
      </c>
      <c r="I340" s="72">
        <f t="shared" si="161"/>
        <v>2</v>
      </c>
      <c r="J340" s="37" t="s">
        <v>32</v>
      </c>
      <c r="K340" s="37">
        <v>25</v>
      </c>
      <c r="L340" s="17">
        <v>0.2</v>
      </c>
      <c r="M340" s="19">
        <v>0.92</v>
      </c>
      <c r="N340" s="18">
        <f t="shared" si="159"/>
        <v>0.72</v>
      </c>
      <c r="O340" s="20" t="str">
        <f t="shared" si="157"/>
        <v>Seguimiento</v>
      </c>
    </row>
    <row r="341" spans="1:15" ht="12" customHeight="1" x14ac:dyDescent="0.25">
      <c r="A341" s="93" t="s">
        <v>16</v>
      </c>
      <c r="B341" s="32">
        <v>5</v>
      </c>
      <c r="C341" s="36">
        <v>1125522</v>
      </c>
      <c r="D341" s="52">
        <v>45869</v>
      </c>
      <c r="E341" s="32" t="s">
        <v>15</v>
      </c>
      <c r="F341" s="32" t="str">
        <f t="shared" si="161"/>
        <v>M22</v>
      </c>
      <c r="G341" s="61" t="str">
        <f t="shared" si="161"/>
        <v>310</v>
      </c>
      <c r="H341" s="72" t="str">
        <f t="shared" si="161"/>
        <v>C6</v>
      </c>
      <c r="I341" s="72">
        <f t="shared" si="161"/>
        <v>2</v>
      </c>
      <c r="J341" s="37" t="s">
        <v>33</v>
      </c>
      <c r="K341" s="37">
        <v>26</v>
      </c>
      <c r="L341" s="17">
        <v>0.53</v>
      </c>
      <c r="M341" s="19">
        <v>4.13</v>
      </c>
      <c r="N341" s="18">
        <f t="shared" si="159"/>
        <v>3.5999999999999996</v>
      </c>
      <c r="O341" s="20" t="str">
        <f t="shared" si="157"/>
        <v>OK</v>
      </c>
    </row>
    <row r="342" spans="1:15" ht="12" customHeight="1" x14ac:dyDescent="0.25">
      <c r="A342" s="93" t="s">
        <v>16</v>
      </c>
      <c r="B342" s="32">
        <v>5</v>
      </c>
      <c r="C342" s="36">
        <v>1125522</v>
      </c>
      <c r="D342" s="52">
        <v>45869</v>
      </c>
      <c r="E342" s="32" t="s">
        <v>15</v>
      </c>
      <c r="F342" s="32" t="str">
        <f t="shared" si="161"/>
        <v>M22</v>
      </c>
      <c r="G342" s="61" t="str">
        <f t="shared" si="161"/>
        <v>310</v>
      </c>
      <c r="H342" s="72" t="str">
        <f t="shared" si="161"/>
        <v>C6</v>
      </c>
      <c r="I342" s="72">
        <f t="shared" si="161"/>
        <v>2</v>
      </c>
      <c r="J342" s="37" t="s">
        <v>34</v>
      </c>
      <c r="K342" s="37">
        <v>26</v>
      </c>
      <c r="L342" s="17">
        <v>0.26</v>
      </c>
      <c r="M342" s="19">
        <v>4.7</v>
      </c>
      <c r="N342" s="18">
        <f t="shared" si="159"/>
        <v>4.4400000000000004</v>
      </c>
      <c r="O342" s="20" t="str">
        <f t="shared" si="157"/>
        <v>OK</v>
      </c>
    </row>
    <row r="343" spans="1:15" ht="12" customHeight="1" x14ac:dyDescent="0.25">
      <c r="A343" s="93" t="s">
        <v>16</v>
      </c>
      <c r="B343" s="32">
        <v>5</v>
      </c>
      <c r="C343" s="36">
        <v>1125522</v>
      </c>
      <c r="D343" s="52">
        <v>45869</v>
      </c>
      <c r="E343" s="32" t="s">
        <v>15</v>
      </c>
      <c r="F343" s="32" t="str">
        <f t="shared" si="161"/>
        <v>M22</v>
      </c>
      <c r="G343" s="61" t="str">
        <f t="shared" si="161"/>
        <v>310</v>
      </c>
      <c r="H343" s="72" t="str">
        <f t="shared" si="161"/>
        <v>C6</v>
      </c>
      <c r="I343" s="72">
        <v>1</v>
      </c>
      <c r="J343" s="37" t="s">
        <v>35</v>
      </c>
      <c r="K343" s="37">
        <v>27</v>
      </c>
      <c r="L343" s="17">
        <v>0.84</v>
      </c>
      <c r="M343" s="19">
        <v>4.28</v>
      </c>
      <c r="N343" s="18">
        <f t="shared" si="159"/>
        <v>3.4400000000000004</v>
      </c>
      <c r="O343" s="20" t="str">
        <f t="shared" si="157"/>
        <v>OK</v>
      </c>
    </row>
    <row r="344" spans="1:15" ht="12" customHeight="1" x14ac:dyDescent="0.25">
      <c r="A344" s="93" t="s">
        <v>16</v>
      </c>
      <c r="B344" s="32">
        <v>5</v>
      </c>
      <c r="C344" s="36">
        <v>1125522</v>
      </c>
      <c r="D344" s="52">
        <v>45869</v>
      </c>
      <c r="E344" s="32" t="s">
        <v>15</v>
      </c>
      <c r="F344" s="32" t="str">
        <f t="shared" si="161"/>
        <v>M22</v>
      </c>
      <c r="G344" s="61" t="str">
        <f t="shared" si="161"/>
        <v>310</v>
      </c>
      <c r="H344" s="72" t="str">
        <f t="shared" si="161"/>
        <v>C6</v>
      </c>
      <c r="I344" s="72">
        <f t="shared" si="161"/>
        <v>1</v>
      </c>
      <c r="J344" s="37" t="s">
        <v>36</v>
      </c>
      <c r="K344" s="37">
        <v>27</v>
      </c>
      <c r="L344" s="17">
        <v>0.56999999999999995</v>
      </c>
      <c r="M344" s="19">
        <v>4.32</v>
      </c>
      <c r="N344" s="18">
        <f t="shared" si="159"/>
        <v>3.7500000000000004</v>
      </c>
      <c r="O344" s="20" t="str">
        <f t="shared" si="157"/>
        <v>OK</v>
      </c>
    </row>
    <row r="345" spans="1:15" ht="12" customHeight="1" x14ac:dyDescent="0.25">
      <c r="A345" s="93" t="s">
        <v>16</v>
      </c>
      <c r="B345" s="32">
        <v>5</v>
      </c>
      <c r="C345" s="36">
        <v>1125522</v>
      </c>
      <c r="D345" s="52">
        <v>45869</v>
      </c>
      <c r="E345" s="32" t="s">
        <v>15</v>
      </c>
      <c r="F345" s="32" t="str">
        <f t="shared" si="161"/>
        <v>M22</v>
      </c>
      <c r="G345" s="61" t="str">
        <f t="shared" si="161"/>
        <v>310</v>
      </c>
      <c r="H345" s="72" t="str">
        <f t="shared" si="161"/>
        <v>C6</v>
      </c>
      <c r="I345" s="72">
        <f t="shared" si="161"/>
        <v>1</v>
      </c>
      <c r="J345" s="37" t="s">
        <v>37</v>
      </c>
      <c r="K345" s="37">
        <v>28</v>
      </c>
      <c r="L345" s="17">
        <v>0.73</v>
      </c>
      <c r="M345" s="19">
        <v>4.62</v>
      </c>
      <c r="N345" s="18">
        <f t="shared" si="159"/>
        <v>3.89</v>
      </c>
      <c r="O345" s="20" t="str">
        <f t="shared" si="157"/>
        <v>OK</v>
      </c>
    </row>
    <row r="346" spans="1:15" ht="12" customHeight="1" x14ac:dyDescent="0.25">
      <c r="A346" s="93" t="s">
        <v>16</v>
      </c>
      <c r="B346" s="32">
        <v>5</v>
      </c>
      <c r="C346" s="36">
        <v>1125522</v>
      </c>
      <c r="D346" s="52">
        <v>45869</v>
      </c>
      <c r="E346" s="32" t="s">
        <v>15</v>
      </c>
      <c r="F346" s="32" t="str">
        <f t="shared" si="161"/>
        <v>M22</v>
      </c>
      <c r="G346" s="61" t="str">
        <f t="shared" si="161"/>
        <v>310</v>
      </c>
      <c r="H346" s="72" t="str">
        <f t="shared" si="161"/>
        <v>C6</v>
      </c>
      <c r="I346" s="72">
        <f t="shared" si="161"/>
        <v>1</v>
      </c>
      <c r="J346" s="37" t="s">
        <v>38</v>
      </c>
      <c r="K346" s="37">
        <v>28</v>
      </c>
      <c r="L346" s="17">
        <v>0.28999999999999998</v>
      </c>
      <c r="M346" s="19">
        <v>4.66</v>
      </c>
      <c r="N346" s="18">
        <f t="shared" si="159"/>
        <v>4.37</v>
      </c>
      <c r="O346" s="20" t="str">
        <f t="shared" si="157"/>
        <v>OK</v>
      </c>
    </row>
    <row r="347" spans="1:15" ht="12" customHeight="1" x14ac:dyDescent="0.25">
      <c r="A347" s="93" t="s">
        <v>16</v>
      </c>
      <c r="B347" s="32">
        <v>5</v>
      </c>
      <c r="C347" s="36">
        <v>1125522</v>
      </c>
      <c r="D347" s="52">
        <v>45869</v>
      </c>
      <c r="E347" s="32" t="s">
        <v>15</v>
      </c>
      <c r="F347" s="32" t="str">
        <f t="shared" si="161"/>
        <v>M22</v>
      </c>
      <c r="G347" s="61" t="str">
        <f t="shared" si="161"/>
        <v>310</v>
      </c>
      <c r="H347" s="72" t="s">
        <v>46</v>
      </c>
      <c r="I347" s="72">
        <v>2</v>
      </c>
      <c r="J347" s="37" t="s">
        <v>31</v>
      </c>
      <c r="K347" s="37">
        <v>29</v>
      </c>
      <c r="L347" s="17">
        <v>1.1100000000000001</v>
      </c>
      <c r="M347" s="19">
        <v>4.1900000000000004</v>
      </c>
      <c r="N347" s="18">
        <f t="shared" si="159"/>
        <v>3.08</v>
      </c>
      <c r="O347" s="20" t="str">
        <f t="shared" si="157"/>
        <v>OK</v>
      </c>
    </row>
    <row r="348" spans="1:15" ht="12" customHeight="1" x14ac:dyDescent="0.25">
      <c r="A348" s="93" t="s">
        <v>16</v>
      </c>
      <c r="B348" s="32">
        <v>5</v>
      </c>
      <c r="C348" s="36">
        <v>1125522</v>
      </c>
      <c r="D348" s="52">
        <v>45869</v>
      </c>
      <c r="E348" s="32" t="s">
        <v>15</v>
      </c>
      <c r="F348" s="32" t="str">
        <f t="shared" si="161"/>
        <v>M22</v>
      </c>
      <c r="G348" s="61" t="str">
        <f t="shared" si="161"/>
        <v>310</v>
      </c>
      <c r="H348" s="72" t="str">
        <f t="shared" si="161"/>
        <v>C5</v>
      </c>
      <c r="I348" s="72">
        <f t="shared" si="161"/>
        <v>2</v>
      </c>
      <c r="J348" s="37" t="s">
        <v>32</v>
      </c>
      <c r="K348" s="37">
        <v>29</v>
      </c>
      <c r="L348" s="17">
        <v>0.21</v>
      </c>
      <c r="M348" s="19">
        <v>1.25</v>
      </c>
      <c r="N348" s="18">
        <f t="shared" si="159"/>
        <v>1.04</v>
      </c>
      <c r="O348" s="20" t="str">
        <f t="shared" si="157"/>
        <v>OK</v>
      </c>
    </row>
    <row r="349" spans="1:15" ht="12" customHeight="1" x14ac:dyDescent="0.25">
      <c r="A349" s="93" t="s">
        <v>16</v>
      </c>
      <c r="B349" s="32">
        <v>5</v>
      </c>
      <c r="C349" s="36">
        <v>1125522</v>
      </c>
      <c r="D349" s="52">
        <v>45869</v>
      </c>
      <c r="E349" s="32" t="s">
        <v>15</v>
      </c>
      <c r="F349" s="32" t="str">
        <f t="shared" si="161"/>
        <v>M22</v>
      </c>
      <c r="G349" s="61" t="str">
        <f t="shared" si="161"/>
        <v>310</v>
      </c>
      <c r="H349" s="72" t="str">
        <f t="shared" si="161"/>
        <v>C5</v>
      </c>
      <c r="I349" s="72">
        <f t="shared" si="161"/>
        <v>2</v>
      </c>
      <c r="J349" s="37" t="s">
        <v>33</v>
      </c>
      <c r="K349" s="37">
        <v>30</v>
      </c>
      <c r="L349" s="17">
        <v>0.45</v>
      </c>
      <c r="M349" s="19">
        <v>1.41</v>
      </c>
      <c r="N349" s="18">
        <f t="shared" si="159"/>
        <v>0.96</v>
      </c>
      <c r="O349" s="20" t="str">
        <f t="shared" si="157"/>
        <v>Seguimiento</v>
      </c>
    </row>
    <row r="350" spans="1:15" ht="12" customHeight="1" x14ac:dyDescent="0.25">
      <c r="A350" s="93" t="s">
        <v>16</v>
      </c>
      <c r="B350" s="32">
        <v>5</v>
      </c>
      <c r="C350" s="36">
        <v>1125522</v>
      </c>
      <c r="D350" s="52">
        <v>45869</v>
      </c>
      <c r="E350" s="32" t="s">
        <v>15</v>
      </c>
      <c r="F350" s="32" t="str">
        <f t="shared" si="161"/>
        <v>M22</v>
      </c>
      <c r="G350" s="61" t="str">
        <f t="shared" si="161"/>
        <v>310</v>
      </c>
      <c r="H350" s="72" t="str">
        <f t="shared" si="161"/>
        <v>C5</v>
      </c>
      <c r="I350" s="72">
        <f t="shared" si="161"/>
        <v>2</v>
      </c>
      <c r="J350" s="37" t="s">
        <v>34</v>
      </c>
      <c r="K350" s="37">
        <v>30</v>
      </c>
      <c r="L350" s="17">
        <v>0.13</v>
      </c>
      <c r="M350" s="19">
        <v>0.67</v>
      </c>
      <c r="N350" s="18">
        <f t="shared" si="159"/>
        <v>0.54</v>
      </c>
      <c r="O350" s="20" t="str">
        <f t="shared" si="157"/>
        <v>Seguimiento</v>
      </c>
    </row>
    <row r="351" spans="1:15" ht="12" customHeight="1" x14ac:dyDescent="0.25">
      <c r="A351" s="93" t="s">
        <v>16</v>
      </c>
      <c r="B351" s="32">
        <v>5</v>
      </c>
      <c r="C351" s="36">
        <v>1125522</v>
      </c>
      <c r="D351" s="52">
        <v>45869</v>
      </c>
      <c r="E351" s="32" t="s">
        <v>15</v>
      </c>
      <c r="F351" s="32" t="str">
        <f t="shared" si="161"/>
        <v>M22</v>
      </c>
      <c r="G351" s="61" t="str">
        <f t="shared" si="161"/>
        <v>310</v>
      </c>
      <c r="H351" s="72" t="str">
        <f t="shared" si="161"/>
        <v>C5</v>
      </c>
      <c r="I351" s="72">
        <v>1</v>
      </c>
      <c r="J351" s="37" t="s">
        <v>35</v>
      </c>
      <c r="K351" s="37">
        <v>31</v>
      </c>
      <c r="L351" s="17">
        <v>0.4</v>
      </c>
      <c r="M351" s="19">
        <v>1.64</v>
      </c>
      <c r="N351" s="18">
        <f t="shared" si="159"/>
        <v>1.2399999999999998</v>
      </c>
      <c r="O351" s="20" t="str">
        <f t="shared" si="157"/>
        <v>OK</v>
      </c>
    </row>
    <row r="352" spans="1:15" ht="12" customHeight="1" x14ac:dyDescent="0.25">
      <c r="A352" s="93" t="s">
        <v>16</v>
      </c>
      <c r="B352" s="32">
        <v>5</v>
      </c>
      <c r="C352" s="36">
        <v>1125522</v>
      </c>
      <c r="D352" s="52">
        <v>45869</v>
      </c>
      <c r="E352" s="32" t="s">
        <v>15</v>
      </c>
      <c r="F352" s="32" t="str">
        <f t="shared" si="161"/>
        <v>M22</v>
      </c>
      <c r="G352" s="61" t="str">
        <f t="shared" si="161"/>
        <v>310</v>
      </c>
      <c r="H352" s="72" t="str">
        <f t="shared" si="161"/>
        <v>C5</v>
      </c>
      <c r="I352" s="72">
        <f t="shared" si="161"/>
        <v>1</v>
      </c>
      <c r="J352" s="37" t="s">
        <v>36</v>
      </c>
      <c r="K352" s="37">
        <v>31</v>
      </c>
      <c r="L352" s="17">
        <v>0.56999999999999995</v>
      </c>
      <c r="M352" s="19">
        <v>2.1800000000000002</v>
      </c>
      <c r="N352" s="18">
        <f t="shared" si="159"/>
        <v>1.6100000000000003</v>
      </c>
      <c r="O352" s="20" t="str">
        <f t="shared" si="157"/>
        <v>OK</v>
      </c>
    </row>
    <row r="353" spans="1:15" ht="12" customHeight="1" x14ac:dyDescent="0.25">
      <c r="A353" s="93" t="s">
        <v>16</v>
      </c>
      <c r="B353" s="32">
        <v>5</v>
      </c>
      <c r="C353" s="36">
        <v>1125522</v>
      </c>
      <c r="D353" s="52">
        <v>45869</v>
      </c>
      <c r="E353" s="32" t="s">
        <v>15</v>
      </c>
      <c r="F353" s="32" t="str">
        <f t="shared" si="161"/>
        <v>M22</v>
      </c>
      <c r="G353" s="61" t="str">
        <f t="shared" si="161"/>
        <v>310</v>
      </c>
      <c r="H353" s="72" t="str">
        <f t="shared" si="161"/>
        <v>C5</v>
      </c>
      <c r="I353" s="72">
        <f t="shared" si="161"/>
        <v>1</v>
      </c>
      <c r="J353" s="37" t="s">
        <v>37</v>
      </c>
      <c r="K353" s="37">
        <v>32</v>
      </c>
      <c r="L353" s="17">
        <v>0.79</v>
      </c>
      <c r="M353" s="19">
        <v>4.26</v>
      </c>
      <c r="N353" s="18">
        <f t="shared" si="159"/>
        <v>3.4699999999999998</v>
      </c>
      <c r="O353" s="20" t="str">
        <f t="shared" si="157"/>
        <v>OK</v>
      </c>
    </row>
    <row r="354" spans="1:15" ht="12" customHeight="1" x14ac:dyDescent="0.25">
      <c r="A354" s="93" t="s">
        <v>16</v>
      </c>
      <c r="B354" s="32">
        <v>5</v>
      </c>
      <c r="C354" s="36">
        <v>1125522</v>
      </c>
      <c r="D354" s="52">
        <v>45869</v>
      </c>
      <c r="E354" s="32" t="s">
        <v>15</v>
      </c>
      <c r="F354" s="32" t="str">
        <f t="shared" si="161"/>
        <v>M22</v>
      </c>
      <c r="G354" s="61" t="str">
        <f t="shared" si="161"/>
        <v>310</v>
      </c>
      <c r="H354" s="72" t="str">
        <f t="shared" si="161"/>
        <v>C5</v>
      </c>
      <c r="I354" s="72">
        <f t="shared" si="161"/>
        <v>1</v>
      </c>
      <c r="J354" s="37" t="s">
        <v>38</v>
      </c>
      <c r="K354" s="37">
        <v>32</v>
      </c>
      <c r="L354" s="23">
        <v>0.11</v>
      </c>
      <c r="M354" s="24">
        <v>0.91</v>
      </c>
      <c r="N354" s="18">
        <f t="shared" si="159"/>
        <v>0.8</v>
      </c>
      <c r="O354" s="20" t="str">
        <f t="shared" si="157"/>
        <v>Seguimiento</v>
      </c>
    </row>
    <row r="355" spans="1:15" ht="12" customHeight="1" x14ac:dyDescent="0.25">
      <c r="A355" s="93" t="s">
        <v>16</v>
      </c>
      <c r="B355" s="32">
        <v>5</v>
      </c>
      <c r="C355" s="36">
        <v>1125522</v>
      </c>
      <c r="D355" s="52">
        <v>45869</v>
      </c>
      <c r="E355" s="32" t="s">
        <v>15</v>
      </c>
      <c r="F355" s="32" t="s">
        <v>40</v>
      </c>
      <c r="G355" s="61" t="s">
        <v>73</v>
      </c>
      <c r="H355" s="72" t="s">
        <v>43</v>
      </c>
      <c r="I355" s="72">
        <v>1</v>
      </c>
      <c r="J355" s="37" t="s">
        <v>31</v>
      </c>
      <c r="K355" s="37">
        <v>33</v>
      </c>
      <c r="L355" s="17">
        <v>0.43</v>
      </c>
      <c r="M355" s="17">
        <v>3.31</v>
      </c>
      <c r="N355" s="18">
        <f t="shared" si="159"/>
        <v>2.88</v>
      </c>
      <c r="O355" s="20" t="str">
        <f t="shared" si="157"/>
        <v>OK</v>
      </c>
    </row>
    <row r="356" spans="1:15" ht="12" customHeight="1" x14ac:dyDescent="0.25">
      <c r="A356" s="93" t="s">
        <v>16</v>
      </c>
      <c r="B356" s="32">
        <v>5</v>
      </c>
      <c r="C356" s="36">
        <v>1125522</v>
      </c>
      <c r="D356" s="52">
        <v>45869</v>
      </c>
      <c r="E356" s="32" t="s">
        <v>15</v>
      </c>
      <c r="F356" s="32" t="str">
        <f t="shared" ref="F356:I370" si="162">F355</f>
        <v>M21</v>
      </c>
      <c r="G356" s="61" t="str">
        <f t="shared" si="162"/>
        <v>022</v>
      </c>
      <c r="H356" s="72" t="str">
        <f t="shared" si="162"/>
        <v>C4</v>
      </c>
      <c r="I356" s="72">
        <f t="shared" si="162"/>
        <v>1</v>
      </c>
      <c r="J356" s="37" t="s">
        <v>32</v>
      </c>
      <c r="K356" s="37">
        <v>33</v>
      </c>
      <c r="L356" s="17">
        <v>0.93</v>
      </c>
      <c r="M356" s="17">
        <v>3.65</v>
      </c>
      <c r="N356" s="18">
        <f t="shared" si="159"/>
        <v>2.7199999999999998</v>
      </c>
      <c r="O356" s="20" t="str">
        <f t="shared" ref="O356:O419" si="163">IF(N356&lt;=0,"Critico",IF(N356&lt;=0.2,"Cambio",IF(N356&lt;=1,"Seguimiento",IF(L356&gt;=2,"Reperfilado","OK"))))</f>
        <v>OK</v>
      </c>
    </row>
    <row r="357" spans="1:15" ht="12" customHeight="1" x14ac:dyDescent="0.25">
      <c r="A357" s="93" t="s">
        <v>16</v>
      </c>
      <c r="B357" s="32">
        <v>5</v>
      </c>
      <c r="C357" s="36">
        <v>1125522</v>
      </c>
      <c r="D357" s="52">
        <v>45869</v>
      </c>
      <c r="E357" s="32" t="s">
        <v>15</v>
      </c>
      <c r="F357" s="32" t="str">
        <f t="shared" si="162"/>
        <v>M21</v>
      </c>
      <c r="G357" s="61" t="str">
        <f t="shared" si="162"/>
        <v>022</v>
      </c>
      <c r="H357" s="72" t="str">
        <f t="shared" si="162"/>
        <v>C4</v>
      </c>
      <c r="I357" s="72">
        <f t="shared" si="162"/>
        <v>1</v>
      </c>
      <c r="J357" s="37" t="s">
        <v>33</v>
      </c>
      <c r="K357" s="37">
        <v>34</v>
      </c>
      <c r="L357" s="17">
        <v>1.56</v>
      </c>
      <c r="M357" s="17">
        <v>3.53</v>
      </c>
      <c r="N357" s="18">
        <f t="shared" si="159"/>
        <v>1.9699999999999998</v>
      </c>
      <c r="O357" s="20" t="str">
        <f t="shared" si="163"/>
        <v>OK</v>
      </c>
    </row>
    <row r="358" spans="1:15" ht="12" customHeight="1" x14ac:dyDescent="0.25">
      <c r="A358" s="93" t="s">
        <v>16</v>
      </c>
      <c r="B358" s="32">
        <v>5</v>
      </c>
      <c r="C358" s="36">
        <v>1125522</v>
      </c>
      <c r="D358" s="52">
        <v>45869</v>
      </c>
      <c r="E358" s="32" t="s">
        <v>15</v>
      </c>
      <c r="F358" s="32" t="str">
        <f t="shared" si="162"/>
        <v>M21</v>
      </c>
      <c r="G358" s="61" t="str">
        <f t="shared" si="162"/>
        <v>022</v>
      </c>
      <c r="H358" s="72" t="str">
        <f t="shared" si="162"/>
        <v>C4</v>
      </c>
      <c r="I358" s="72">
        <f t="shared" si="162"/>
        <v>1</v>
      </c>
      <c r="J358" s="37" t="s">
        <v>34</v>
      </c>
      <c r="K358" s="37">
        <v>34</v>
      </c>
      <c r="L358" s="17">
        <v>0.76</v>
      </c>
      <c r="M358" s="17">
        <v>3.62</v>
      </c>
      <c r="N358" s="18">
        <f t="shared" si="159"/>
        <v>2.8600000000000003</v>
      </c>
      <c r="O358" s="20" t="str">
        <f t="shared" si="163"/>
        <v>OK</v>
      </c>
    </row>
    <row r="359" spans="1:15" ht="12" customHeight="1" x14ac:dyDescent="0.25">
      <c r="A359" s="93" t="s">
        <v>16</v>
      </c>
      <c r="B359" s="32">
        <v>5</v>
      </c>
      <c r="C359" s="36">
        <v>1125522</v>
      </c>
      <c r="D359" s="52">
        <v>45869</v>
      </c>
      <c r="E359" s="32" t="s">
        <v>15</v>
      </c>
      <c r="F359" s="32" t="str">
        <f t="shared" si="162"/>
        <v>M21</v>
      </c>
      <c r="G359" s="61" t="str">
        <f t="shared" si="162"/>
        <v>022</v>
      </c>
      <c r="H359" s="72" t="str">
        <f t="shared" si="162"/>
        <v>C4</v>
      </c>
      <c r="I359" s="72">
        <v>2</v>
      </c>
      <c r="J359" s="37" t="s">
        <v>35</v>
      </c>
      <c r="K359" s="37">
        <v>35</v>
      </c>
      <c r="L359" s="17">
        <v>0.46</v>
      </c>
      <c r="M359" s="17">
        <v>4.0999999999999996</v>
      </c>
      <c r="N359" s="18">
        <f t="shared" si="159"/>
        <v>3.6399999999999997</v>
      </c>
      <c r="O359" s="20" t="str">
        <f t="shared" si="163"/>
        <v>OK</v>
      </c>
    </row>
    <row r="360" spans="1:15" ht="12" customHeight="1" x14ac:dyDescent="0.25">
      <c r="A360" s="93" t="s">
        <v>16</v>
      </c>
      <c r="B360" s="32">
        <v>5</v>
      </c>
      <c r="C360" s="36">
        <v>1125522</v>
      </c>
      <c r="D360" s="52">
        <v>45869</v>
      </c>
      <c r="E360" s="32" t="s">
        <v>15</v>
      </c>
      <c r="F360" s="32" t="str">
        <f t="shared" si="162"/>
        <v>M21</v>
      </c>
      <c r="G360" s="61" t="str">
        <f t="shared" si="162"/>
        <v>022</v>
      </c>
      <c r="H360" s="72" t="str">
        <f t="shared" si="162"/>
        <v>C4</v>
      </c>
      <c r="I360" s="72">
        <f t="shared" si="162"/>
        <v>2</v>
      </c>
      <c r="J360" s="37" t="s">
        <v>36</v>
      </c>
      <c r="K360" s="37">
        <v>35</v>
      </c>
      <c r="L360" s="17">
        <v>0.94</v>
      </c>
      <c r="M360" s="17">
        <v>2.68</v>
      </c>
      <c r="N360" s="18">
        <f t="shared" si="159"/>
        <v>1.7400000000000002</v>
      </c>
      <c r="O360" s="20" t="str">
        <f t="shared" si="163"/>
        <v>OK</v>
      </c>
    </row>
    <row r="361" spans="1:15" ht="12" customHeight="1" x14ac:dyDescent="0.25">
      <c r="A361" s="93" t="s">
        <v>16</v>
      </c>
      <c r="B361" s="32">
        <v>5</v>
      </c>
      <c r="C361" s="36">
        <v>1125522</v>
      </c>
      <c r="D361" s="52">
        <v>45869</v>
      </c>
      <c r="E361" s="32" t="s">
        <v>15</v>
      </c>
      <c r="F361" s="32" t="str">
        <f t="shared" si="162"/>
        <v>M21</v>
      </c>
      <c r="G361" s="61" t="str">
        <f t="shared" si="162"/>
        <v>022</v>
      </c>
      <c r="H361" s="72" t="str">
        <f t="shared" si="162"/>
        <v>C4</v>
      </c>
      <c r="I361" s="72">
        <f t="shared" si="162"/>
        <v>2</v>
      </c>
      <c r="J361" s="37" t="s">
        <v>37</v>
      </c>
      <c r="K361" s="37">
        <v>36</v>
      </c>
      <c r="L361" s="17">
        <v>0.71</v>
      </c>
      <c r="M361" s="17">
        <v>2.0299999999999998</v>
      </c>
      <c r="N361" s="18">
        <f t="shared" si="159"/>
        <v>1.3199999999999998</v>
      </c>
      <c r="O361" s="20" t="str">
        <f t="shared" si="163"/>
        <v>OK</v>
      </c>
    </row>
    <row r="362" spans="1:15" ht="12" customHeight="1" x14ac:dyDescent="0.25">
      <c r="A362" s="93" t="s">
        <v>16</v>
      </c>
      <c r="B362" s="32">
        <v>5</v>
      </c>
      <c r="C362" s="36">
        <v>1125522</v>
      </c>
      <c r="D362" s="52">
        <v>45869</v>
      </c>
      <c r="E362" s="32" t="s">
        <v>15</v>
      </c>
      <c r="F362" s="32" t="str">
        <f t="shared" si="162"/>
        <v>M21</v>
      </c>
      <c r="G362" s="61" t="str">
        <f t="shared" si="162"/>
        <v>022</v>
      </c>
      <c r="H362" s="72" t="str">
        <f t="shared" si="162"/>
        <v>C4</v>
      </c>
      <c r="I362" s="72">
        <f t="shared" si="162"/>
        <v>2</v>
      </c>
      <c r="J362" s="37" t="s">
        <v>38</v>
      </c>
      <c r="K362" s="37">
        <v>36</v>
      </c>
      <c r="L362" s="17">
        <v>1.36</v>
      </c>
      <c r="M362" s="17">
        <v>4.41</v>
      </c>
      <c r="N362" s="18">
        <f t="shared" si="159"/>
        <v>3.05</v>
      </c>
      <c r="O362" s="20" t="str">
        <f t="shared" si="163"/>
        <v>OK</v>
      </c>
    </row>
    <row r="363" spans="1:15" ht="12" customHeight="1" x14ac:dyDescent="0.25">
      <c r="A363" s="93" t="s">
        <v>16</v>
      </c>
      <c r="B363" s="32">
        <v>5</v>
      </c>
      <c r="C363" s="36">
        <v>1125522</v>
      </c>
      <c r="D363" s="52">
        <v>45869</v>
      </c>
      <c r="E363" s="32" t="s">
        <v>15</v>
      </c>
      <c r="F363" s="32" t="str">
        <f t="shared" si="162"/>
        <v>M21</v>
      </c>
      <c r="G363" s="61" t="str">
        <f t="shared" si="162"/>
        <v>022</v>
      </c>
      <c r="H363" s="72" t="s">
        <v>42</v>
      </c>
      <c r="I363" s="72">
        <v>1</v>
      </c>
      <c r="J363" s="37" t="s">
        <v>31</v>
      </c>
      <c r="K363" s="37">
        <v>37</v>
      </c>
      <c r="L363" s="17">
        <v>0.36</v>
      </c>
      <c r="M363" s="17">
        <v>1.1299999999999999</v>
      </c>
      <c r="N363" s="18">
        <f t="shared" si="159"/>
        <v>0.76999999999999991</v>
      </c>
      <c r="O363" s="20" t="str">
        <f t="shared" si="163"/>
        <v>Seguimiento</v>
      </c>
    </row>
    <row r="364" spans="1:15" ht="12" customHeight="1" x14ac:dyDescent="0.25">
      <c r="A364" s="93" t="s">
        <v>16</v>
      </c>
      <c r="B364" s="32">
        <v>5</v>
      </c>
      <c r="C364" s="36">
        <v>1125522</v>
      </c>
      <c r="D364" s="52">
        <v>45869</v>
      </c>
      <c r="E364" s="32" t="s">
        <v>15</v>
      </c>
      <c r="F364" s="32" t="str">
        <f t="shared" si="162"/>
        <v>M21</v>
      </c>
      <c r="G364" s="61" t="str">
        <f t="shared" si="162"/>
        <v>022</v>
      </c>
      <c r="H364" s="72" t="str">
        <f t="shared" si="162"/>
        <v>C3</v>
      </c>
      <c r="I364" s="72">
        <f t="shared" si="162"/>
        <v>1</v>
      </c>
      <c r="J364" s="37" t="s">
        <v>32</v>
      </c>
      <c r="K364" s="37">
        <v>37</v>
      </c>
      <c r="L364" s="17">
        <v>0.87</v>
      </c>
      <c r="M364" s="17">
        <v>3</v>
      </c>
      <c r="N364" s="18">
        <f t="shared" si="159"/>
        <v>2.13</v>
      </c>
      <c r="O364" s="20" t="str">
        <f t="shared" si="163"/>
        <v>OK</v>
      </c>
    </row>
    <row r="365" spans="1:15" ht="12" customHeight="1" x14ac:dyDescent="0.25">
      <c r="A365" s="93" t="s">
        <v>16</v>
      </c>
      <c r="B365" s="32">
        <v>5</v>
      </c>
      <c r="C365" s="36">
        <v>1125522</v>
      </c>
      <c r="D365" s="52">
        <v>45869</v>
      </c>
      <c r="E365" s="32" t="s">
        <v>15</v>
      </c>
      <c r="F365" s="32" t="str">
        <f t="shared" si="162"/>
        <v>M21</v>
      </c>
      <c r="G365" s="61" t="str">
        <f t="shared" si="162"/>
        <v>022</v>
      </c>
      <c r="H365" s="72" t="str">
        <f t="shared" si="162"/>
        <v>C3</v>
      </c>
      <c r="I365" s="72">
        <f t="shared" si="162"/>
        <v>1</v>
      </c>
      <c r="J365" s="37" t="s">
        <v>33</v>
      </c>
      <c r="K365" s="37">
        <v>38</v>
      </c>
      <c r="L365" s="17">
        <v>0.09</v>
      </c>
      <c r="M365" s="17">
        <v>4.59</v>
      </c>
      <c r="N365" s="18">
        <f t="shared" si="159"/>
        <v>4.5</v>
      </c>
      <c r="O365" s="20" t="str">
        <f t="shared" si="163"/>
        <v>OK</v>
      </c>
    </row>
    <row r="366" spans="1:15" ht="12" customHeight="1" x14ac:dyDescent="0.25">
      <c r="A366" s="93" t="s">
        <v>16</v>
      </c>
      <c r="B366" s="32">
        <v>5</v>
      </c>
      <c r="C366" s="36">
        <v>1125522</v>
      </c>
      <c r="D366" s="52">
        <v>45869</v>
      </c>
      <c r="E366" s="32" t="s">
        <v>15</v>
      </c>
      <c r="F366" s="32" t="str">
        <f t="shared" si="162"/>
        <v>M21</v>
      </c>
      <c r="G366" s="61" t="str">
        <f t="shared" si="162"/>
        <v>022</v>
      </c>
      <c r="H366" s="72" t="str">
        <f t="shared" si="162"/>
        <v>C3</v>
      </c>
      <c r="I366" s="72">
        <f t="shared" si="162"/>
        <v>1</v>
      </c>
      <c r="J366" s="37" t="s">
        <v>34</v>
      </c>
      <c r="K366" s="37">
        <v>38</v>
      </c>
      <c r="L366" s="17">
        <v>1.1399999999999999</v>
      </c>
      <c r="M366" s="17">
        <v>2.86</v>
      </c>
      <c r="N366" s="18">
        <f t="shared" si="159"/>
        <v>1.72</v>
      </c>
      <c r="O366" s="20" t="str">
        <f t="shared" si="163"/>
        <v>OK</v>
      </c>
    </row>
    <row r="367" spans="1:15" ht="12" customHeight="1" x14ac:dyDescent="0.25">
      <c r="A367" s="93" t="s">
        <v>16</v>
      </c>
      <c r="B367" s="32">
        <v>5</v>
      </c>
      <c r="C367" s="36">
        <v>1125522</v>
      </c>
      <c r="D367" s="52">
        <v>45869</v>
      </c>
      <c r="E367" s="32" t="s">
        <v>15</v>
      </c>
      <c r="F367" s="32" t="str">
        <f t="shared" si="162"/>
        <v>M21</v>
      </c>
      <c r="G367" s="61" t="str">
        <f t="shared" si="162"/>
        <v>022</v>
      </c>
      <c r="H367" s="72" t="str">
        <f t="shared" si="162"/>
        <v>C3</v>
      </c>
      <c r="I367" s="72">
        <v>2</v>
      </c>
      <c r="J367" s="37" t="s">
        <v>35</v>
      </c>
      <c r="K367" s="37">
        <v>39</v>
      </c>
      <c r="L367" s="17">
        <v>0.43</v>
      </c>
      <c r="M367" s="17">
        <v>1.25</v>
      </c>
      <c r="N367" s="18">
        <f t="shared" si="159"/>
        <v>0.82000000000000006</v>
      </c>
      <c r="O367" s="20" t="str">
        <f t="shared" si="163"/>
        <v>Seguimiento</v>
      </c>
    </row>
    <row r="368" spans="1:15" ht="12" customHeight="1" x14ac:dyDescent="0.25">
      <c r="A368" s="93" t="s">
        <v>16</v>
      </c>
      <c r="B368" s="32">
        <v>5</v>
      </c>
      <c r="C368" s="36">
        <v>1125522</v>
      </c>
      <c r="D368" s="52">
        <v>45869</v>
      </c>
      <c r="E368" s="32" t="s">
        <v>15</v>
      </c>
      <c r="F368" s="32" t="str">
        <f t="shared" si="162"/>
        <v>M21</v>
      </c>
      <c r="G368" s="61" t="str">
        <f t="shared" si="162"/>
        <v>022</v>
      </c>
      <c r="H368" s="72" t="str">
        <f t="shared" si="162"/>
        <v>C3</v>
      </c>
      <c r="I368" s="72">
        <f t="shared" si="162"/>
        <v>2</v>
      </c>
      <c r="J368" s="37" t="s">
        <v>36</v>
      </c>
      <c r="K368" s="37">
        <v>39</v>
      </c>
      <c r="L368" s="17">
        <v>0.96</v>
      </c>
      <c r="M368" s="17">
        <v>3.96</v>
      </c>
      <c r="N368" s="18">
        <f t="shared" si="159"/>
        <v>3</v>
      </c>
      <c r="O368" s="20" t="str">
        <f t="shared" si="163"/>
        <v>OK</v>
      </c>
    </row>
    <row r="369" spans="1:15" ht="12" customHeight="1" x14ac:dyDescent="0.25">
      <c r="A369" s="93" t="s">
        <v>16</v>
      </c>
      <c r="B369" s="32">
        <v>5</v>
      </c>
      <c r="C369" s="36">
        <v>1125522</v>
      </c>
      <c r="D369" s="52">
        <v>45869</v>
      </c>
      <c r="E369" s="32" t="s">
        <v>15</v>
      </c>
      <c r="F369" s="32" t="str">
        <f t="shared" si="162"/>
        <v>M21</v>
      </c>
      <c r="G369" s="61" t="str">
        <f t="shared" si="162"/>
        <v>022</v>
      </c>
      <c r="H369" s="72" t="str">
        <f t="shared" si="162"/>
        <v>C3</v>
      </c>
      <c r="I369" s="72">
        <f t="shared" si="162"/>
        <v>2</v>
      </c>
      <c r="J369" s="37" t="s">
        <v>37</v>
      </c>
      <c r="K369" s="37">
        <v>40</v>
      </c>
      <c r="L369" s="17">
        <v>1.19</v>
      </c>
      <c r="M369" s="17">
        <v>4.4400000000000004</v>
      </c>
      <c r="N369" s="18">
        <f t="shared" si="159"/>
        <v>3.2500000000000004</v>
      </c>
      <c r="O369" s="20" t="str">
        <f t="shared" si="163"/>
        <v>OK</v>
      </c>
    </row>
    <row r="370" spans="1:15" ht="12" customHeight="1" x14ac:dyDescent="0.25">
      <c r="A370" s="93" t="s">
        <v>16</v>
      </c>
      <c r="B370" s="32">
        <v>5</v>
      </c>
      <c r="C370" s="36">
        <v>1125522</v>
      </c>
      <c r="D370" s="52">
        <v>45869</v>
      </c>
      <c r="E370" s="32" t="s">
        <v>15</v>
      </c>
      <c r="F370" s="32" t="str">
        <f t="shared" si="162"/>
        <v>M21</v>
      </c>
      <c r="G370" s="61" t="str">
        <f t="shared" si="162"/>
        <v>022</v>
      </c>
      <c r="H370" s="72" t="str">
        <f t="shared" si="162"/>
        <v>C3</v>
      </c>
      <c r="I370" s="72">
        <f t="shared" si="162"/>
        <v>2</v>
      </c>
      <c r="J370" s="37" t="s">
        <v>38</v>
      </c>
      <c r="K370" s="37">
        <v>40</v>
      </c>
      <c r="L370" s="17">
        <v>0.08</v>
      </c>
      <c r="M370" s="17">
        <v>5.01</v>
      </c>
      <c r="N370" s="18">
        <f t="shared" si="159"/>
        <v>4.93</v>
      </c>
      <c r="O370" s="20" t="str">
        <f t="shared" si="163"/>
        <v>OK</v>
      </c>
    </row>
    <row r="371" spans="1:15" ht="12" customHeight="1" x14ac:dyDescent="0.25">
      <c r="A371" s="93" t="s">
        <v>16</v>
      </c>
      <c r="B371" s="32">
        <v>5</v>
      </c>
      <c r="C371" s="36">
        <v>1125522</v>
      </c>
      <c r="D371" s="52">
        <v>45869</v>
      </c>
      <c r="E371" s="32" t="s">
        <v>15</v>
      </c>
      <c r="F371" s="32" t="s">
        <v>28</v>
      </c>
      <c r="G371" s="61" t="s">
        <v>74</v>
      </c>
      <c r="H371" s="72" t="s">
        <v>39</v>
      </c>
      <c r="I371" s="72">
        <v>1</v>
      </c>
      <c r="J371" s="37" t="s">
        <v>31</v>
      </c>
      <c r="K371" s="37">
        <v>41</v>
      </c>
      <c r="L371" s="17">
        <v>1.64</v>
      </c>
      <c r="M371" s="17">
        <v>4.5599999999999996</v>
      </c>
      <c r="N371" s="18">
        <f t="shared" si="159"/>
        <v>2.92</v>
      </c>
      <c r="O371" s="20" t="str">
        <f t="shared" si="163"/>
        <v>OK</v>
      </c>
    </row>
    <row r="372" spans="1:15" ht="12" customHeight="1" x14ac:dyDescent="0.25">
      <c r="A372" s="93" t="s">
        <v>16</v>
      </c>
      <c r="B372" s="32">
        <v>5</v>
      </c>
      <c r="C372" s="36">
        <v>1125522</v>
      </c>
      <c r="D372" s="52">
        <v>45869</v>
      </c>
      <c r="E372" s="32" t="s">
        <v>15</v>
      </c>
      <c r="F372" s="32" t="str">
        <f t="shared" ref="F372:I386" si="164">F371</f>
        <v>M20</v>
      </c>
      <c r="G372" s="61" t="str">
        <f t="shared" si="164"/>
        <v>021</v>
      </c>
      <c r="H372" s="72" t="str">
        <f t="shared" si="164"/>
        <v>C2</v>
      </c>
      <c r="I372" s="72">
        <f t="shared" si="164"/>
        <v>1</v>
      </c>
      <c r="J372" s="37" t="s">
        <v>32</v>
      </c>
      <c r="K372" s="37">
        <v>41</v>
      </c>
      <c r="L372" s="17">
        <v>0.47</v>
      </c>
      <c r="M372" s="17">
        <v>3.25</v>
      </c>
      <c r="N372" s="18">
        <f t="shared" si="159"/>
        <v>2.7800000000000002</v>
      </c>
      <c r="O372" s="20" t="str">
        <f t="shared" si="163"/>
        <v>OK</v>
      </c>
    </row>
    <row r="373" spans="1:15" ht="12" customHeight="1" x14ac:dyDescent="0.25">
      <c r="A373" s="93" t="s">
        <v>16</v>
      </c>
      <c r="B373" s="32">
        <v>5</v>
      </c>
      <c r="C373" s="36">
        <v>1125522</v>
      </c>
      <c r="D373" s="52">
        <v>45869</v>
      </c>
      <c r="E373" s="32" t="s">
        <v>15</v>
      </c>
      <c r="F373" s="32" t="str">
        <f t="shared" si="164"/>
        <v>M20</v>
      </c>
      <c r="G373" s="61" t="str">
        <f t="shared" si="164"/>
        <v>021</v>
      </c>
      <c r="H373" s="72" t="str">
        <f t="shared" si="164"/>
        <v>C2</v>
      </c>
      <c r="I373" s="72">
        <f t="shared" si="164"/>
        <v>1</v>
      </c>
      <c r="J373" s="37" t="s">
        <v>33</v>
      </c>
      <c r="K373" s="37">
        <v>42</v>
      </c>
      <c r="L373" s="17">
        <v>0.66</v>
      </c>
      <c r="M373" s="17">
        <v>4.32</v>
      </c>
      <c r="N373" s="18">
        <f t="shared" si="159"/>
        <v>3.66</v>
      </c>
      <c r="O373" s="20" t="str">
        <f t="shared" si="163"/>
        <v>OK</v>
      </c>
    </row>
    <row r="374" spans="1:15" ht="12" customHeight="1" x14ac:dyDescent="0.25">
      <c r="A374" s="93" t="s">
        <v>16</v>
      </c>
      <c r="B374" s="32">
        <v>5</v>
      </c>
      <c r="C374" s="36">
        <v>1125522</v>
      </c>
      <c r="D374" s="52">
        <v>45869</v>
      </c>
      <c r="E374" s="32" t="s">
        <v>15</v>
      </c>
      <c r="F374" s="32" t="str">
        <f t="shared" si="164"/>
        <v>M20</v>
      </c>
      <c r="G374" s="61" t="str">
        <f t="shared" si="164"/>
        <v>021</v>
      </c>
      <c r="H374" s="72" t="str">
        <f t="shared" si="164"/>
        <v>C2</v>
      </c>
      <c r="I374" s="72">
        <f t="shared" si="164"/>
        <v>1</v>
      </c>
      <c r="J374" s="37" t="s">
        <v>34</v>
      </c>
      <c r="K374" s="37">
        <v>42</v>
      </c>
      <c r="L374" s="17">
        <v>0.34</v>
      </c>
      <c r="M374" s="17">
        <v>1.83</v>
      </c>
      <c r="N374" s="18">
        <f t="shared" si="159"/>
        <v>1.49</v>
      </c>
      <c r="O374" s="20" t="str">
        <f t="shared" si="163"/>
        <v>OK</v>
      </c>
    </row>
    <row r="375" spans="1:15" ht="12" customHeight="1" x14ac:dyDescent="0.25">
      <c r="A375" s="93" t="s">
        <v>16</v>
      </c>
      <c r="B375" s="32">
        <v>5</v>
      </c>
      <c r="C375" s="36">
        <v>1125522</v>
      </c>
      <c r="D375" s="52">
        <v>45869</v>
      </c>
      <c r="E375" s="32" t="s">
        <v>15</v>
      </c>
      <c r="F375" s="32" t="str">
        <f t="shared" si="164"/>
        <v>M20</v>
      </c>
      <c r="G375" s="61" t="str">
        <f t="shared" si="164"/>
        <v>021</v>
      </c>
      <c r="H375" s="72" t="str">
        <f t="shared" si="164"/>
        <v>C2</v>
      </c>
      <c r="I375" s="72">
        <v>2</v>
      </c>
      <c r="J375" s="37" t="s">
        <v>35</v>
      </c>
      <c r="K375" s="37">
        <v>43</v>
      </c>
      <c r="L375" s="17">
        <v>0.95</v>
      </c>
      <c r="M375" s="17">
        <v>4.76</v>
      </c>
      <c r="N375" s="18">
        <f t="shared" si="159"/>
        <v>3.8099999999999996</v>
      </c>
      <c r="O375" s="20" t="str">
        <f t="shared" si="163"/>
        <v>OK</v>
      </c>
    </row>
    <row r="376" spans="1:15" ht="12" customHeight="1" x14ac:dyDescent="0.25">
      <c r="A376" s="93" t="s">
        <v>16</v>
      </c>
      <c r="B376" s="32">
        <v>5</v>
      </c>
      <c r="C376" s="36">
        <v>1125522</v>
      </c>
      <c r="D376" s="52">
        <v>45869</v>
      </c>
      <c r="E376" s="32" t="s">
        <v>15</v>
      </c>
      <c r="F376" s="32" t="str">
        <f t="shared" si="164"/>
        <v>M20</v>
      </c>
      <c r="G376" s="61" t="str">
        <f t="shared" si="164"/>
        <v>021</v>
      </c>
      <c r="H376" s="72" t="str">
        <f t="shared" si="164"/>
        <v>C2</v>
      </c>
      <c r="I376" s="72">
        <f t="shared" si="164"/>
        <v>2</v>
      </c>
      <c r="J376" s="37" t="s">
        <v>36</v>
      </c>
      <c r="K376" s="37">
        <v>43</v>
      </c>
      <c r="L376" s="17">
        <v>0.76</v>
      </c>
      <c r="M376" s="17">
        <v>4.04</v>
      </c>
      <c r="N376" s="18">
        <f t="shared" si="159"/>
        <v>3.2800000000000002</v>
      </c>
      <c r="O376" s="20" t="str">
        <f t="shared" si="163"/>
        <v>OK</v>
      </c>
    </row>
    <row r="377" spans="1:15" ht="12" customHeight="1" x14ac:dyDescent="0.25">
      <c r="A377" s="93" t="s">
        <v>16</v>
      </c>
      <c r="B377" s="32">
        <v>5</v>
      </c>
      <c r="C377" s="36">
        <v>1125522</v>
      </c>
      <c r="D377" s="52">
        <v>45869</v>
      </c>
      <c r="E377" s="32" t="s">
        <v>15</v>
      </c>
      <c r="F377" s="32" t="str">
        <f t="shared" si="164"/>
        <v>M20</v>
      </c>
      <c r="G377" s="61" t="str">
        <f t="shared" si="164"/>
        <v>021</v>
      </c>
      <c r="H377" s="72" t="str">
        <f t="shared" si="164"/>
        <v>C2</v>
      </c>
      <c r="I377" s="72">
        <f t="shared" si="164"/>
        <v>2</v>
      </c>
      <c r="J377" s="37" t="s">
        <v>37</v>
      </c>
      <c r="K377" s="37">
        <v>44</v>
      </c>
      <c r="L377" s="17">
        <v>0.22</v>
      </c>
      <c r="M377" s="17">
        <v>3.56</v>
      </c>
      <c r="N377" s="18">
        <f t="shared" si="159"/>
        <v>3.34</v>
      </c>
      <c r="O377" s="20" t="str">
        <f t="shared" si="163"/>
        <v>OK</v>
      </c>
    </row>
    <row r="378" spans="1:15" ht="12" customHeight="1" x14ac:dyDescent="0.25">
      <c r="A378" s="93" t="s">
        <v>16</v>
      </c>
      <c r="B378" s="32">
        <v>5</v>
      </c>
      <c r="C378" s="36">
        <v>1125522</v>
      </c>
      <c r="D378" s="52">
        <v>45869</v>
      </c>
      <c r="E378" s="32" t="s">
        <v>15</v>
      </c>
      <c r="F378" s="32" t="str">
        <f t="shared" si="164"/>
        <v>M20</v>
      </c>
      <c r="G378" s="61" t="str">
        <f t="shared" si="164"/>
        <v>021</v>
      </c>
      <c r="H378" s="72" t="str">
        <f t="shared" si="164"/>
        <v>C2</v>
      </c>
      <c r="I378" s="72">
        <f t="shared" si="164"/>
        <v>2</v>
      </c>
      <c r="J378" s="37" t="s">
        <v>38</v>
      </c>
      <c r="K378" s="37">
        <v>44</v>
      </c>
      <c r="L378" s="17">
        <v>0.52</v>
      </c>
      <c r="M378" s="17">
        <v>3.8</v>
      </c>
      <c r="N378" s="18">
        <f t="shared" si="159"/>
        <v>3.28</v>
      </c>
      <c r="O378" s="20" t="str">
        <f t="shared" si="163"/>
        <v>OK</v>
      </c>
    </row>
    <row r="379" spans="1:15" ht="12" customHeight="1" x14ac:dyDescent="0.25">
      <c r="A379" s="93" t="s">
        <v>16</v>
      </c>
      <c r="B379" s="32">
        <v>5</v>
      </c>
      <c r="C379" s="36">
        <v>1125522</v>
      </c>
      <c r="D379" s="52">
        <v>45869</v>
      </c>
      <c r="E379" s="32" t="s">
        <v>15</v>
      </c>
      <c r="F379" s="32" t="str">
        <f t="shared" si="164"/>
        <v>M20</v>
      </c>
      <c r="G379" s="61" t="str">
        <f t="shared" si="164"/>
        <v>021</v>
      </c>
      <c r="H379" s="72" t="s">
        <v>30</v>
      </c>
      <c r="I379" s="72">
        <v>1</v>
      </c>
      <c r="J379" s="37" t="s">
        <v>31</v>
      </c>
      <c r="K379" s="37">
        <v>45</v>
      </c>
      <c r="L379" s="17">
        <v>0.61</v>
      </c>
      <c r="M379" s="17">
        <v>3.64</v>
      </c>
      <c r="N379" s="18">
        <f t="shared" si="159"/>
        <v>3.0300000000000002</v>
      </c>
      <c r="O379" s="20" t="str">
        <f t="shared" si="163"/>
        <v>OK</v>
      </c>
    </row>
    <row r="380" spans="1:15" ht="12" customHeight="1" x14ac:dyDescent="0.25">
      <c r="A380" s="93" t="s">
        <v>16</v>
      </c>
      <c r="B380" s="32">
        <v>5</v>
      </c>
      <c r="C380" s="36">
        <v>1125522</v>
      </c>
      <c r="D380" s="52">
        <v>45869</v>
      </c>
      <c r="E380" s="32" t="s">
        <v>15</v>
      </c>
      <c r="F380" s="32" t="str">
        <f t="shared" si="164"/>
        <v>M20</v>
      </c>
      <c r="G380" s="61" t="str">
        <f t="shared" si="164"/>
        <v>021</v>
      </c>
      <c r="H380" s="72" t="str">
        <f t="shared" si="164"/>
        <v>C1</v>
      </c>
      <c r="I380" s="72">
        <f t="shared" si="164"/>
        <v>1</v>
      </c>
      <c r="J380" s="37" t="s">
        <v>32</v>
      </c>
      <c r="K380" s="37">
        <v>45</v>
      </c>
      <c r="L380" s="17">
        <v>0.22</v>
      </c>
      <c r="M380" s="17">
        <v>0.64</v>
      </c>
      <c r="N380" s="18">
        <f t="shared" si="159"/>
        <v>0.42000000000000004</v>
      </c>
      <c r="O380" s="20" t="str">
        <f t="shared" si="163"/>
        <v>Seguimiento</v>
      </c>
    </row>
    <row r="381" spans="1:15" ht="12" customHeight="1" x14ac:dyDescent="0.25">
      <c r="A381" s="93" t="s">
        <v>16</v>
      </c>
      <c r="B381" s="32">
        <v>5</v>
      </c>
      <c r="C381" s="36">
        <v>1125522</v>
      </c>
      <c r="D381" s="52">
        <v>45869</v>
      </c>
      <c r="E381" s="32" t="s">
        <v>15</v>
      </c>
      <c r="F381" s="32" t="str">
        <f t="shared" si="164"/>
        <v>M20</v>
      </c>
      <c r="G381" s="61" t="str">
        <f t="shared" si="164"/>
        <v>021</v>
      </c>
      <c r="H381" s="72" t="str">
        <f t="shared" si="164"/>
        <v>C1</v>
      </c>
      <c r="I381" s="72">
        <f t="shared" si="164"/>
        <v>1</v>
      </c>
      <c r="J381" s="37" t="s">
        <v>33</v>
      </c>
      <c r="K381" s="37">
        <v>46</v>
      </c>
      <c r="L381" s="17">
        <v>0.26</v>
      </c>
      <c r="M381" s="17">
        <v>2.5</v>
      </c>
      <c r="N381" s="18">
        <f t="shared" si="159"/>
        <v>2.2400000000000002</v>
      </c>
      <c r="O381" s="20" t="str">
        <f t="shared" si="163"/>
        <v>OK</v>
      </c>
    </row>
    <row r="382" spans="1:15" ht="12" customHeight="1" x14ac:dyDescent="0.25">
      <c r="A382" s="93" t="s">
        <v>16</v>
      </c>
      <c r="B382" s="32">
        <v>5</v>
      </c>
      <c r="C382" s="36">
        <v>1125522</v>
      </c>
      <c r="D382" s="52">
        <v>45869</v>
      </c>
      <c r="E382" s="32" t="s">
        <v>15</v>
      </c>
      <c r="F382" s="32" t="str">
        <f t="shared" si="164"/>
        <v>M20</v>
      </c>
      <c r="G382" s="61" t="str">
        <f t="shared" si="164"/>
        <v>021</v>
      </c>
      <c r="H382" s="72" t="str">
        <f t="shared" si="164"/>
        <v>C1</v>
      </c>
      <c r="I382" s="72">
        <f t="shared" si="164"/>
        <v>1</v>
      </c>
      <c r="J382" s="37" t="s">
        <v>34</v>
      </c>
      <c r="K382" s="37">
        <v>46</v>
      </c>
      <c r="L382" s="17">
        <v>0.7</v>
      </c>
      <c r="M382" s="17">
        <v>3.85</v>
      </c>
      <c r="N382" s="18">
        <f t="shared" si="159"/>
        <v>3.1500000000000004</v>
      </c>
      <c r="O382" s="20" t="str">
        <f t="shared" si="163"/>
        <v>OK</v>
      </c>
    </row>
    <row r="383" spans="1:15" ht="12" customHeight="1" x14ac:dyDescent="0.25">
      <c r="A383" s="93" t="s">
        <v>16</v>
      </c>
      <c r="B383" s="32">
        <v>5</v>
      </c>
      <c r="C383" s="36">
        <v>1125522</v>
      </c>
      <c r="D383" s="52">
        <v>45869</v>
      </c>
      <c r="E383" s="32" t="s">
        <v>15</v>
      </c>
      <c r="F383" s="32" t="str">
        <f t="shared" si="164"/>
        <v>M20</v>
      </c>
      <c r="G383" s="61" t="str">
        <f t="shared" si="164"/>
        <v>021</v>
      </c>
      <c r="H383" s="72" t="str">
        <f t="shared" si="164"/>
        <v>C1</v>
      </c>
      <c r="I383" s="72">
        <v>2</v>
      </c>
      <c r="J383" s="37" t="s">
        <v>35</v>
      </c>
      <c r="K383" s="37">
        <v>47</v>
      </c>
      <c r="L383" s="17">
        <v>0.16</v>
      </c>
      <c r="M383" s="17">
        <v>2.95</v>
      </c>
      <c r="N383" s="18">
        <f t="shared" si="159"/>
        <v>2.79</v>
      </c>
      <c r="O383" s="20" t="str">
        <f t="shared" si="163"/>
        <v>OK</v>
      </c>
    </row>
    <row r="384" spans="1:15" ht="12" customHeight="1" x14ac:dyDescent="0.25">
      <c r="A384" s="93" t="s">
        <v>16</v>
      </c>
      <c r="B384" s="32">
        <v>5</v>
      </c>
      <c r="C384" s="36">
        <v>1125522</v>
      </c>
      <c r="D384" s="52">
        <v>45869</v>
      </c>
      <c r="E384" s="32" t="s">
        <v>15</v>
      </c>
      <c r="F384" s="32" t="str">
        <f t="shared" si="164"/>
        <v>M20</v>
      </c>
      <c r="G384" s="61" t="str">
        <f t="shared" si="164"/>
        <v>021</v>
      </c>
      <c r="H384" s="72" t="str">
        <f t="shared" si="164"/>
        <v>C1</v>
      </c>
      <c r="I384" s="72">
        <f t="shared" si="164"/>
        <v>2</v>
      </c>
      <c r="J384" s="37" t="s">
        <v>36</v>
      </c>
      <c r="K384" s="37">
        <v>47</v>
      </c>
      <c r="L384" s="17">
        <v>0.11</v>
      </c>
      <c r="M384" s="17">
        <v>2.7</v>
      </c>
      <c r="N384" s="18">
        <f t="shared" si="159"/>
        <v>2.5900000000000003</v>
      </c>
      <c r="O384" s="20" t="str">
        <f t="shared" si="163"/>
        <v>OK</v>
      </c>
    </row>
    <row r="385" spans="1:15" ht="12" customHeight="1" x14ac:dyDescent="0.25">
      <c r="A385" s="93" t="s">
        <v>16</v>
      </c>
      <c r="B385" s="32">
        <v>5</v>
      </c>
      <c r="C385" s="36">
        <v>1125522</v>
      </c>
      <c r="D385" s="52">
        <v>45869</v>
      </c>
      <c r="E385" s="32" t="s">
        <v>15</v>
      </c>
      <c r="F385" s="32" t="str">
        <f t="shared" si="164"/>
        <v>M20</v>
      </c>
      <c r="G385" s="61" t="str">
        <f t="shared" si="164"/>
        <v>021</v>
      </c>
      <c r="H385" s="72" t="str">
        <f t="shared" si="164"/>
        <v>C1</v>
      </c>
      <c r="I385" s="72">
        <f t="shared" si="164"/>
        <v>2</v>
      </c>
      <c r="J385" s="37" t="s">
        <v>37</v>
      </c>
      <c r="K385" s="37">
        <v>48</v>
      </c>
      <c r="L385" s="17">
        <v>0.09</v>
      </c>
      <c r="M385" s="17">
        <v>2.2599999999999998</v>
      </c>
      <c r="N385" s="18">
        <f t="shared" si="159"/>
        <v>2.17</v>
      </c>
      <c r="O385" s="20" t="str">
        <f t="shared" si="163"/>
        <v>OK</v>
      </c>
    </row>
    <row r="386" spans="1:15" ht="12" customHeight="1" thickBot="1" x14ac:dyDescent="0.3">
      <c r="A386" s="93" t="s">
        <v>16</v>
      </c>
      <c r="B386" s="48">
        <v>5</v>
      </c>
      <c r="C386" s="36">
        <v>1125522</v>
      </c>
      <c r="D386" s="52">
        <v>45869</v>
      </c>
      <c r="E386" s="48" t="s">
        <v>15</v>
      </c>
      <c r="F386" s="48" t="str">
        <f t="shared" si="164"/>
        <v>M20</v>
      </c>
      <c r="G386" s="73" t="str">
        <f t="shared" si="164"/>
        <v>021</v>
      </c>
      <c r="H386" s="74" t="str">
        <f t="shared" si="164"/>
        <v>C1</v>
      </c>
      <c r="I386" s="74">
        <f t="shared" si="164"/>
        <v>2</v>
      </c>
      <c r="J386" s="41" t="s">
        <v>38</v>
      </c>
      <c r="K386" s="37">
        <v>48</v>
      </c>
      <c r="L386" s="51">
        <v>0.49</v>
      </c>
      <c r="M386" s="33">
        <v>4.07</v>
      </c>
      <c r="N386" s="53">
        <f t="shared" si="159"/>
        <v>3.58</v>
      </c>
      <c r="O386" s="57" t="str">
        <f t="shared" si="163"/>
        <v>OK</v>
      </c>
    </row>
    <row r="387" spans="1:15" ht="12" customHeight="1" thickBot="1" x14ac:dyDescent="0.3">
      <c r="A387" s="93" t="s">
        <v>16</v>
      </c>
      <c r="B387" s="36">
        <v>5</v>
      </c>
      <c r="C387" s="36">
        <v>1172475</v>
      </c>
      <c r="D387" s="52">
        <v>46160</v>
      </c>
      <c r="E387" s="36" t="s">
        <v>15</v>
      </c>
      <c r="F387" s="36" t="s">
        <v>28</v>
      </c>
      <c r="G387" s="80" t="s">
        <v>56</v>
      </c>
      <c r="H387" s="81" t="s">
        <v>30</v>
      </c>
      <c r="I387" s="81">
        <v>1</v>
      </c>
      <c r="J387" s="40" t="s">
        <v>31</v>
      </c>
      <c r="K387" s="37">
        <v>1</v>
      </c>
      <c r="L387" s="17">
        <v>0.24</v>
      </c>
      <c r="M387" s="19">
        <v>4.1399999999999997</v>
      </c>
      <c r="N387" s="18">
        <f t="shared" ref="N387:N450" si="165">+M387-L387</f>
        <v>3.8999999999999995</v>
      </c>
      <c r="O387" s="57" t="str">
        <f t="shared" si="163"/>
        <v>OK</v>
      </c>
    </row>
    <row r="388" spans="1:15" ht="12" customHeight="1" thickBot="1" x14ac:dyDescent="0.3">
      <c r="A388" s="93" t="s">
        <v>16</v>
      </c>
      <c r="B388" s="32">
        <v>5</v>
      </c>
      <c r="C388" s="36">
        <v>1172475</v>
      </c>
      <c r="D388" s="52">
        <v>46160</v>
      </c>
      <c r="E388" s="32" t="s">
        <v>15</v>
      </c>
      <c r="F388" s="32" t="str">
        <f t="shared" ref="F388:I388" si="166">F387</f>
        <v>M20</v>
      </c>
      <c r="G388" s="61" t="str">
        <f t="shared" si="166"/>
        <v>017</v>
      </c>
      <c r="H388" s="72" t="str">
        <f t="shared" si="166"/>
        <v>C1</v>
      </c>
      <c r="I388" s="72">
        <f t="shared" si="166"/>
        <v>1</v>
      </c>
      <c r="J388" s="37" t="s">
        <v>32</v>
      </c>
      <c r="K388" s="37">
        <v>1</v>
      </c>
      <c r="L388" s="17">
        <v>0.93</v>
      </c>
      <c r="M388" s="19">
        <v>2.88</v>
      </c>
      <c r="N388" s="18">
        <f t="shared" si="165"/>
        <v>1.9499999999999997</v>
      </c>
      <c r="O388" s="57" t="str">
        <f t="shared" si="163"/>
        <v>OK</v>
      </c>
    </row>
    <row r="389" spans="1:15" ht="12" customHeight="1" thickBot="1" x14ac:dyDescent="0.3">
      <c r="A389" s="93" t="s">
        <v>16</v>
      </c>
      <c r="B389" s="32">
        <v>5</v>
      </c>
      <c r="C389" s="36">
        <v>1172475</v>
      </c>
      <c r="D389" s="52">
        <v>46160</v>
      </c>
      <c r="E389" s="32" t="s">
        <v>15</v>
      </c>
      <c r="F389" s="32" t="str">
        <f t="shared" ref="F389:I389" si="167">F388</f>
        <v>M20</v>
      </c>
      <c r="G389" s="61" t="str">
        <f t="shared" si="167"/>
        <v>017</v>
      </c>
      <c r="H389" s="72" t="str">
        <f t="shared" si="167"/>
        <v>C1</v>
      </c>
      <c r="I389" s="72">
        <f t="shared" si="167"/>
        <v>1</v>
      </c>
      <c r="J389" s="37" t="s">
        <v>33</v>
      </c>
      <c r="K389" s="37">
        <v>2</v>
      </c>
      <c r="L389" s="17">
        <v>0.1</v>
      </c>
      <c r="M389" s="19">
        <v>4.58</v>
      </c>
      <c r="N389" s="18">
        <f t="shared" si="165"/>
        <v>4.4800000000000004</v>
      </c>
      <c r="O389" s="57" t="str">
        <f t="shared" si="163"/>
        <v>OK</v>
      </c>
    </row>
    <row r="390" spans="1:15" ht="12" customHeight="1" thickBot="1" x14ac:dyDescent="0.3">
      <c r="A390" s="93" t="s">
        <v>16</v>
      </c>
      <c r="B390" s="32">
        <v>5</v>
      </c>
      <c r="C390" s="36">
        <v>1172475</v>
      </c>
      <c r="D390" s="52">
        <v>46160</v>
      </c>
      <c r="E390" s="32" t="s">
        <v>15</v>
      </c>
      <c r="F390" s="32" t="str">
        <f t="shared" ref="F390:I390" si="168">F389</f>
        <v>M20</v>
      </c>
      <c r="G390" s="61" t="str">
        <f t="shared" si="168"/>
        <v>017</v>
      </c>
      <c r="H390" s="72" t="str">
        <f t="shared" si="168"/>
        <v>C1</v>
      </c>
      <c r="I390" s="72">
        <f t="shared" si="168"/>
        <v>1</v>
      </c>
      <c r="J390" s="37" t="s">
        <v>34</v>
      </c>
      <c r="K390" s="37">
        <v>2</v>
      </c>
      <c r="L390" s="17">
        <v>0.45</v>
      </c>
      <c r="M390" s="19">
        <v>0.67</v>
      </c>
      <c r="N390" s="18">
        <f t="shared" si="165"/>
        <v>0.22000000000000003</v>
      </c>
      <c r="O390" s="57" t="str">
        <f t="shared" si="163"/>
        <v>Seguimiento</v>
      </c>
    </row>
    <row r="391" spans="1:15" ht="12" customHeight="1" thickBot="1" x14ac:dyDescent="0.3">
      <c r="A391" s="93" t="s">
        <v>16</v>
      </c>
      <c r="B391" s="32">
        <v>5</v>
      </c>
      <c r="C391" s="36">
        <v>1172475</v>
      </c>
      <c r="D391" s="52">
        <v>46160</v>
      </c>
      <c r="E391" s="32" t="s">
        <v>15</v>
      </c>
      <c r="F391" s="32" t="str">
        <f t="shared" ref="F391:H391" si="169">F390</f>
        <v>M20</v>
      </c>
      <c r="G391" s="61" t="str">
        <f t="shared" si="169"/>
        <v>017</v>
      </c>
      <c r="H391" s="72" t="str">
        <f t="shared" si="169"/>
        <v>C1</v>
      </c>
      <c r="I391" s="72">
        <v>2</v>
      </c>
      <c r="J391" s="37" t="s">
        <v>35</v>
      </c>
      <c r="K391" s="37">
        <v>3</v>
      </c>
      <c r="L391" s="17">
        <v>0.2</v>
      </c>
      <c r="M391" s="19">
        <v>4.76</v>
      </c>
      <c r="N391" s="18">
        <f t="shared" si="165"/>
        <v>4.5599999999999996</v>
      </c>
      <c r="O391" s="57" t="str">
        <f t="shared" si="163"/>
        <v>OK</v>
      </c>
    </row>
    <row r="392" spans="1:15" ht="12" customHeight="1" thickBot="1" x14ac:dyDescent="0.3">
      <c r="A392" s="93" t="s">
        <v>16</v>
      </c>
      <c r="B392" s="32">
        <v>5</v>
      </c>
      <c r="C392" s="36">
        <v>1172475</v>
      </c>
      <c r="D392" s="52">
        <v>46160</v>
      </c>
      <c r="E392" s="32" t="s">
        <v>15</v>
      </c>
      <c r="F392" s="32" t="str">
        <f t="shared" ref="F392:I392" si="170">F391</f>
        <v>M20</v>
      </c>
      <c r="G392" s="61" t="str">
        <f t="shared" si="170"/>
        <v>017</v>
      </c>
      <c r="H392" s="72" t="str">
        <f t="shared" si="170"/>
        <v>C1</v>
      </c>
      <c r="I392" s="72">
        <f t="shared" si="170"/>
        <v>2</v>
      </c>
      <c r="J392" s="37" t="s">
        <v>36</v>
      </c>
      <c r="K392" s="37">
        <v>3</v>
      </c>
      <c r="L392" s="17">
        <v>0.56000000000000005</v>
      </c>
      <c r="M392" s="19">
        <v>1.84</v>
      </c>
      <c r="N392" s="18">
        <f t="shared" si="165"/>
        <v>1.28</v>
      </c>
      <c r="O392" s="57" t="str">
        <f t="shared" si="163"/>
        <v>OK</v>
      </c>
    </row>
    <row r="393" spans="1:15" ht="12" customHeight="1" thickBot="1" x14ac:dyDescent="0.3">
      <c r="A393" s="93" t="s">
        <v>16</v>
      </c>
      <c r="B393" s="32">
        <v>5</v>
      </c>
      <c r="C393" s="36">
        <v>1172475</v>
      </c>
      <c r="D393" s="52">
        <v>46160</v>
      </c>
      <c r="E393" s="32" t="s">
        <v>15</v>
      </c>
      <c r="F393" s="32" t="str">
        <f t="shared" ref="F393:I393" si="171">F392</f>
        <v>M20</v>
      </c>
      <c r="G393" s="61" t="str">
        <f t="shared" si="171"/>
        <v>017</v>
      </c>
      <c r="H393" s="72" t="str">
        <f t="shared" si="171"/>
        <v>C1</v>
      </c>
      <c r="I393" s="72">
        <f t="shared" si="171"/>
        <v>2</v>
      </c>
      <c r="J393" s="37" t="s">
        <v>37</v>
      </c>
      <c r="K393" s="37">
        <v>4</v>
      </c>
      <c r="L393" s="17">
        <v>0.5</v>
      </c>
      <c r="M393" s="19">
        <v>2.68</v>
      </c>
      <c r="N393" s="18">
        <f t="shared" si="165"/>
        <v>2.1800000000000002</v>
      </c>
      <c r="O393" s="57" t="str">
        <f t="shared" si="163"/>
        <v>OK</v>
      </c>
    </row>
    <row r="394" spans="1:15" ht="12" customHeight="1" thickBot="1" x14ac:dyDescent="0.3">
      <c r="A394" s="93" t="s">
        <v>16</v>
      </c>
      <c r="B394" s="32">
        <v>5</v>
      </c>
      <c r="C394" s="36">
        <v>1172475</v>
      </c>
      <c r="D394" s="52">
        <v>46160</v>
      </c>
      <c r="E394" s="32" t="s">
        <v>15</v>
      </c>
      <c r="F394" s="32" t="str">
        <f t="shared" ref="F394:I394" si="172">F393</f>
        <v>M20</v>
      </c>
      <c r="G394" s="61" t="str">
        <f t="shared" si="172"/>
        <v>017</v>
      </c>
      <c r="H394" s="72" t="str">
        <f t="shared" si="172"/>
        <v>C1</v>
      </c>
      <c r="I394" s="72">
        <f t="shared" si="172"/>
        <v>2</v>
      </c>
      <c r="J394" s="37" t="s">
        <v>38</v>
      </c>
      <c r="K394" s="37">
        <v>4</v>
      </c>
      <c r="L394" s="17">
        <v>0.32</v>
      </c>
      <c r="M394" s="19">
        <v>4.47</v>
      </c>
      <c r="N394" s="18">
        <f t="shared" si="165"/>
        <v>4.1499999999999995</v>
      </c>
      <c r="O394" s="57" t="str">
        <f t="shared" si="163"/>
        <v>OK</v>
      </c>
    </row>
    <row r="395" spans="1:15" ht="12" customHeight="1" thickBot="1" x14ac:dyDescent="0.3">
      <c r="A395" s="93" t="s">
        <v>16</v>
      </c>
      <c r="B395" s="32">
        <v>5</v>
      </c>
      <c r="C395" s="36">
        <v>1172475</v>
      </c>
      <c r="D395" s="52">
        <v>46160</v>
      </c>
      <c r="E395" s="32" t="s">
        <v>15</v>
      </c>
      <c r="F395" s="32" t="str">
        <f t="shared" ref="F395:G395" si="173">F394</f>
        <v>M20</v>
      </c>
      <c r="G395" s="61" t="str">
        <f t="shared" si="173"/>
        <v>017</v>
      </c>
      <c r="H395" s="72" t="s">
        <v>39</v>
      </c>
      <c r="I395" s="72">
        <v>1</v>
      </c>
      <c r="J395" s="37" t="s">
        <v>31</v>
      </c>
      <c r="K395" s="37">
        <v>5</v>
      </c>
      <c r="L395" s="17">
        <v>0.31</v>
      </c>
      <c r="M395" s="19">
        <v>4.6399999999999997</v>
      </c>
      <c r="N395" s="18">
        <f t="shared" si="165"/>
        <v>4.33</v>
      </c>
      <c r="O395" s="57" t="str">
        <f t="shared" si="163"/>
        <v>OK</v>
      </c>
    </row>
    <row r="396" spans="1:15" ht="12" customHeight="1" thickBot="1" x14ac:dyDescent="0.3">
      <c r="A396" s="93" t="s">
        <v>16</v>
      </c>
      <c r="B396" s="32">
        <v>5</v>
      </c>
      <c r="C396" s="36">
        <v>1172475</v>
      </c>
      <c r="D396" s="52">
        <v>46160</v>
      </c>
      <c r="E396" s="32" t="s">
        <v>15</v>
      </c>
      <c r="F396" s="32" t="str">
        <f t="shared" ref="F396:I396" si="174">F395</f>
        <v>M20</v>
      </c>
      <c r="G396" s="61" t="str">
        <f t="shared" si="174"/>
        <v>017</v>
      </c>
      <c r="H396" s="72" t="str">
        <f t="shared" si="174"/>
        <v>C2</v>
      </c>
      <c r="I396" s="72">
        <f t="shared" si="174"/>
        <v>1</v>
      </c>
      <c r="J396" s="37" t="s">
        <v>32</v>
      </c>
      <c r="K396" s="37">
        <v>5</v>
      </c>
      <c r="L396" s="17">
        <v>0.17</v>
      </c>
      <c r="M396" s="19">
        <v>4.34</v>
      </c>
      <c r="N396" s="18">
        <f t="shared" si="165"/>
        <v>4.17</v>
      </c>
      <c r="O396" s="57" t="str">
        <f t="shared" si="163"/>
        <v>OK</v>
      </c>
    </row>
    <row r="397" spans="1:15" ht="12" customHeight="1" thickBot="1" x14ac:dyDescent="0.3">
      <c r="A397" s="93" t="s">
        <v>16</v>
      </c>
      <c r="B397" s="32">
        <v>5</v>
      </c>
      <c r="C397" s="36">
        <v>1172475</v>
      </c>
      <c r="D397" s="52">
        <v>46160</v>
      </c>
      <c r="E397" s="32" t="s">
        <v>15</v>
      </c>
      <c r="F397" s="32" t="str">
        <f t="shared" ref="F397:I397" si="175">F396</f>
        <v>M20</v>
      </c>
      <c r="G397" s="61" t="str">
        <f t="shared" si="175"/>
        <v>017</v>
      </c>
      <c r="H397" s="72" t="str">
        <f t="shared" si="175"/>
        <v>C2</v>
      </c>
      <c r="I397" s="72">
        <f t="shared" si="175"/>
        <v>1</v>
      </c>
      <c r="J397" s="37" t="s">
        <v>33</v>
      </c>
      <c r="K397" s="37">
        <v>6</v>
      </c>
      <c r="L397" s="17">
        <v>0.13</v>
      </c>
      <c r="M397" s="19">
        <v>4.45</v>
      </c>
      <c r="N397" s="18">
        <f t="shared" si="165"/>
        <v>4.32</v>
      </c>
      <c r="O397" s="57" t="str">
        <f t="shared" si="163"/>
        <v>OK</v>
      </c>
    </row>
    <row r="398" spans="1:15" ht="12" customHeight="1" thickBot="1" x14ac:dyDescent="0.3">
      <c r="A398" s="93" t="s">
        <v>16</v>
      </c>
      <c r="B398" s="32">
        <v>5</v>
      </c>
      <c r="C398" s="36">
        <v>1172475</v>
      </c>
      <c r="D398" s="52">
        <v>46160</v>
      </c>
      <c r="E398" s="32" t="s">
        <v>15</v>
      </c>
      <c r="F398" s="32" t="str">
        <f t="shared" ref="F398:I398" si="176">F397</f>
        <v>M20</v>
      </c>
      <c r="G398" s="61" t="str">
        <f t="shared" si="176"/>
        <v>017</v>
      </c>
      <c r="H398" s="72" t="str">
        <f t="shared" si="176"/>
        <v>C2</v>
      </c>
      <c r="I398" s="72">
        <f t="shared" si="176"/>
        <v>1</v>
      </c>
      <c r="J398" s="37" t="s">
        <v>34</v>
      </c>
      <c r="K398" s="37">
        <v>6</v>
      </c>
      <c r="L398" s="17">
        <v>0.31</v>
      </c>
      <c r="M398" s="19">
        <v>4.79</v>
      </c>
      <c r="N398" s="18">
        <f t="shared" si="165"/>
        <v>4.4800000000000004</v>
      </c>
      <c r="O398" s="57" t="str">
        <f t="shared" si="163"/>
        <v>OK</v>
      </c>
    </row>
    <row r="399" spans="1:15" ht="12" customHeight="1" thickBot="1" x14ac:dyDescent="0.3">
      <c r="A399" s="93" t="s">
        <v>16</v>
      </c>
      <c r="B399" s="32">
        <v>5</v>
      </c>
      <c r="C399" s="36">
        <v>1172475</v>
      </c>
      <c r="D399" s="52">
        <v>46160</v>
      </c>
      <c r="E399" s="32" t="s">
        <v>15</v>
      </c>
      <c r="F399" s="32" t="str">
        <f t="shared" ref="F399:H399" si="177">F398</f>
        <v>M20</v>
      </c>
      <c r="G399" s="61" t="str">
        <f t="shared" si="177"/>
        <v>017</v>
      </c>
      <c r="H399" s="72" t="str">
        <f t="shared" si="177"/>
        <v>C2</v>
      </c>
      <c r="I399" s="72">
        <v>2</v>
      </c>
      <c r="J399" s="37" t="s">
        <v>35</v>
      </c>
      <c r="K399" s="37">
        <v>7</v>
      </c>
      <c r="L399" s="17">
        <v>0.43</v>
      </c>
      <c r="M399" s="19">
        <v>4.28</v>
      </c>
      <c r="N399" s="18">
        <f t="shared" si="165"/>
        <v>3.85</v>
      </c>
      <c r="O399" s="57" t="str">
        <f t="shared" si="163"/>
        <v>OK</v>
      </c>
    </row>
    <row r="400" spans="1:15" ht="12" customHeight="1" thickBot="1" x14ac:dyDescent="0.3">
      <c r="A400" s="93" t="s">
        <v>16</v>
      </c>
      <c r="B400" s="32">
        <v>5</v>
      </c>
      <c r="C400" s="36">
        <v>1172475</v>
      </c>
      <c r="D400" s="52">
        <v>46160</v>
      </c>
      <c r="E400" s="32" t="s">
        <v>15</v>
      </c>
      <c r="F400" s="32" t="str">
        <f t="shared" ref="F400:I400" si="178">F399</f>
        <v>M20</v>
      </c>
      <c r="G400" s="61" t="str">
        <f t="shared" si="178"/>
        <v>017</v>
      </c>
      <c r="H400" s="72" t="str">
        <f t="shared" si="178"/>
        <v>C2</v>
      </c>
      <c r="I400" s="72">
        <f t="shared" si="178"/>
        <v>2</v>
      </c>
      <c r="J400" s="37" t="s">
        <v>36</v>
      </c>
      <c r="K400" s="37">
        <v>7</v>
      </c>
      <c r="L400" s="17">
        <v>0.19</v>
      </c>
      <c r="M400" s="19">
        <v>4.18</v>
      </c>
      <c r="N400" s="18">
        <f t="shared" si="165"/>
        <v>3.9899999999999998</v>
      </c>
      <c r="O400" s="57" t="str">
        <f t="shared" si="163"/>
        <v>OK</v>
      </c>
    </row>
    <row r="401" spans="1:15" ht="12" customHeight="1" thickBot="1" x14ac:dyDescent="0.3">
      <c r="A401" s="93" t="s">
        <v>16</v>
      </c>
      <c r="B401" s="32">
        <v>5</v>
      </c>
      <c r="C401" s="36">
        <v>1172475</v>
      </c>
      <c r="D401" s="52">
        <v>46160</v>
      </c>
      <c r="E401" s="32" t="s">
        <v>15</v>
      </c>
      <c r="F401" s="32" t="str">
        <f t="shared" ref="F401:I401" si="179">F400</f>
        <v>M20</v>
      </c>
      <c r="G401" s="61" t="str">
        <f t="shared" si="179"/>
        <v>017</v>
      </c>
      <c r="H401" s="72" t="str">
        <f t="shared" si="179"/>
        <v>C2</v>
      </c>
      <c r="I401" s="72">
        <f t="shared" si="179"/>
        <v>2</v>
      </c>
      <c r="J401" s="37" t="s">
        <v>37</v>
      </c>
      <c r="K401" s="37">
        <v>8</v>
      </c>
      <c r="L401" s="17">
        <v>0.11</v>
      </c>
      <c r="M401" s="19">
        <v>4.0599999999999996</v>
      </c>
      <c r="N401" s="18">
        <f t="shared" si="165"/>
        <v>3.9499999999999997</v>
      </c>
      <c r="O401" s="57" t="str">
        <f t="shared" si="163"/>
        <v>OK</v>
      </c>
    </row>
    <row r="402" spans="1:15" ht="12" customHeight="1" thickBot="1" x14ac:dyDescent="0.3">
      <c r="A402" s="93" t="s">
        <v>16</v>
      </c>
      <c r="B402" s="32">
        <v>5</v>
      </c>
      <c r="C402" s="36">
        <v>1172475</v>
      </c>
      <c r="D402" s="52">
        <v>46160</v>
      </c>
      <c r="E402" s="32" t="s">
        <v>15</v>
      </c>
      <c r="F402" s="32" t="str">
        <f t="shared" ref="F402:I402" si="180">F401</f>
        <v>M20</v>
      </c>
      <c r="G402" s="61" t="str">
        <f t="shared" si="180"/>
        <v>017</v>
      </c>
      <c r="H402" s="72" t="str">
        <f t="shared" si="180"/>
        <v>C2</v>
      </c>
      <c r="I402" s="72">
        <f t="shared" si="180"/>
        <v>2</v>
      </c>
      <c r="J402" s="37" t="s">
        <v>38</v>
      </c>
      <c r="K402" s="37">
        <v>8</v>
      </c>
      <c r="L402" s="17">
        <v>0.39</v>
      </c>
      <c r="M402" s="19">
        <v>4.46</v>
      </c>
      <c r="N402" s="18">
        <f t="shared" si="165"/>
        <v>4.07</v>
      </c>
      <c r="O402" s="57" t="str">
        <f t="shared" si="163"/>
        <v>OK</v>
      </c>
    </row>
    <row r="403" spans="1:15" ht="12" customHeight="1" thickBot="1" x14ac:dyDescent="0.3">
      <c r="A403" s="93" t="s">
        <v>16</v>
      </c>
      <c r="B403" s="32">
        <v>5</v>
      </c>
      <c r="C403" s="36">
        <v>1172475</v>
      </c>
      <c r="D403" s="52">
        <v>46160</v>
      </c>
      <c r="E403" s="32" t="s">
        <v>15</v>
      </c>
      <c r="F403" s="32" t="s">
        <v>40</v>
      </c>
      <c r="G403" s="61" t="s">
        <v>55</v>
      </c>
      <c r="H403" s="72" t="s">
        <v>42</v>
      </c>
      <c r="I403" s="72">
        <v>1</v>
      </c>
      <c r="J403" s="37" t="s">
        <v>31</v>
      </c>
      <c r="K403" s="37">
        <v>9</v>
      </c>
      <c r="L403" s="17">
        <v>1.42</v>
      </c>
      <c r="M403" s="19">
        <v>4.79</v>
      </c>
      <c r="N403" s="18">
        <f t="shared" si="165"/>
        <v>3.37</v>
      </c>
      <c r="O403" s="57" t="str">
        <f t="shared" si="163"/>
        <v>OK</v>
      </c>
    </row>
    <row r="404" spans="1:15" ht="12" customHeight="1" thickBot="1" x14ac:dyDescent="0.3">
      <c r="A404" s="93" t="s">
        <v>16</v>
      </c>
      <c r="B404" s="32">
        <v>5</v>
      </c>
      <c r="C404" s="36">
        <v>1172475</v>
      </c>
      <c r="D404" s="52">
        <v>46160</v>
      </c>
      <c r="E404" s="32" t="s">
        <v>15</v>
      </c>
      <c r="F404" s="32" t="str">
        <f t="shared" ref="F404:I404" si="181">F403</f>
        <v>M21</v>
      </c>
      <c r="G404" s="61" t="str">
        <f t="shared" si="181"/>
        <v>018</v>
      </c>
      <c r="H404" s="72" t="str">
        <f t="shared" si="181"/>
        <v>C3</v>
      </c>
      <c r="I404" s="72">
        <f t="shared" si="181"/>
        <v>1</v>
      </c>
      <c r="J404" s="37" t="s">
        <v>32</v>
      </c>
      <c r="K404" s="37">
        <v>9</v>
      </c>
      <c r="L404" s="17">
        <v>0.46</v>
      </c>
      <c r="M404" s="19">
        <v>3.65</v>
      </c>
      <c r="N404" s="18">
        <f t="shared" si="165"/>
        <v>3.19</v>
      </c>
      <c r="O404" s="57" t="str">
        <f t="shared" si="163"/>
        <v>OK</v>
      </c>
    </row>
    <row r="405" spans="1:15" ht="12" customHeight="1" thickBot="1" x14ac:dyDescent="0.3">
      <c r="A405" s="93" t="s">
        <v>16</v>
      </c>
      <c r="B405" s="32">
        <v>5</v>
      </c>
      <c r="C405" s="36">
        <v>1172475</v>
      </c>
      <c r="D405" s="52">
        <v>46160</v>
      </c>
      <c r="E405" s="32" t="s">
        <v>15</v>
      </c>
      <c r="F405" s="32" t="str">
        <f t="shared" ref="F405:I405" si="182">F404</f>
        <v>M21</v>
      </c>
      <c r="G405" s="61" t="str">
        <f t="shared" si="182"/>
        <v>018</v>
      </c>
      <c r="H405" s="72" t="str">
        <f t="shared" si="182"/>
        <v>C3</v>
      </c>
      <c r="I405" s="72">
        <f t="shared" si="182"/>
        <v>1</v>
      </c>
      <c r="J405" s="37" t="s">
        <v>33</v>
      </c>
      <c r="K405" s="37">
        <v>10</v>
      </c>
      <c r="L405" s="17">
        <v>0.67</v>
      </c>
      <c r="M405" s="19">
        <v>4.38</v>
      </c>
      <c r="N405" s="18">
        <f t="shared" si="165"/>
        <v>3.71</v>
      </c>
      <c r="O405" s="57" t="str">
        <f t="shared" si="163"/>
        <v>OK</v>
      </c>
    </row>
    <row r="406" spans="1:15" ht="12" customHeight="1" thickBot="1" x14ac:dyDescent="0.3">
      <c r="A406" s="93" t="s">
        <v>16</v>
      </c>
      <c r="B406" s="32">
        <v>5</v>
      </c>
      <c r="C406" s="36">
        <v>1172475</v>
      </c>
      <c r="D406" s="52">
        <v>46160</v>
      </c>
      <c r="E406" s="32" t="s">
        <v>15</v>
      </c>
      <c r="F406" s="32" t="str">
        <f t="shared" ref="F406:I406" si="183">F405</f>
        <v>M21</v>
      </c>
      <c r="G406" s="61" t="str">
        <f t="shared" si="183"/>
        <v>018</v>
      </c>
      <c r="H406" s="72" t="str">
        <f t="shared" si="183"/>
        <v>C3</v>
      </c>
      <c r="I406" s="72">
        <f t="shared" si="183"/>
        <v>1</v>
      </c>
      <c r="J406" s="37" t="s">
        <v>34</v>
      </c>
      <c r="K406" s="37">
        <v>10</v>
      </c>
      <c r="L406" s="17">
        <v>0.32</v>
      </c>
      <c r="M406" s="19">
        <v>2.33</v>
      </c>
      <c r="N406" s="18">
        <f t="shared" si="165"/>
        <v>2.0100000000000002</v>
      </c>
      <c r="O406" s="57" t="str">
        <f t="shared" si="163"/>
        <v>OK</v>
      </c>
    </row>
    <row r="407" spans="1:15" ht="12" customHeight="1" thickBot="1" x14ac:dyDescent="0.3">
      <c r="A407" s="93" t="s">
        <v>16</v>
      </c>
      <c r="B407" s="32">
        <v>5</v>
      </c>
      <c r="C407" s="36">
        <v>1172475</v>
      </c>
      <c r="D407" s="52">
        <v>46160</v>
      </c>
      <c r="E407" s="32" t="s">
        <v>15</v>
      </c>
      <c r="F407" s="32" t="str">
        <f t="shared" ref="F407:H407" si="184">F406</f>
        <v>M21</v>
      </c>
      <c r="G407" s="61" t="str">
        <f t="shared" si="184"/>
        <v>018</v>
      </c>
      <c r="H407" s="72" t="str">
        <f t="shared" si="184"/>
        <v>C3</v>
      </c>
      <c r="I407" s="72">
        <v>2</v>
      </c>
      <c r="J407" s="37" t="s">
        <v>35</v>
      </c>
      <c r="K407" s="37">
        <v>11</v>
      </c>
      <c r="L407" s="17">
        <v>0.73</v>
      </c>
      <c r="M407" s="19">
        <v>4.62</v>
      </c>
      <c r="N407" s="18">
        <f t="shared" si="165"/>
        <v>3.89</v>
      </c>
      <c r="O407" s="57" t="str">
        <f t="shared" si="163"/>
        <v>OK</v>
      </c>
    </row>
    <row r="408" spans="1:15" ht="12" customHeight="1" thickBot="1" x14ac:dyDescent="0.3">
      <c r="A408" s="93" t="s">
        <v>16</v>
      </c>
      <c r="B408" s="32">
        <v>5</v>
      </c>
      <c r="C408" s="36">
        <v>1172475</v>
      </c>
      <c r="D408" s="52">
        <v>46160</v>
      </c>
      <c r="E408" s="32" t="s">
        <v>15</v>
      </c>
      <c r="F408" s="32" t="str">
        <f t="shared" ref="F408:I408" si="185">F407</f>
        <v>M21</v>
      </c>
      <c r="G408" s="61" t="str">
        <f t="shared" si="185"/>
        <v>018</v>
      </c>
      <c r="H408" s="72" t="str">
        <f t="shared" si="185"/>
        <v>C3</v>
      </c>
      <c r="I408" s="72">
        <f t="shared" si="185"/>
        <v>2</v>
      </c>
      <c r="J408" s="37" t="s">
        <v>36</v>
      </c>
      <c r="K408" s="37">
        <v>11</v>
      </c>
      <c r="L408" s="17">
        <v>0.76</v>
      </c>
      <c r="M408" s="19">
        <v>4.0199999999999996</v>
      </c>
      <c r="N408" s="18">
        <f t="shared" si="165"/>
        <v>3.26</v>
      </c>
      <c r="O408" s="57" t="str">
        <f t="shared" si="163"/>
        <v>OK</v>
      </c>
    </row>
    <row r="409" spans="1:15" ht="12" customHeight="1" thickBot="1" x14ac:dyDescent="0.3">
      <c r="A409" s="93" t="s">
        <v>16</v>
      </c>
      <c r="B409" s="32">
        <v>5</v>
      </c>
      <c r="C409" s="36">
        <v>1172475</v>
      </c>
      <c r="D409" s="52">
        <v>46160</v>
      </c>
      <c r="E409" s="32" t="s">
        <v>15</v>
      </c>
      <c r="F409" s="32" t="str">
        <f t="shared" ref="F409:I409" si="186">F408</f>
        <v>M21</v>
      </c>
      <c r="G409" s="61" t="str">
        <f t="shared" si="186"/>
        <v>018</v>
      </c>
      <c r="H409" s="72" t="str">
        <f t="shared" si="186"/>
        <v>C3</v>
      </c>
      <c r="I409" s="72">
        <f t="shared" si="186"/>
        <v>2</v>
      </c>
      <c r="J409" s="37" t="s">
        <v>37</v>
      </c>
      <c r="K409" s="37">
        <v>12</v>
      </c>
      <c r="L409" s="17">
        <v>0.16</v>
      </c>
      <c r="M409" s="19">
        <v>3.3</v>
      </c>
      <c r="N409" s="18">
        <f t="shared" si="165"/>
        <v>3.1399999999999997</v>
      </c>
      <c r="O409" s="57" t="str">
        <f t="shared" si="163"/>
        <v>OK</v>
      </c>
    </row>
    <row r="410" spans="1:15" ht="12" customHeight="1" thickBot="1" x14ac:dyDescent="0.3">
      <c r="A410" s="93" t="s">
        <v>16</v>
      </c>
      <c r="B410" s="32">
        <v>5</v>
      </c>
      <c r="C410" s="36">
        <v>1172475</v>
      </c>
      <c r="D410" s="52">
        <v>46160</v>
      </c>
      <c r="E410" s="32" t="s">
        <v>15</v>
      </c>
      <c r="F410" s="32" t="str">
        <f t="shared" ref="F410:I410" si="187">F409</f>
        <v>M21</v>
      </c>
      <c r="G410" s="61" t="str">
        <f t="shared" si="187"/>
        <v>018</v>
      </c>
      <c r="H410" s="72" t="str">
        <f t="shared" si="187"/>
        <v>C3</v>
      </c>
      <c r="I410" s="72">
        <f t="shared" si="187"/>
        <v>2</v>
      </c>
      <c r="J410" s="37" t="s">
        <v>38</v>
      </c>
      <c r="K410" s="37">
        <v>12</v>
      </c>
      <c r="L410" s="17">
        <v>0.46</v>
      </c>
      <c r="M410" s="19">
        <v>3.57</v>
      </c>
      <c r="N410" s="18">
        <f t="shared" si="165"/>
        <v>3.11</v>
      </c>
      <c r="O410" s="57" t="str">
        <f t="shared" si="163"/>
        <v>OK</v>
      </c>
    </row>
    <row r="411" spans="1:15" ht="12" customHeight="1" thickBot="1" x14ac:dyDescent="0.3">
      <c r="A411" s="93" t="s">
        <v>16</v>
      </c>
      <c r="B411" s="32">
        <v>5</v>
      </c>
      <c r="C411" s="36">
        <v>1172475</v>
      </c>
      <c r="D411" s="52">
        <v>46160</v>
      </c>
      <c r="E411" s="32" t="s">
        <v>15</v>
      </c>
      <c r="F411" s="32" t="str">
        <f t="shared" ref="F411:G411" si="188">F410</f>
        <v>M21</v>
      </c>
      <c r="G411" s="61" t="str">
        <f t="shared" si="188"/>
        <v>018</v>
      </c>
      <c r="H411" s="72" t="s">
        <v>43</v>
      </c>
      <c r="I411" s="72">
        <v>1</v>
      </c>
      <c r="J411" s="37" t="s">
        <v>31</v>
      </c>
      <c r="K411" s="37">
        <v>13</v>
      </c>
      <c r="L411" s="17">
        <v>0.57999999999999996</v>
      </c>
      <c r="M411" s="19">
        <v>3.77</v>
      </c>
      <c r="N411" s="18">
        <f t="shared" si="165"/>
        <v>3.19</v>
      </c>
      <c r="O411" s="57" t="str">
        <f t="shared" si="163"/>
        <v>OK</v>
      </c>
    </row>
    <row r="412" spans="1:15" ht="12" customHeight="1" thickBot="1" x14ac:dyDescent="0.3">
      <c r="A412" s="93" t="s">
        <v>16</v>
      </c>
      <c r="B412" s="32">
        <v>5</v>
      </c>
      <c r="C412" s="36">
        <v>1172475</v>
      </c>
      <c r="D412" s="52">
        <v>46160</v>
      </c>
      <c r="E412" s="32" t="s">
        <v>15</v>
      </c>
      <c r="F412" s="32" t="str">
        <f t="shared" ref="F412:I412" si="189">F411</f>
        <v>M21</v>
      </c>
      <c r="G412" s="61" t="str">
        <f t="shared" si="189"/>
        <v>018</v>
      </c>
      <c r="H412" s="72" t="str">
        <f t="shared" si="189"/>
        <v>C4</v>
      </c>
      <c r="I412" s="72">
        <f t="shared" si="189"/>
        <v>1</v>
      </c>
      <c r="J412" s="37" t="s">
        <v>32</v>
      </c>
      <c r="K412" s="37">
        <v>13</v>
      </c>
      <c r="L412" s="17">
        <v>0.06</v>
      </c>
      <c r="M412" s="19">
        <v>5.08</v>
      </c>
      <c r="N412" s="18">
        <f t="shared" si="165"/>
        <v>5.0200000000000005</v>
      </c>
      <c r="O412" s="57" t="str">
        <f t="shared" si="163"/>
        <v>OK</v>
      </c>
    </row>
    <row r="413" spans="1:15" ht="12" customHeight="1" thickBot="1" x14ac:dyDescent="0.3">
      <c r="A413" s="93" t="s">
        <v>16</v>
      </c>
      <c r="B413" s="32">
        <v>5</v>
      </c>
      <c r="C413" s="36">
        <v>1172475</v>
      </c>
      <c r="D413" s="52">
        <v>46160</v>
      </c>
      <c r="E413" s="32" t="s">
        <v>15</v>
      </c>
      <c r="F413" s="32" t="str">
        <f t="shared" ref="F413:I413" si="190">F412</f>
        <v>M21</v>
      </c>
      <c r="G413" s="61" t="str">
        <f t="shared" si="190"/>
        <v>018</v>
      </c>
      <c r="H413" s="72" t="str">
        <f t="shared" si="190"/>
        <v>C4</v>
      </c>
      <c r="I413" s="72">
        <f t="shared" si="190"/>
        <v>1</v>
      </c>
      <c r="J413" s="37" t="s">
        <v>33</v>
      </c>
      <c r="K413" s="37">
        <v>14</v>
      </c>
      <c r="L413" s="17">
        <v>0.18</v>
      </c>
      <c r="M413" s="19">
        <v>2.56</v>
      </c>
      <c r="N413" s="18">
        <f t="shared" si="165"/>
        <v>2.38</v>
      </c>
      <c r="O413" s="57" t="str">
        <f t="shared" si="163"/>
        <v>OK</v>
      </c>
    </row>
    <row r="414" spans="1:15" ht="12" customHeight="1" thickBot="1" x14ac:dyDescent="0.3">
      <c r="A414" s="93" t="s">
        <v>16</v>
      </c>
      <c r="B414" s="32">
        <v>5</v>
      </c>
      <c r="C414" s="36">
        <v>1172475</v>
      </c>
      <c r="D414" s="52">
        <v>46160</v>
      </c>
      <c r="E414" s="32" t="s">
        <v>15</v>
      </c>
      <c r="F414" s="32" t="str">
        <f t="shared" ref="F414:I414" si="191">F413</f>
        <v>M21</v>
      </c>
      <c r="G414" s="61" t="str">
        <f t="shared" si="191"/>
        <v>018</v>
      </c>
      <c r="H414" s="72" t="str">
        <f t="shared" si="191"/>
        <v>C4</v>
      </c>
      <c r="I414" s="72">
        <f t="shared" si="191"/>
        <v>1</v>
      </c>
      <c r="J414" s="37" t="s">
        <v>34</v>
      </c>
      <c r="K414" s="37">
        <v>14</v>
      </c>
      <c r="L414" s="17">
        <v>0.71</v>
      </c>
      <c r="M414" s="19">
        <v>3.84</v>
      </c>
      <c r="N414" s="18">
        <f t="shared" si="165"/>
        <v>3.13</v>
      </c>
      <c r="O414" s="57" t="str">
        <f t="shared" si="163"/>
        <v>OK</v>
      </c>
    </row>
    <row r="415" spans="1:15" ht="12" customHeight="1" thickBot="1" x14ac:dyDescent="0.3">
      <c r="A415" s="93" t="s">
        <v>16</v>
      </c>
      <c r="B415" s="32">
        <v>5</v>
      </c>
      <c r="C415" s="36">
        <v>1172475</v>
      </c>
      <c r="D415" s="52">
        <v>46160</v>
      </c>
      <c r="E415" s="32" t="s">
        <v>15</v>
      </c>
      <c r="F415" s="32" t="str">
        <f t="shared" ref="F415:H415" si="192">F414</f>
        <v>M21</v>
      </c>
      <c r="G415" s="61" t="str">
        <f t="shared" si="192"/>
        <v>018</v>
      </c>
      <c r="H415" s="72" t="str">
        <f t="shared" si="192"/>
        <v>C4</v>
      </c>
      <c r="I415" s="72">
        <v>2</v>
      </c>
      <c r="J415" s="37" t="s">
        <v>35</v>
      </c>
      <c r="K415" s="37">
        <v>15</v>
      </c>
      <c r="L415" s="17">
        <v>0.19</v>
      </c>
      <c r="M415" s="19">
        <v>2.9</v>
      </c>
      <c r="N415" s="18">
        <f t="shared" si="165"/>
        <v>2.71</v>
      </c>
      <c r="O415" s="57" t="str">
        <f t="shared" si="163"/>
        <v>OK</v>
      </c>
    </row>
    <row r="416" spans="1:15" ht="12" customHeight="1" thickBot="1" x14ac:dyDescent="0.3">
      <c r="A416" s="93" t="s">
        <v>16</v>
      </c>
      <c r="B416" s="32">
        <v>5</v>
      </c>
      <c r="C416" s="36">
        <v>1172475</v>
      </c>
      <c r="D416" s="52">
        <v>46160</v>
      </c>
      <c r="E416" s="32" t="s">
        <v>15</v>
      </c>
      <c r="F416" s="32" t="str">
        <f t="shared" ref="F416:I416" si="193">F415</f>
        <v>M21</v>
      </c>
      <c r="G416" s="61" t="str">
        <f t="shared" si="193"/>
        <v>018</v>
      </c>
      <c r="H416" s="72" t="str">
        <f t="shared" si="193"/>
        <v>C4</v>
      </c>
      <c r="I416" s="72">
        <f t="shared" si="193"/>
        <v>2</v>
      </c>
      <c r="J416" s="37" t="s">
        <v>36</v>
      </c>
      <c r="K416" s="37">
        <v>15</v>
      </c>
      <c r="L416" s="17">
        <v>0.11</v>
      </c>
      <c r="M416" s="19">
        <v>2.66</v>
      </c>
      <c r="N416" s="18">
        <f t="shared" si="165"/>
        <v>2.5500000000000003</v>
      </c>
      <c r="O416" s="57" t="str">
        <f t="shared" si="163"/>
        <v>OK</v>
      </c>
    </row>
    <row r="417" spans="1:15" ht="12" customHeight="1" thickBot="1" x14ac:dyDescent="0.3">
      <c r="A417" s="93" t="s">
        <v>16</v>
      </c>
      <c r="B417" s="32">
        <v>5</v>
      </c>
      <c r="C417" s="36">
        <v>1172475</v>
      </c>
      <c r="D417" s="52">
        <v>46160</v>
      </c>
      <c r="E417" s="32" t="s">
        <v>15</v>
      </c>
      <c r="F417" s="32" t="str">
        <f t="shared" ref="F417:I417" si="194">F416</f>
        <v>M21</v>
      </c>
      <c r="G417" s="61" t="str">
        <f t="shared" si="194"/>
        <v>018</v>
      </c>
      <c r="H417" s="72" t="str">
        <f t="shared" si="194"/>
        <v>C4</v>
      </c>
      <c r="I417" s="72">
        <f t="shared" si="194"/>
        <v>2</v>
      </c>
      <c r="J417" s="37" t="s">
        <v>37</v>
      </c>
      <c r="K417" s="37">
        <v>16</v>
      </c>
      <c r="L417" s="17">
        <v>0.04</v>
      </c>
      <c r="M417" s="19">
        <v>5.07</v>
      </c>
      <c r="N417" s="18">
        <f t="shared" si="165"/>
        <v>5.03</v>
      </c>
      <c r="O417" s="57" t="str">
        <f t="shared" si="163"/>
        <v>OK</v>
      </c>
    </row>
    <row r="418" spans="1:15" ht="12" customHeight="1" thickBot="1" x14ac:dyDescent="0.3">
      <c r="A418" s="93" t="s">
        <v>16</v>
      </c>
      <c r="B418" s="32">
        <v>5</v>
      </c>
      <c r="C418" s="36">
        <v>1172475</v>
      </c>
      <c r="D418" s="52">
        <v>46160</v>
      </c>
      <c r="E418" s="32" t="s">
        <v>15</v>
      </c>
      <c r="F418" s="32" t="str">
        <f t="shared" ref="F418:I418" si="195">F417</f>
        <v>M21</v>
      </c>
      <c r="G418" s="61" t="str">
        <f t="shared" si="195"/>
        <v>018</v>
      </c>
      <c r="H418" s="72" t="str">
        <f t="shared" si="195"/>
        <v>C4</v>
      </c>
      <c r="I418" s="72">
        <f t="shared" si="195"/>
        <v>2</v>
      </c>
      <c r="J418" s="37" t="s">
        <v>38</v>
      </c>
      <c r="K418" s="37">
        <v>16</v>
      </c>
      <c r="L418" s="17">
        <v>0.32</v>
      </c>
      <c r="M418" s="19">
        <v>4.09</v>
      </c>
      <c r="N418" s="18">
        <f t="shared" si="165"/>
        <v>3.77</v>
      </c>
      <c r="O418" s="57" t="str">
        <f t="shared" si="163"/>
        <v>OK</v>
      </c>
    </row>
    <row r="419" spans="1:15" ht="12" customHeight="1" thickBot="1" x14ac:dyDescent="0.3">
      <c r="A419" s="93" t="s">
        <v>16</v>
      </c>
      <c r="B419" s="32">
        <v>5</v>
      </c>
      <c r="C419" s="36">
        <v>1172475</v>
      </c>
      <c r="D419" s="52">
        <v>46160</v>
      </c>
      <c r="E419" s="32" t="s">
        <v>15</v>
      </c>
      <c r="F419" s="32" t="s">
        <v>44</v>
      </c>
      <c r="G419" s="61" t="s">
        <v>71</v>
      </c>
      <c r="H419" s="72" t="s">
        <v>46</v>
      </c>
      <c r="I419" s="72">
        <v>1</v>
      </c>
      <c r="J419" s="37" t="s">
        <v>31</v>
      </c>
      <c r="K419" s="37">
        <v>17</v>
      </c>
      <c r="L419" s="17">
        <v>0.27</v>
      </c>
      <c r="M419" s="19">
        <v>4.92</v>
      </c>
      <c r="N419" s="18">
        <f t="shared" si="165"/>
        <v>4.6500000000000004</v>
      </c>
      <c r="O419" s="57" t="str">
        <f t="shared" si="163"/>
        <v>OK</v>
      </c>
    </row>
    <row r="420" spans="1:15" ht="12" customHeight="1" thickBot="1" x14ac:dyDescent="0.3">
      <c r="A420" s="93" t="s">
        <v>16</v>
      </c>
      <c r="B420" s="32">
        <v>5</v>
      </c>
      <c r="C420" s="36">
        <v>1172475</v>
      </c>
      <c r="D420" s="52">
        <v>46160</v>
      </c>
      <c r="E420" s="32" t="s">
        <v>15</v>
      </c>
      <c r="F420" s="32" t="str">
        <f t="shared" ref="F420:I420" si="196">F419</f>
        <v>M22</v>
      </c>
      <c r="G420" s="61" t="str">
        <f t="shared" si="196"/>
        <v>304</v>
      </c>
      <c r="H420" s="72" t="str">
        <f t="shared" si="196"/>
        <v>C5</v>
      </c>
      <c r="I420" s="72">
        <f t="shared" si="196"/>
        <v>1</v>
      </c>
      <c r="J420" s="37" t="s">
        <v>32</v>
      </c>
      <c r="K420" s="37">
        <v>17</v>
      </c>
      <c r="L420" s="17">
        <v>0.78</v>
      </c>
      <c r="M420" s="19">
        <v>1.93</v>
      </c>
      <c r="N420" s="18">
        <f t="shared" si="165"/>
        <v>1.1499999999999999</v>
      </c>
      <c r="O420" s="57" t="str">
        <f t="shared" ref="O420:O483" si="197">IF(N420&lt;=0,"Critico",IF(N420&lt;=0.2,"Cambio",IF(N420&lt;=1,"Seguimiento",IF(L420&gt;=2,"Reperfilado","OK"))))</f>
        <v>OK</v>
      </c>
    </row>
    <row r="421" spans="1:15" ht="12" customHeight="1" thickBot="1" x14ac:dyDescent="0.3">
      <c r="A421" s="93" t="s">
        <v>16</v>
      </c>
      <c r="B421" s="32">
        <v>5</v>
      </c>
      <c r="C421" s="36">
        <v>1172475</v>
      </c>
      <c r="D421" s="52">
        <v>46160</v>
      </c>
      <c r="E421" s="32" t="s">
        <v>15</v>
      </c>
      <c r="F421" s="32" t="str">
        <f t="shared" ref="F421:I421" si="198">F420</f>
        <v>M22</v>
      </c>
      <c r="G421" s="61" t="str">
        <f t="shared" si="198"/>
        <v>304</v>
      </c>
      <c r="H421" s="72" t="str">
        <f t="shared" si="198"/>
        <v>C5</v>
      </c>
      <c r="I421" s="72">
        <f t="shared" si="198"/>
        <v>1</v>
      </c>
      <c r="J421" s="37" t="s">
        <v>33</v>
      </c>
      <c r="K421" s="37">
        <v>18</v>
      </c>
      <c r="L421" s="17">
        <v>0.22</v>
      </c>
      <c r="M421" s="19">
        <v>1.93</v>
      </c>
      <c r="N421" s="18">
        <f t="shared" si="165"/>
        <v>1.71</v>
      </c>
      <c r="O421" s="57" t="str">
        <f t="shared" si="197"/>
        <v>OK</v>
      </c>
    </row>
    <row r="422" spans="1:15" ht="12" customHeight="1" thickBot="1" x14ac:dyDescent="0.3">
      <c r="A422" s="93" t="s">
        <v>16</v>
      </c>
      <c r="B422" s="32">
        <v>5</v>
      </c>
      <c r="C422" s="36">
        <v>1172475</v>
      </c>
      <c r="D422" s="52">
        <v>46160</v>
      </c>
      <c r="E422" s="32" t="s">
        <v>15</v>
      </c>
      <c r="F422" s="32" t="str">
        <f t="shared" ref="F422:I422" si="199">F421</f>
        <v>M22</v>
      </c>
      <c r="G422" s="61" t="str">
        <f t="shared" si="199"/>
        <v>304</v>
      </c>
      <c r="H422" s="72" t="str">
        <f t="shared" si="199"/>
        <v>C5</v>
      </c>
      <c r="I422" s="72">
        <f t="shared" si="199"/>
        <v>1</v>
      </c>
      <c r="J422" s="37" t="s">
        <v>34</v>
      </c>
      <c r="K422" s="37">
        <v>18</v>
      </c>
      <c r="L422" s="17">
        <v>0.26</v>
      </c>
      <c r="M422" s="19">
        <v>4.91</v>
      </c>
      <c r="N422" s="18">
        <f t="shared" si="165"/>
        <v>4.6500000000000004</v>
      </c>
      <c r="O422" s="57" t="str">
        <f t="shared" si="197"/>
        <v>OK</v>
      </c>
    </row>
    <row r="423" spans="1:15" ht="12" customHeight="1" thickBot="1" x14ac:dyDescent="0.3">
      <c r="A423" s="93" t="s">
        <v>16</v>
      </c>
      <c r="B423" s="32">
        <v>5</v>
      </c>
      <c r="C423" s="36">
        <v>1172475</v>
      </c>
      <c r="D423" s="52">
        <v>46160</v>
      </c>
      <c r="E423" s="32" t="s">
        <v>15</v>
      </c>
      <c r="F423" s="32" t="str">
        <f t="shared" ref="F423:H423" si="200">F422</f>
        <v>M22</v>
      </c>
      <c r="G423" s="61" t="str">
        <f t="shared" si="200"/>
        <v>304</v>
      </c>
      <c r="H423" s="72" t="str">
        <f t="shared" si="200"/>
        <v>C5</v>
      </c>
      <c r="I423" s="72">
        <v>2</v>
      </c>
      <c r="J423" s="37" t="s">
        <v>35</v>
      </c>
      <c r="K423" s="37">
        <v>19</v>
      </c>
      <c r="L423" s="17">
        <v>0.37</v>
      </c>
      <c r="M423" s="19">
        <v>2.37</v>
      </c>
      <c r="N423" s="18">
        <f t="shared" si="165"/>
        <v>2</v>
      </c>
      <c r="O423" s="57" t="str">
        <f t="shared" si="197"/>
        <v>OK</v>
      </c>
    </row>
    <row r="424" spans="1:15" ht="12" customHeight="1" thickBot="1" x14ac:dyDescent="0.3">
      <c r="A424" s="93" t="s">
        <v>16</v>
      </c>
      <c r="B424" s="32">
        <v>5</v>
      </c>
      <c r="C424" s="36">
        <v>1172475</v>
      </c>
      <c r="D424" s="52">
        <v>46160</v>
      </c>
      <c r="E424" s="32" t="s">
        <v>15</v>
      </c>
      <c r="F424" s="32" t="str">
        <f t="shared" ref="F424:I424" si="201">F423</f>
        <v>M22</v>
      </c>
      <c r="G424" s="61" t="str">
        <f t="shared" si="201"/>
        <v>304</v>
      </c>
      <c r="H424" s="72" t="str">
        <f t="shared" si="201"/>
        <v>C5</v>
      </c>
      <c r="I424" s="72">
        <f t="shared" si="201"/>
        <v>2</v>
      </c>
      <c r="J424" s="37" t="s">
        <v>36</v>
      </c>
      <c r="K424" s="37">
        <v>19</v>
      </c>
      <c r="L424" s="17">
        <v>0.26</v>
      </c>
      <c r="M424" s="19">
        <v>4.55</v>
      </c>
      <c r="N424" s="18">
        <f t="shared" si="165"/>
        <v>4.29</v>
      </c>
      <c r="O424" s="57" t="str">
        <f t="shared" si="197"/>
        <v>OK</v>
      </c>
    </row>
    <row r="425" spans="1:15" ht="12" customHeight="1" thickBot="1" x14ac:dyDescent="0.3">
      <c r="A425" s="93" t="s">
        <v>16</v>
      </c>
      <c r="B425" s="32">
        <v>5</v>
      </c>
      <c r="C425" s="36">
        <v>1172475</v>
      </c>
      <c r="D425" s="52">
        <v>46160</v>
      </c>
      <c r="E425" s="32" t="s">
        <v>15</v>
      </c>
      <c r="F425" s="32" t="str">
        <f t="shared" ref="F425:I425" si="202">F424</f>
        <v>M22</v>
      </c>
      <c r="G425" s="61" t="str">
        <f t="shared" si="202"/>
        <v>304</v>
      </c>
      <c r="H425" s="72" t="str">
        <f t="shared" si="202"/>
        <v>C5</v>
      </c>
      <c r="I425" s="72">
        <f t="shared" si="202"/>
        <v>2</v>
      </c>
      <c r="J425" s="37" t="s">
        <v>37</v>
      </c>
      <c r="K425" s="37">
        <v>20</v>
      </c>
      <c r="L425" s="17">
        <v>0.43</v>
      </c>
      <c r="M425" s="19">
        <v>4.7699999999999996</v>
      </c>
      <c r="N425" s="18">
        <f t="shared" si="165"/>
        <v>4.34</v>
      </c>
      <c r="O425" s="57" t="str">
        <f t="shared" si="197"/>
        <v>OK</v>
      </c>
    </row>
    <row r="426" spans="1:15" ht="12" customHeight="1" thickBot="1" x14ac:dyDescent="0.3">
      <c r="A426" s="93" t="s">
        <v>16</v>
      </c>
      <c r="B426" s="32">
        <v>5</v>
      </c>
      <c r="C426" s="36">
        <v>1172475</v>
      </c>
      <c r="D426" s="52">
        <v>46160</v>
      </c>
      <c r="E426" s="32" t="s">
        <v>15</v>
      </c>
      <c r="F426" s="32" t="str">
        <f t="shared" ref="F426:I426" si="203">F425</f>
        <v>M22</v>
      </c>
      <c r="G426" s="61" t="str">
        <f t="shared" si="203"/>
        <v>304</v>
      </c>
      <c r="H426" s="72" t="str">
        <f t="shared" si="203"/>
        <v>C5</v>
      </c>
      <c r="I426" s="72">
        <f t="shared" si="203"/>
        <v>2</v>
      </c>
      <c r="J426" s="37" t="s">
        <v>38</v>
      </c>
      <c r="K426" s="37">
        <v>20</v>
      </c>
      <c r="L426" s="17">
        <v>0.77</v>
      </c>
      <c r="M426" s="19">
        <v>4.0199999999999996</v>
      </c>
      <c r="N426" s="18">
        <f t="shared" si="165"/>
        <v>3.2499999999999996</v>
      </c>
      <c r="O426" s="57" t="str">
        <f t="shared" si="197"/>
        <v>OK</v>
      </c>
    </row>
    <row r="427" spans="1:15" ht="12" customHeight="1" thickBot="1" x14ac:dyDescent="0.3">
      <c r="A427" s="93" t="s">
        <v>16</v>
      </c>
      <c r="B427" s="32">
        <v>5</v>
      </c>
      <c r="C427" s="36">
        <v>1172475</v>
      </c>
      <c r="D427" s="52">
        <v>46160</v>
      </c>
      <c r="E427" s="32" t="s">
        <v>15</v>
      </c>
      <c r="F427" s="32" t="str">
        <f t="shared" ref="F427:G427" si="204">F426</f>
        <v>M22</v>
      </c>
      <c r="G427" s="61" t="str">
        <f t="shared" si="204"/>
        <v>304</v>
      </c>
      <c r="H427" s="72" t="s">
        <v>47</v>
      </c>
      <c r="I427" s="72">
        <v>1</v>
      </c>
      <c r="J427" s="37" t="s">
        <v>31</v>
      </c>
      <c r="K427" s="37">
        <v>21</v>
      </c>
      <c r="L427" s="17">
        <v>0.15</v>
      </c>
      <c r="M427" s="19">
        <v>4.63</v>
      </c>
      <c r="N427" s="18">
        <f t="shared" si="165"/>
        <v>4.4799999999999995</v>
      </c>
      <c r="O427" s="57" t="str">
        <f t="shared" si="197"/>
        <v>OK</v>
      </c>
    </row>
    <row r="428" spans="1:15" ht="12" customHeight="1" thickBot="1" x14ac:dyDescent="0.3">
      <c r="A428" s="93" t="s">
        <v>16</v>
      </c>
      <c r="B428" s="32">
        <v>5</v>
      </c>
      <c r="C428" s="36">
        <v>1172475</v>
      </c>
      <c r="D428" s="52">
        <v>46160</v>
      </c>
      <c r="E428" s="32" t="s">
        <v>15</v>
      </c>
      <c r="F428" s="32" t="str">
        <f t="shared" ref="F428:I428" si="205">F427</f>
        <v>M22</v>
      </c>
      <c r="G428" s="61" t="str">
        <f t="shared" si="205"/>
        <v>304</v>
      </c>
      <c r="H428" s="72" t="str">
        <f t="shared" si="205"/>
        <v>C6</v>
      </c>
      <c r="I428" s="72">
        <f t="shared" si="205"/>
        <v>1</v>
      </c>
      <c r="J428" s="37" t="s">
        <v>32</v>
      </c>
      <c r="K428" s="37">
        <v>21</v>
      </c>
      <c r="L428" s="17">
        <v>0.21</v>
      </c>
      <c r="M428" s="19">
        <v>4.7300000000000004</v>
      </c>
      <c r="N428" s="18">
        <f t="shared" si="165"/>
        <v>4.5200000000000005</v>
      </c>
      <c r="O428" s="57" t="str">
        <f t="shared" si="197"/>
        <v>OK</v>
      </c>
    </row>
    <row r="429" spans="1:15" ht="12" customHeight="1" thickBot="1" x14ac:dyDescent="0.3">
      <c r="A429" s="93" t="s">
        <v>16</v>
      </c>
      <c r="B429" s="32">
        <v>5</v>
      </c>
      <c r="C429" s="36">
        <v>1172475</v>
      </c>
      <c r="D429" s="52">
        <v>46160</v>
      </c>
      <c r="E429" s="32" t="s">
        <v>15</v>
      </c>
      <c r="F429" s="32" t="str">
        <f t="shared" ref="F429:I429" si="206">F428</f>
        <v>M22</v>
      </c>
      <c r="G429" s="61" t="str">
        <f t="shared" si="206"/>
        <v>304</v>
      </c>
      <c r="H429" s="72" t="str">
        <f t="shared" si="206"/>
        <v>C6</v>
      </c>
      <c r="I429" s="72">
        <f t="shared" si="206"/>
        <v>1</v>
      </c>
      <c r="J429" s="37" t="s">
        <v>33</v>
      </c>
      <c r="K429" s="37">
        <v>22</v>
      </c>
      <c r="L429" s="17">
        <v>0.28999999999999998</v>
      </c>
      <c r="M429" s="19">
        <v>4.6500000000000004</v>
      </c>
      <c r="N429" s="18">
        <f t="shared" si="165"/>
        <v>4.3600000000000003</v>
      </c>
      <c r="O429" s="57" t="str">
        <f t="shared" si="197"/>
        <v>OK</v>
      </c>
    </row>
    <row r="430" spans="1:15" ht="12" customHeight="1" thickBot="1" x14ac:dyDescent="0.3">
      <c r="A430" s="93" t="s">
        <v>16</v>
      </c>
      <c r="B430" s="32">
        <v>5</v>
      </c>
      <c r="C430" s="36">
        <v>1172475</v>
      </c>
      <c r="D430" s="52">
        <v>46160</v>
      </c>
      <c r="E430" s="32" t="s">
        <v>15</v>
      </c>
      <c r="F430" s="32" t="str">
        <f t="shared" ref="F430:I430" si="207">F429</f>
        <v>M22</v>
      </c>
      <c r="G430" s="61" t="str">
        <f t="shared" si="207"/>
        <v>304</v>
      </c>
      <c r="H430" s="72" t="str">
        <f t="shared" si="207"/>
        <v>C6</v>
      </c>
      <c r="I430" s="72">
        <f t="shared" si="207"/>
        <v>1</v>
      </c>
      <c r="J430" s="37" t="s">
        <v>34</v>
      </c>
      <c r="K430" s="37">
        <v>22</v>
      </c>
      <c r="L430" s="17">
        <v>0.21</v>
      </c>
      <c r="M430" s="19">
        <v>4.5</v>
      </c>
      <c r="N430" s="18">
        <f t="shared" si="165"/>
        <v>4.29</v>
      </c>
      <c r="O430" s="57" t="str">
        <f t="shared" si="197"/>
        <v>OK</v>
      </c>
    </row>
    <row r="431" spans="1:15" ht="12" customHeight="1" thickBot="1" x14ac:dyDescent="0.3">
      <c r="A431" s="93" t="s">
        <v>16</v>
      </c>
      <c r="B431" s="32">
        <v>5</v>
      </c>
      <c r="C431" s="36">
        <v>1172475</v>
      </c>
      <c r="D431" s="52">
        <v>46160</v>
      </c>
      <c r="E431" s="32" t="s">
        <v>15</v>
      </c>
      <c r="F431" s="32" t="str">
        <f t="shared" ref="F431:H431" si="208">F430</f>
        <v>M22</v>
      </c>
      <c r="G431" s="61" t="str">
        <f t="shared" si="208"/>
        <v>304</v>
      </c>
      <c r="H431" s="72" t="str">
        <f t="shared" si="208"/>
        <v>C6</v>
      </c>
      <c r="I431" s="72">
        <v>2</v>
      </c>
      <c r="J431" s="37" t="s">
        <v>35</v>
      </c>
      <c r="K431" s="37">
        <v>23</v>
      </c>
      <c r="L431" s="17">
        <v>0.34</v>
      </c>
      <c r="M431" s="19">
        <v>4.5999999999999996</v>
      </c>
      <c r="N431" s="18">
        <f t="shared" si="165"/>
        <v>4.26</v>
      </c>
      <c r="O431" s="57" t="str">
        <f t="shared" si="197"/>
        <v>OK</v>
      </c>
    </row>
    <row r="432" spans="1:15" ht="12" customHeight="1" thickBot="1" x14ac:dyDescent="0.3">
      <c r="A432" s="93" t="s">
        <v>16</v>
      </c>
      <c r="B432" s="32">
        <v>5</v>
      </c>
      <c r="C432" s="36">
        <v>1172475</v>
      </c>
      <c r="D432" s="52">
        <v>46160</v>
      </c>
      <c r="E432" s="32" t="s">
        <v>15</v>
      </c>
      <c r="F432" s="32" t="str">
        <f t="shared" ref="F432:I432" si="209">F431</f>
        <v>M22</v>
      </c>
      <c r="G432" s="61" t="str">
        <f t="shared" si="209"/>
        <v>304</v>
      </c>
      <c r="H432" s="72" t="str">
        <f t="shared" si="209"/>
        <v>C6</v>
      </c>
      <c r="I432" s="72">
        <f t="shared" si="209"/>
        <v>2</v>
      </c>
      <c r="J432" s="37" t="s">
        <v>36</v>
      </c>
      <c r="K432" s="37">
        <v>23</v>
      </c>
      <c r="L432" s="17">
        <v>0.36</v>
      </c>
      <c r="M432" s="19">
        <v>4.55</v>
      </c>
      <c r="N432" s="18">
        <f t="shared" si="165"/>
        <v>4.1899999999999995</v>
      </c>
      <c r="O432" s="57" t="str">
        <f t="shared" si="197"/>
        <v>OK</v>
      </c>
    </row>
    <row r="433" spans="1:15" ht="12" customHeight="1" thickBot="1" x14ac:dyDescent="0.3">
      <c r="A433" s="93" t="s">
        <v>16</v>
      </c>
      <c r="B433" s="32">
        <v>5</v>
      </c>
      <c r="C433" s="36">
        <v>1172475</v>
      </c>
      <c r="D433" s="52">
        <v>46160</v>
      </c>
      <c r="E433" s="32" t="s">
        <v>15</v>
      </c>
      <c r="F433" s="32" t="str">
        <f t="shared" ref="F433:I433" si="210">F432</f>
        <v>M22</v>
      </c>
      <c r="G433" s="61" t="str">
        <f t="shared" si="210"/>
        <v>304</v>
      </c>
      <c r="H433" s="72" t="str">
        <f t="shared" si="210"/>
        <v>C6</v>
      </c>
      <c r="I433" s="72">
        <f t="shared" si="210"/>
        <v>2</v>
      </c>
      <c r="J433" s="37" t="s">
        <v>37</v>
      </c>
      <c r="K433" s="37">
        <v>24</v>
      </c>
      <c r="L433" s="17">
        <v>0.3</v>
      </c>
      <c r="M433" s="19">
        <v>4.82</v>
      </c>
      <c r="N433" s="18">
        <f t="shared" si="165"/>
        <v>4.5200000000000005</v>
      </c>
      <c r="O433" s="57" t="str">
        <f t="shared" si="197"/>
        <v>OK</v>
      </c>
    </row>
    <row r="434" spans="1:15" ht="12" customHeight="1" thickBot="1" x14ac:dyDescent="0.3">
      <c r="A434" s="93" t="s">
        <v>16</v>
      </c>
      <c r="B434" s="32">
        <v>5</v>
      </c>
      <c r="C434" s="36">
        <v>1172475</v>
      </c>
      <c r="D434" s="52">
        <v>46160</v>
      </c>
      <c r="E434" s="32" t="s">
        <v>15</v>
      </c>
      <c r="F434" s="32" t="str">
        <f t="shared" ref="F434:I434" si="211">F433</f>
        <v>M22</v>
      </c>
      <c r="G434" s="61" t="str">
        <f t="shared" si="211"/>
        <v>304</v>
      </c>
      <c r="H434" s="72" t="str">
        <f t="shared" si="211"/>
        <v>C6</v>
      </c>
      <c r="I434" s="72">
        <f t="shared" si="211"/>
        <v>2</v>
      </c>
      <c r="J434" s="37" t="s">
        <v>38</v>
      </c>
      <c r="K434" s="37">
        <v>24</v>
      </c>
      <c r="L434" s="17">
        <v>0.19</v>
      </c>
      <c r="M434" s="19">
        <v>4.72</v>
      </c>
      <c r="N434" s="18">
        <f t="shared" si="165"/>
        <v>4.5299999999999994</v>
      </c>
      <c r="O434" s="57" t="str">
        <f t="shared" si="197"/>
        <v>OK</v>
      </c>
    </row>
    <row r="435" spans="1:15" ht="12" customHeight="1" thickBot="1" x14ac:dyDescent="0.3">
      <c r="A435" s="93" t="s">
        <v>16</v>
      </c>
      <c r="B435" s="32">
        <v>5</v>
      </c>
      <c r="C435" s="36">
        <v>1172475</v>
      </c>
      <c r="D435" s="52">
        <v>46160</v>
      </c>
      <c r="E435" s="32" t="s">
        <v>15</v>
      </c>
      <c r="F435" s="32" t="s">
        <v>44</v>
      </c>
      <c r="G435" s="61" t="s">
        <v>72</v>
      </c>
      <c r="H435" s="72" t="s">
        <v>47</v>
      </c>
      <c r="I435" s="72">
        <v>2</v>
      </c>
      <c r="J435" s="37" t="s">
        <v>31</v>
      </c>
      <c r="K435" s="37">
        <v>25</v>
      </c>
      <c r="L435" s="17">
        <v>0.12</v>
      </c>
      <c r="M435" s="19">
        <v>4.22</v>
      </c>
      <c r="N435" s="18">
        <f t="shared" si="165"/>
        <v>4.0999999999999996</v>
      </c>
      <c r="O435" s="57" t="str">
        <f t="shared" si="197"/>
        <v>OK</v>
      </c>
    </row>
    <row r="436" spans="1:15" ht="12" customHeight="1" thickBot="1" x14ac:dyDescent="0.3">
      <c r="A436" s="93" t="s">
        <v>16</v>
      </c>
      <c r="B436" s="32">
        <v>5</v>
      </c>
      <c r="C436" s="36">
        <v>1172475</v>
      </c>
      <c r="D436" s="52">
        <v>46160</v>
      </c>
      <c r="E436" s="32" t="s">
        <v>15</v>
      </c>
      <c r="F436" s="32" t="str">
        <f t="shared" ref="F436:I436" si="212">F435</f>
        <v>M22</v>
      </c>
      <c r="G436" s="61" t="str">
        <f t="shared" si="212"/>
        <v>310</v>
      </c>
      <c r="H436" s="72" t="str">
        <f t="shared" si="212"/>
        <v>C6</v>
      </c>
      <c r="I436" s="72">
        <f t="shared" si="212"/>
        <v>2</v>
      </c>
      <c r="J436" s="37" t="s">
        <v>32</v>
      </c>
      <c r="K436" s="37">
        <v>25</v>
      </c>
      <c r="L436" s="17">
        <v>0.31</v>
      </c>
      <c r="M436" s="19">
        <v>1.35</v>
      </c>
      <c r="N436" s="18">
        <f t="shared" si="165"/>
        <v>1.04</v>
      </c>
      <c r="O436" s="57" t="str">
        <f t="shared" si="197"/>
        <v>OK</v>
      </c>
    </row>
    <row r="437" spans="1:15" ht="12" customHeight="1" thickBot="1" x14ac:dyDescent="0.3">
      <c r="A437" s="93" t="s">
        <v>16</v>
      </c>
      <c r="B437" s="32">
        <v>5</v>
      </c>
      <c r="C437" s="36">
        <v>1172475</v>
      </c>
      <c r="D437" s="52">
        <v>46160</v>
      </c>
      <c r="E437" s="32" t="s">
        <v>15</v>
      </c>
      <c r="F437" s="32" t="str">
        <f t="shared" ref="F437:I437" si="213">F436</f>
        <v>M22</v>
      </c>
      <c r="G437" s="61" t="str">
        <f t="shared" si="213"/>
        <v>310</v>
      </c>
      <c r="H437" s="72" t="str">
        <f t="shared" si="213"/>
        <v>C6</v>
      </c>
      <c r="I437" s="72">
        <f t="shared" si="213"/>
        <v>2</v>
      </c>
      <c r="J437" s="37" t="s">
        <v>33</v>
      </c>
      <c r="K437" s="37">
        <v>26</v>
      </c>
      <c r="L437" s="17">
        <v>0.51</v>
      </c>
      <c r="M437" s="19">
        <v>4.13</v>
      </c>
      <c r="N437" s="18">
        <f t="shared" si="165"/>
        <v>3.62</v>
      </c>
      <c r="O437" s="57" t="str">
        <f t="shared" si="197"/>
        <v>OK</v>
      </c>
    </row>
    <row r="438" spans="1:15" ht="12" customHeight="1" thickBot="1" x14ac:dyDescent="0.3">
      <c r="A438" s="93" t="s">
        <v>16</v>
      </c>
      <c r="B438" s="32">
        <v>5</v>
      </c>
      <c r="C438" s="36">
        <v>1172475</v>
      </c>
      <c r="D438" s="52">
        <v>46160</v>
      </c>
      <c r="E438" s="32" t="s">
        <v>15</v>
      </c>
      <c r="F438" s="32" t="str">
        <f t="shared" ref="F438:I438" si="214">F437</f>
        <v>M22</v>
      </c>
      <c r="G438" s="61" t="str">
        <f t="shared" si="214"/>
        <v>310</v>
      </c>
      <c r="H438" s="72" t="str">
        <f t="shared" si="214"/>
        <v>C6</v>
      </c>
      <c r="I438" s="72">
        <f t="shared" si="214"/>
        <v>2</v>
      </c>
      <c r="J438" s="37" t="s">
        <v>34</v>
      </c>
      <c r="K438" s="37">
        <v>26</v>
      </c>
      <c r="L438" s="17">
        <v>0.39</v>
      </c>
      <c r="M438" s="19">
        <v>4.62</v>
      </c>
      <c r="N438" s="18">
        <f t="shared" si="165"/>
        <v>4.2300000000000004</v>
      </c>
      <c r="O438" s="57" t="str">
        <f t="shared" si="197"/>
        <v>OK</v>
      </c>
    </row>
    <row r="439" spans="1:15" ht="12" customHeight="1" thickBot="1" x14ac:dyDescent="0.3">
      <c r="A439" s="93" t="s">
        <v>16</v>
      </c>
      <c r="B439" s="32">
        <v>5</v>
      </c>
      <c r="C439" s="36">
        <v>1172475</v>
      </c>
      <c r="D439" s="52">
        <v>46160</v>
      </c>
      <c r="E439" s="32" t="s">
        <v>15</v>
      </c>
      <c r="F439" s="32" t="str">
        <f t="shared" ref="F439:H439" si="215">F438</f>
        <v>M22</v>
      </c>
      <c r="G439" s="61" t="str">
        <f t="shared" si="215"/>
        <v>310</v>
      </c>
      <c r="H439" s="72" t="str">
        <f t="shared" si="215"/>
        <v>C6</v>
      </c>
      <c r="I439" s="72">
        <v>1</v>
      </c>
      <c r="J439" s="37" t="s">
        <v>35</v>
      </c>
      <c r="K439" s="37">
        <v>27</v>
      </c>
      <c r="L439" s="17">
        <v>0.86</v>
      </c>
      <c r="M439" s="19">
        <v>3.66</v>
      </c>
      <c r="N439" s="18">
        <f t="shared" si="165"/>
        <v>2.8000000000000003</v>
      </c>
      <c r="O439" s="57" t="str">
        <f t="shared" si="197"/>
        <v>OK</v>
      </c>
    </row>
    <row r="440" spans="1:15" ht="12" customHeight="1" thickBot="1" x14ac:dyDescent="0.3">
      <c r="A440" s="93" t="s">
        <v>16</v>
      </c>
      <c r="B440" s="32">
        <v>5</v>
      </c>
      <c r="C440" s="36">
        <v>1172475</v>
      </c>
      <c r="D440" s="52">
        <v>46160</v>
      </c>
      <c r="E440" s="32" t="s">
        <v>15</v>
      </c>
      <c r="F440" s="32" t="str">
        <f t="shared" ref="F440:I440" si="216">F439</f>
        <v>M22</v>
      </c>
      <c r="G440" s="61" t="str">
        <f t="shared" si="216"/>
        <v>310</v>
      </c>
      <c r="H440" s="72" t="str">
        <f t="shared" si="216"/>
        <v>C6</v>
      </c>
      <c r="I440" s="72">
        <f t="shared" si="216"/>
        <v>1</v>
      </c>
      <c r="J440" s="37" t="s">
        <v>36</v>
      </c>
      <c r="K440" s="37">
        <v>27</v>
      </c>
      <c r="L440" s="17">
        <v>0.55000000000000004</v>
      </c>
      <c r="M440" s="19">
        <v>4</v>
      </c>
      <c r="N440" s="18">
        <f t="shared" si="165"/>
        <v>3.45</v>
      </c>
      <c r="O440" s="57" t="str">
        <f t="shared" si="197"/>
        <v>OK</v>
      </c>
    </row>
    <row r="441" spans="1:15" ht="12" customHeight="1" thickBot="1" x14ac:dyDescent="0.3">
      <c r="A441" s="93" t="s">
        <v>16</v>
      </c>
      <c r="B441" s="32">
        <v>5</v>
      </c>
      <c r="C441" s="36">
        <v>1172475</v>
      </c>
      <c r="D441" s="52">
        <v>46160</v>
      </c>
      <c r="E441" s="32" t="s">
        <v>15</v>
      </c>
      <c r="F441" s="32" t="str">
        <f t="shared" ref="F441:I441" si="217">F440</f>
        <v>M22</v>
      </c>
      <c r="G441" s="61" t="str">
        <f t="shared" si="217"/>
        <v>310</v>
      </c>
      <c r="H441" s="72" t="str">
        <f t="shared" si="217"/>
        <v>C6</v>
      </c>
      <c r="I441" s="72">
        <f t="shared" si="217"/>
        <v>1</v>
      </c>
      <c r="J441" s="37" t="s">
        <v>37</v>
      </c>
      <c r="K441" s="37">
        <v>28</v>
      </c>
      <c r="L441" s="17">
        <v>0.8</v>
      </c>
      <c r="M441" s="19">
        <v>4.51</v>
      </c>
      <c r="N441" s="18">
        <f t="shared" si="165"/>
        <v>3.71</v>
      </c>
      <c r="O441" s="57" t="str">
        <f t="shared" si="197"/>
        <v>OK</v>
      </c>
    </row>
    <row r="442" spans="1:15" ht="12" customHeight="1" thickBot="1" x14ac:dyDescent="0.3">
      <c r="A442" s="93" t="s">
        <v>16</v>
      </c>
      <c r="B442" s="32">
        <v>5</v>
      </c>
      <c r="C442" s="36">
        <v>1172475</v>
      </c>
      <c r="D442" s="52">
        <v>46160</v>
      </c>
      <c r="E442" s="32" t="s">
        <v>15</v>
      </c>
      <c r="F442" s="32" t="str">
        <f t="shared" ref="F442:I442" si="218">F441</f>
        <v>M22</v>
      </c>
      <c r="G442" s="61" t="str">
        <f t="shared" si="218"/>
        <v>310</v>
      </c>
      <c r="H442" s="72" t="str">
        <f t="shared" si="218"/>
        <v>C6</v>
      </c>
      <c r="I442" s="72">
        <f t="shared" si="218"/>
        <v>1</v>
      </c>
      <c r="J442" s="37" t="s">
        <v>38</v>
      </c>
      <c r="K442" s="37">
        <v>28</v>
      </c>
      <c r="L442" s="17">
        <v>0.38</v>
      </c>
      <c r="M442" s="19">
        <v>4.4400000000000004</v>
      </c>
      <c r="N442" s="18">
        <f t="shared" si="165"/>
        <v>4.0600000000000005</v>
      </c>
      <c r="O442" s="57" t="str">
        <f t="shared" si="197"/>
        <v>OK</v>
      </c>
    </row>
    <row r="443" spans="1:15" ht="12" customHeight="1" thickBot="1" x14ac:dyDescent="0.3">
      <c r="A443" s="93" t="s">
        <v>16</v>
      </c>
      <c r="B443" s="32">
        <v>5</v>
      </c>
      <c r="C443" s="36">
        <v>1172475</v>
      </c>
      <c r="D443" s="52">
        <v>46160</v>
      </c>
      <c r="E443" s="32" t="s">
        <v>15</v>
      </c>
      <c r="F443" s="32" t="str">
        <f t="shared" ref="F443:G443" si="219">F442</f>
        <v>M22</v>
      </c>
      <c r="G443" s="61" t="str">
        <f t="shared" si="219"/>
        <v>310</v>
      </c>
      <c r="H443" s="72" t="s">
        <v>46</v>
      </c>
      <c r="I443" s="72">
        <v>2</v>
      </c>
      <c r="J443" s="37" t="s">
        <v>31</v>
      </c>
      <c r="K443" s="37">
        <v>29</v>
      </c>
      <c r="L443" s="17">
        <v>1.03</v>
      </c>
      <c r="M443" s="19">
        <v>3.99</v>
      </c>
      <c r="N443" s="18">
        <f t="shared" si="165"/>
        <v>2.96</v>
      </c>
      <c r="O443" s="57" t="str">
        <f t="shared" si="197"/>
        <v>OK</v>
      </c>
    </row>
    <row r="444" spans="1:15" ht="12" customHeight="1" thickBot="1" x14ac:dyDescent="0.3">
      <c r="A444" s="93" t="s">
        <v>16</v>
      </c>
      <c r="B444" s="32">
        <v>5</v>
      </c>
      <c r="C444" s="36">
        <v>1172475</v>
      </c>
      <c r="D444" s="52">
        <v>46160</v>
      </c>
      <c r="E444" s="32" t="s">
        <v>15</v>
      </c>
      <c r="F444" s="32" t="str">
        <f t="shared" ref="F444:I444" si="220">F443</f>
        <v>M22</v>
      </c>
      <c r="G444" s="61" t="str">
        <f t="shared" si="220"/>
        <v>310</v>
      </c>
      <c r="H444" s="72" t="str">
        <f t="shared" si="220"/>
        <v>C5</v>
      </c>
      <c r="I444" s="72">
        <f t="shared" si="220"/>
        <v>2</v>
      </c>
      <c r="J444" s="37" t="s">
        <v>32</v>
      </c>
      <c r="K444" s="37">
        <v>29</v>
      </c>
      <c r="L444" s="17">
        <v>0.35</v>
      </c>
      <c r="M444" s="19">
        <v>1.1200000000000001</v>
      </c>
      <c r="N444" s="18">
        <f t="shared" si="165"/>
        <v>0.77000000000000013</v>
      </c>
      <c r="O444" s="57" t="str">
        <f t="shared" si="197"/>
        <v>Seguimiento</v>
      </c>
    </row>
    <row r="445" spans="1:15" ht="12" customHeight="1" thickBot="1" x14ac:dyDescent="0.3">
      <c r="A445" s="93" t="s">
        <v>16</v>
      </c>
      <c r="B445" s="32">
        <v>5</v>
      </c>
      <c r="C445" s="36">
        <v>1172475</v>
      </c>
      <c r="D445" s="52">
        <v>46160</v>
      </c>
      <c r="E445" s="32" t="s">
        <v>15</v>
      </c>
      <c r="F445" s="32" t="str">
        <f t="shared" ref="F445:I445" si="221">F444</f>
        <v>M22</v>
      </c>
      <c r="G445" s="61" t="str">
        <f t="shared" si="221"/>
        <v>310</v>
      </c>
      <c r="H445" s="72" t="str">
        <f t="shared" si="221"/>
        <v>C5</v>
      </c>
      <c r="I445" s="72">
        <f t="shared" si="221"/>
        <v>2</v>
      </c>
      <c r="J445" s="37" t="s">
        <v>33</v>
      </c>
      <c r="K445" s="37">
        <v>30</v>
      </c>
      <c r="L445" s="17">
        <v>0.5</v>
      </c>
      <c r="M445" s="19">
        <v>1.33</v>
      </c>
      <c r="N445" s="18">
        <f t="shared" si="165"/>
        <v>0.83000000000000007</v>
      </c>
      <c r="O445" s="57" t="str">
        <f t="shared" si="197"/>
        <v>Seguimiento</v>
      </c>
    </row>
    <row r="446" spans="1:15" ht="12" customHeight="1" thickBot="1" x14ac:dyDescent="0.3">
      <c r="A446" s="93" t="s">
        <v>16</v>
      </c>
      <c r="B446" s="32">
        <v>5</v>
      </c>
      <c r="C446" s="36">
        <v>1172475</v>
      </c>
      <c r="D446" s="52">
        <v>46160</v>
      </c>
      <c r="E446" s="32" t="s">
        <v>15</v>
      </c>
      <c r="F446" s="32" t="str">
        <f t="shared" ref="F446:I446" si="222">F445</f>
        <v>M22</v>
      </c>
      <c r="G446" s="61" t="str">
        <f t="shared" si="222"/>
        <v>310</v>
      </c>
      <c r="H446" s="72" t="str">
        <f t="shared" si="222"/>
        <v>C5</v>
      </c>
      <c r="I446" s="72">
        <f t="shared" si="222"/>
        <v>2</v>
      </c>
      <c r="J446" s="37" t="s">
        <v>34</v>
      </c>
      <c r="K446" s="37">
        <v>30</v>
      </c>
      <c r="L446" s="17">
        <v>0.22</v>
      </c>
      <c r="M446" s="19">
        <v>4.95</v>
      </c>
      <c r="N446" s="18">
        <f t="shared" si="165"/>
        <v>4.7300000000000004</v>
      </c>
      <c r="O446" s="57" t="str">
        <f t="shared" si="197"/>
        <v>OK</v>
      </c>
    </row>
    <row r="447" spans="1:15" ht="12" customHeight="1" thickBot="1" x14ac:dyDescent="0.3">
      <c r="A447" s="93" t="s">
        <v>16</v>
      </c>
      <c r="B447" s="32">
        <v>5</v>
      </c>
      <c r="C447" s="36">
        <v>1172475</v>
      </c>
      <c r="D447" s="52">
        <v>46160</v>
      </c>
      <c r="E447" s="32" t="s">
        <v>15</v>
      </c>
      <c r="F447" s="32" t="str">
        <f t="shared" ref="F447:H447" si="223">F446</f>
        <v>M22</v>
      </c>
      <c r="G447" s="61" t="str">
        <f t="shared" si="223"/>
        <v>310</v>
      </c>
      <c r="H447" s="72" t="str">
        <f t="shared" si="223"/>
        <v>C5</v>
      </c>
      <c r="I447" s="72">
        <v>1</v>
      </c>
      <c r="J447" s="37" t="s">
        <v>35</v>
      </c>
      <c r="K447" s="37">
        <v>31</v>
      </c>
      <c r="L447" s="17">
        <v>0.55000000000000004</v>
      </c>
      <c r="M447" s="19">
        <v>1.55</v>
      </c>
      <c r="N447" s="18">
        <f t="shared" si="165"/>
        <v>1</v>
      </c>
      <c r="O447" s="57" t="str">
        <f t="shared" si="197"/>
        <v>Seguimiento</v>
      </c>
    </row>
    <row r="448" spans="1:15" ht="12" customHeight="1" thickBot="1" x14ac:dyDescent="0.3">
      <c r="A448" s="93" t="s">
        <v>16</v>
      </c>
      <c r="B448" s="32">
        <v>5</v>
      </c>
      <c r="C448" s="36">
        <v>1172475</v>
      </c>
      <c r="D448" s="52">
        <v>46160</v>
      </c>
      <c r="E448" s="32" t="s">
        <v>15</v>
      </c>
      <c r="F448" s="32" t="str">
        <f t="shared" ref="F448:I448" si="224">F447</f>
        <v>M22</v>
      </c>
      <c r="G448" s="61" t="str">
        <f t="shared" si="224"/>
        <v>310</v>
      </c>
      <c r="H448" s="72" t="str">
        <f t="shared" si="224"/>
        <v>C5</v>
      </c>
      <c r="I448" s="72">
        <f t="shared" si="224"/>
        <v>1</v>
      </c>
      <c r="J448" s="37" t="s">
        <v>36</v>
      </c>
      <c r="K448" s="37">
        <v>31</v>
      </c>
      <c r="L448" s="17">
        <v>0.62</v>
      </c>
      <c r="M448" s="19">
        <v>2.2599999999999998</v>
      </c>
      <c r="N448" s="18">
        <f t="shared" si="165"/>
        <v>1.6399999999999997</v>
      </c>
      <c r="O448" s="57" t="str">
        <f t="shared" si="197"/>
        <v>OK</v>
      </c>
    </row>
    <row r="449" spans="1:15" ht="12" customHeight="1" thickBot="1" x14ac:dyDescent="0.3">
      <c r="A449" s="93" t="s">
        <v>16</v>
      </c>
      <c r="B449" s="32">
        <v>5</v>
      </c>
      <c r="C449" s="36">
        <v>1172475</v>
      </c>
      <c r="D449" s="52">
        <v>46160</v>
      </c>
      <c r="E449" s="32" t="s">
        <v>15</v>
      </c>
      <c r="F449" s="32" t="str">
        <f t="shared" ref="F449:I449" si="225">F448</f>
        <v>M22</v>
      </c>
      <c r="G449" s="61" t="str">
        <f t="shared" si="225"/>
        <v>310</v>
      </c>
      <c r="H449" s="72" t="str">
        <f t="shared" si="225"/>
        <v>C5</v>
      </c>
      <c r="I449" s="72">
        <f t="shared" si="225"/>
        <v>1</v>
      </c>
      <c r="J449" s="37" t="s">
        <v>37</v>
      </c>
      <c r="K449" s="37">
        <v>32</v>
      </c>
      <c r="L449" s="17">
        <v>1.01</v>
      </c>
      <c r="M449" s="19">
        <v>4.18</v>
      </c>
      <c r="N449" s="18">
        <f t="shared" si="165"/>
        <v>3.17</v>
      </c>
      <c r="O449" s="57" t="str">
        <f t="shared" si="197"/>
        <v>OK</v>
      </c>
    </row>
    <row r="450" spans="1:15" ht="12" customHeight="1" thickBot="1" x14ac:dyDescent="0.3">
      <c r="A450" s="93" t="s">
        <v>16</v>
      </c>
      <c r="B450" s="32">
        <v>5</v>
      </c>
      <c r="C450" s="36">
        <v>1172475</v>
      </c>
      <c r="D450" s="52">
        <v>46160</v>
      </c>
      <c r="E450" s="32" t="s">
        <v>15</v>
      </c>
      <c r="F450" s="32" t="str">
        <f t="shared" ref="F450:I450" si="226">F449</f>
        <v>M22</v>
      </c>
      <c r="G450" s="61" t="str">
        <f t="shared" si="226"/>
        <v>310</v>
      </c>
      <c r="H450" s="72" t="str">
        <f t="shared" si="226"/>
        <v>C5</v>
      </c>
      <c r="I450" s="72">
        <f t="shared" si="226"/>
        <v>1</v>
      </c>
      <c r="J450" s="37" t="s">
        <v>38</v>
      </c>
      <c r="K450" s="37">
        <v>32</v>
      </c>
      <c r="L450" s="23">
        <v>0.28000000000000003</v>
      </c>
      <c r="M450" s="24">
        <v>1.17</v>
      </c>
      <c r="N450" s="18">
        <f t="shared" si="165"/>
        <v>0.8899999999999999</v>
      </c>
      <c r="O450" s="57" t="str">
        <f t="shared" si="197"/>
        <v>Seguimiento</v>
      </c>
    </row>
    <row r="451" spans="1:15" ht="12" customHeight="1" thickBot="1" x14ac:dyDescent="0.3">
      <c r="A451" s="93" t="s">
        <v>16</v>
      </c>
      <c r="B451" s="32">
        <v>5</v>
      </c>
      <c r="C451" s="36">
        <v>1172475</v>
      </c>
      <c r="D451" s="52">
        <v>46160</v>
      </c>
      <c r="E451" s="32" t="s">
        <v>15</v>
      </c>
      <c r="F451" s="32" t="s">
        <v>40</v>
      </c>
      <c r="G451" s="61" t="s">
        <v>73</v>
      </c>
      <c r="H451" s="72" t="s">
        <v>43</v>
      </c>
      <c r="I451" s="72">
        <v>1</v>
      </c>
      <c r="J451" s="37" t="s">
        <v>31</v>
      </c>
      <c r="K451" s="37">
        <v>33</v>
      </c>
      <c r="L451" s="17">
        <v>0.51</v>
      </c>
      <c r="M451" s="17">
        <v>3.49</v>
      </c>
      <c r="N451" s="18">
        <f t="shared" ref="N451:N514" si="227">+M451-L451</f>
        <v>2.9800000000000004</v>
      </c>
      <c r="O451" s="57" t="str">
        <f t="shared" si="197"/>
        <v>OK</v>
      </c>
    </row>
    <row r="452" spans="1:15" ht="12" customHeight="1" thickBot="1" x14ac:dyDescent="0.3">
      <c r="A452" s="93" t="s">
        <v>16</v>
      </c>
      <c r="B452" s="32">
        <v>5</v>
      </c>
      <c r="C452" s="36">
        <v>1172475</v>
      </c>
      <c r="D452" s="52">
        <v>46160</v>
      </c>
      <c r="E452" s="32" t="s">
        <v>15</v>
      </c>
      <c r="F452" s="32" t="str">
        <f t="shared" ref="F452:I452" si="228">F451</f>
        <v>M21</v>
      </c>
      <c r="G452" s="61" t="str">
        <f t="shared" si="228"/>
        <v>022</v>
      </c>
      <c r="H452" s="72" t="str">
        <f t="shared" si="228"/>
        <v>C4</v>
      </c>
      <c r="I452" s="72">
        <f t="shared" si="228"/>
        <v>1</v>
      </c>
      <c r="J452" s="37" t="s">
        <v>32</v>
      </c>
      <c r="K452" s="37">
        <v>33</v>
      </c>
      <c r="L452" s="17">
        <v>0.96</v>
      </c>
      <c r="M452" s="17">
        <v>3.69</v>
      </c>
      <c r="N452" s="18">
        <f t="shared" si="227"/>
        <v>2.73</v>
      </c>
      <c r="O452" s="57" t="str">
        <f t="shared" si="197"/>
        <v>OK</v>
      </c>
    </row>
    <row r="453" spans="1:15" ht="12" customHeight="1" thickBot="1" x14ac:dyDescent="0.3">
      <c r="A453" s="93" t="s">
        <v>16</v>
      </c>
      <c r="B453" s="32">
        <v>5</v>
      </c>
      <c r="C453" s="36">
        <v>1172475</v>
      </c>
      <c r="D453" s="52">
        <v>46160</v>
      </c>
      <c r="E453" s="32" t="s">
        <v>15</v>
      </c>
      <c r="F453" s="32" t="str">
        <f t="shared" ref="F453:I453" si="229">F452</f>
        <v>M21</v>
      </c>
      <c r="G453" s="61" t="str">
        <f t="shared" si="229"/>
        <v>022</v>
      </c>
      <c r="H453" s="72" t="str">
        <f t="shared" si="229"/>
        <v>C4</v>
      </c>
      <c r="I453" s="72">
        <f t="shared" si="229"/>
        <v>1</v>
      </c>
      <c r="J453" s="37" t="s">
        <v>33</v>
      </c>
      <c r="K453" s="37">
        <v>34</v>
      </c>
      <c r="L453" s="17">
        <v>1.54</v>
      </c>
      <c r="M453" s="17">
        <v>3.02</v>
      </c>
      <c r="N453" s="18">
        <f t="shared" si="227"/>
        <v>1.48</v>
      </c>
      <c r="O453" s="57" t="str">
        <f t="shared" si="197"/>
        <v>OK</v>
      </c>
    </row>
    <row r="454" spans="1:15" ht="12" customHeight="1" thickBot="1" x14ac:dyDescent="0.3">
      <c r="A454" s="93" t="s">
        <v>16</v>
      </c>
      <c r="B454" s="32">
        <v>5</v>
      </c>
      <c r="C454" s="36">
        <v>1172475</v>
      </c>
      <c r="D454" s="52">
        <v>46160</v>
      </c>
      <c r="E454" s="32" t="s">
        <v>15</v>
      </c>
      <c r="F454" s="32" t="str">
        <f t="shared" ref="F454:I454" si="230">F453</f>
        <v>M21</v>
      </c>
      <c r="G454" s="61" t="str">
        <f t="shared" si="230"/>
        <v>022</v>
      </c>
      <c r="H454" s="72" t="str">
        <f t="shared" si="230"/>
        <v>C4</v>
      </c>
      <c r="I454" s="72">
        <f t="shared" si="230"/>
        <v>1</v>
      </c>
      <c r="J454" s="37" t="s">
        <v>34</v>
      </c>
      <c r="K454" s="37">
        <v>34</v>
      </c>
      <c r="L454" s="17">
        <v>0.71</v>
      </c>
      <c r="M454" s="17">
        <v>3.64</v>
      </c>
      <c r="N454" s="18">
        <f t="shared" si="227"/>
        <v>2.93</v>
      </c>
      <c r="O454" s="57" t="str">
        <f t="shared" si="197"/>
        <v>OK</v>
      </c>
    </row>
    <row r="455" spans="1:15" ht="12" customHeight="1" thickBot="1" x14ac:dyDescent="0.3">
      <c r="A455" s="93" t="s">
        <v>16</v>
      </c>
      <c r="B455" s="32">
        <v>5</v>
      </c>
      <c r="C455" s="36">
        <v>1172475</v>
      </c>
      <c r="D455" s="52">
        <v>46160</v>
      </c>
      <c r="E455" s="32" t="s">
        <v>15</v>
      </c>
      <c r="F455" s="32" t="str">
        <f t="shared" ref="F455:H455" si="231">F454</f>
        <v>M21</v>
      </c>
      <c r="G455" s="61" t="str">
        <f t="shared" si="231"/>
        <v>022</v>
      </c>
      <c r="H455" s="72" t="str">
        <f t="shared" si="231"/>
        <v>C4</v>
      </c>
      <c r="I455" s="72">
        <v>2</v>
      </c>
      <c r="J455" s="37" t="s">
        <v>35</v>
      </c>
      <c r="K455" s="37">
        <v>35</v>
      </c>
      <c r="L455" s="17">
        <v>0.27</v>
      </c>
      <c r="M455" s="17">
        <v>4.3899999999999997</v>
      </c>
      <c r="N455" s="18">
        <f t="shared" si="227"/>
        <v>4.1199999999999992</v>
      </c>
      <c r="O455" s="57" t="str">
        <f t="shared" si="197"/>
        <v>OK</v>
      </c>
    </row>
    <row r="456" spans="1:15" ht="12" customHeight="1" thickBot="1" x14ac:dyDescent="0.3">
      <c r="A456" s="93" t="s">
        <v>16</v>
      </c>
      <c r="B456" s="32">
        <v>5</v>
      </c>
      <c r="C456" s="36">
        <v>1172475</v>
      </c>
      <c r="D456" s="52">
        <v>46160</v>
      </c>
      <c r="E456" s="32" t="s">
        <v>15</v>
      </c>
      <c r="F456" s="32" t="str">
        <f t="shared" ref="F456:I456" si="232">F455</f>
        <v>M21</v>
      </c>
      <c r="G456" s="61" t="str">
        <f t="shared" si="232"/>
        <v>022</v>
      </c>
      <c r="H456" s="72" t="str">
        <f t="shared" si="232"/>
        <v>C4</v>
      </c>
      <c r="I456" s="72">
        <f t="shared" si="232"/>
        <v>2</v>
      </c>
      <c r="J456" s="37" t="s">
        <v>36</v>
      </c>
      <c r="K456" s="37">
        <v>35</v>
      </c>
      <c r="L456" s="17">
        <v>0.96</v>
      </c>
      <c r="M456" s="17">
        <v>3.97</v>
      </c>
      <c r="N456" s="18">
        <f t="shared" si="227"/>
        <v>3.0100000000000002</v>
      </c>
      <c r="O456" s="57" t="str">
        <f t="shared" si="197"/>
        <v>OK</v>
      </c>
    </row>
    <row r="457" spans="1:15" ht="12" customHeight="1" thickBot="1" x14ac:dyDescent="0.3">
      <c r="A457" s="93" t="s">
        <v>16</v>
      </c>
      <c r="B457" s="32">
        <v>5</v>
      </c>
      <c r="C457" s="36">
        <v>1172475</v>
      </c>
      <c r="D457" s="52">
        <v>46160</v>
      </c>
      <c r="E457" s="32" t="s">
        <v>15</v>
      </c>
      <c r="F457" s="32" t="str">
        <f t="shared" ref="F457:I457" si="233">F456</f>
        <v>M21</v>
      </c>
      <c r="G457" s="61" t="str">
        <f t="shared" si="233"/>
        <v>022</v>
      </c>
      <c r="H457" s="72" t="str">
        <f t="shared" si="233"/>
        <v>C4</v>
      </c>
      <c r="I457" s="72">
        <f t="shared" si="233"/>
        <v>2</v>
      </c>
      <c r="J457" s="37" t="s">
        <v>37</v>
      </c>
      <c r="K457" s="37">
        <v>36</v>
      </c>
      <c r="L457" s="17">
        <v>0.7</v>
      </c>
      <c r="M457" s="17">
        <v>2.14</v>
      </c>
      <c r="N457" s="18">
        <f t="shared" si="227"/>
        <v>1.4400000000000002</v>
      </c>
      <c r="O457" s="57" t="str">
        <f t="shared" si="197"/>
        <v>OK</v>
      </c>
    </row>
    <row r="458" spans="1:15" ht="12" customHeight="1" thickBot="1" x14ac:dyDescent="0.3">
      <c r="A458" s="93" t="s">
        <v>16</v>
      </c>
      <c r="B458" s="32">
        <v>5</v>
      </c>
      <c r="C458" s="36">
        <v>1172475</v>
      </c>
      <c r="D458" s="52">
        <v>46160</v>
      </c>
      <c r="E458" s="32" t="s">
        <v>15</v>
      </c>
      <c r="F458" s="32" t="str">
        <f t="shared" ref="F458:I458" si="234">F457</f>
        <v>M21</v>
      </c>
      <c r="G458" s="61" t="str">
        <f t="shared" si="234"/>
        <v>022</v>
      </c>
      <c r="H458" s="72" t="str">
        <f t="shared" si="234"/>
        <v>C4</v>
      </c>
      <c r="I458" s="72">
        <f t="shared" si="234"/>
        <v>2</v>
      </c>
      <c r="J458" s="37" t="s">
        <v>38</v>
      </c>
      <c r="K458" s="37">
        <v>36</v>
      </c>
      <c r="L458" s="17">
        <v>1.22</v>
      </c>
      <c r="M458" s="17">
        <v>4.34</v>
      </c>
      <c r="N458" s="18">
        <f t="shared" si="227"/>
        <v>3.12</v>
      </c>
      <c r="O458" s="57" t="str">
        <f t="shared" si="197"/>
        <v>OK</v>
      </c>
    </row>
    <row r="459" spans="1:15" ht="12" customHeight="1" thickBot="1" x14ac:dyDescent="0.3">
      <c r="A459" s="93" t="s">
        <v>16</v>
      </c>
      <c r="B459" s="32">
        <v>5</v>
      </c>
      <c r="C459" s="36">
        <v>1172475</v>
      </c>
      <c r="D459" s="52">
        <v>46160</v>
      </c>
      <c r="E459" s="32" t="s">
        <v>15</v>
      </c>
      <c r="F459" s="32" t="str">
        <f t="shared" ref="F459:G459" si="235">F458</f>
        <v>M21</v>
      </c>
      <c r="G459" s="61" t="str">
        <f t="shared" si="235"/>
        <v>022</v>
      </c>
      <c r="H459" s="72" t="s">
        <v>42</v>
      </c>
      <c r="I459" s="72">
        <v>1</v>
      </c>
      <c r="J459" s="37" t="s">
        <v>31</v>
      </c>
      <c r="K459" s="37">
        <v>37</v>
      </c>
      <c r="L459" s="17">
        <v>0.39</v>
      </c>
      <c r="M459" s="17">
        <v>1.24</v>
      </c>
      <c r="N459" s="18">
        <f t="shared" si="227"/>
        <v>0.85</v>
      </c>
      <c r="O459" s="57" t="str">
        <f t="shared" si="197"/>
        <v>Seguimiento</v>
      </c>
    </row>
    <row r="460" spans="1:15" ht="12" customHeight="1" thickBot="1" x14ac:dyDescent="0.3">
      <c r="A460" s="93" t="s">
        <v>16</v>
      </c>
      <c r="B460" s="32">
        <v>5</v>
      </c>
      <c r="C460" s="36">
        <v>1172475</v>
      </c>
      <c r="D460" s="52">
        <v>46160</v>
      </c>
      <c r="E460" s="32" t="s">
        <v>15</v>
      </c>
      <c r="F460" s="32" t="str">
        <f t="shared" ref="F460:I460" si="236">F459</f>
        <v>M21</v>
      </c>
      <c r="G460" s="61" t="str">
        <f t="shared" si="236"/>
        <v>022</v>
      </c>
      <c r="H460" s="72" t="str">
        <f t="shared" si="236"/>
        <v>C3</v>
      </c>
      <c r="I460" s="72">
        <f t="shared" si="236"/>
        <v>1</v>
      </c>
      <c r="J460" s="37" t="s">
        <v>32</v>
      </c>
      <c r="K460" s="37">
        <v>37</v>
      </c>
      <c r="L460" s="17">
        <v>1.06</v>
      </c>
      <c r="M460" s="17">
        <v>4.0999999999999996</v>
      </c>
      <c r="N460" s="18">
        <f t="shared" si="227"/>
        <v>3.0399999999999996</v>
      </c>
      <c r="O460" s="57" t="str">
        <f t="shared" si="197"/>
        <v>OK</v>
      </c>
    </row>
    <row r="461" spans="1:15" ht="12" customHeight="1" thickBot="1" x14ac:dyDescent="0.3">
      <c r="A461" s="93" t="s">
        <v>16</v>
      </c>
      <c r="B461" s="32">
        <v>5</v>
      </c>
      <c r="C461" s="36">
        <v>1172475</v>
      </c>
      <c r="D461" s="52">
        <v>46160</v>
      </c>
      <c r="E461" s="32" t="s">
        <v>15</v>
      </c>
      <c r="F461" s="32" t="str">
        <f t="shared" ref="F461:I461" si="237">F460</f>
        <v>M21</v>
      </c>
      <c r="G461" s="61" t="str">
        <f t="shared" si="237"/>
        <v>022</v>
      </c>
      <c r="H461" s="72" t="str">
        <f t="shared" si="237"/>
        <v>C3</v>
      </c>
      <c r="I461" s="72">
        <f t="shared" si="237"/>
        <v>1</v>
      </c>
      <c r="J461" s="37" t="s">
        <v>33</v>
      </c>
      <c r="K461" s="37">
        <v>38</v>
      </c>
      <c r="L461" s="17">
        <v>0.11</v>
      </c>
      <c r="M461" s="17">
        <v>4.51</v>
      </c>
      <c r="N461" s="18">
        <f t="shared" si="227"/>
        <v>4.3999999999999995</v>
      </c>
      <c r="O461" s="57" t="str">
        <f t="shared" si="197"/>
        <v>OK</v>
      </c>
    </row>
    <row r="462" spans="1:15" ht="12" customHeight="1" thickBot="1" x14ac:dyDescent="0.3">
      <c r="A462" s="93" t="s">
        <v>16</v>
      </c>
      <c r="B462" s="32">
        <v>5</v>
      </c>
      <c r="C462" s="36">
        <v>1172475</v>
      </c>
      <c r="D462" s="52">
        <v>46160</v>
      </c>
      <c r="E462" s="32" t="s">
        <v>15</v>
      </c>
      <c r="F462" s="32" t="str">
        <f t="shared" ref="F462:I462" si="238">F461</f>
        <v>M21</v>
      </c>
      <c r="G462" s="61" t="str">
        <f t="shared" si="238"/>
        <v>022</v>
      </c>
      <c r="H462" s="72" t="str">
        <f t="shared" si="238"/>
        <v>C3</v>
      </c>
      <c r="I462" s="72">
        <f t="shared" si="238"/>
        <v>1</v>
      </c>
      <c r="J462" s="37" t="s">
        <v>34</v>
      </c>
      <c r="K462" s="37">
        <v>38</v>
      </c>
      <c r="L462" s="17">
        <v>1.1100000000000001</v>
      </c>
      <c r="M462" s="17">
        <v>2.69</v>
      </c>
      <c r="N462" s="18">
        <f t="shared" si="227"/>
        <v>1.5799999999999998</v>
      </c>
      <c r="O462" s="57" t="str">
        <f t="shared" si="197"/>
        <v>OK</v>
      </c>
    </row>
    <row r="463" spans="1:15" ht="12" customHeight="1" thickBot="1" x14ac:dyDescent="0.3">
      <c r="A463" s="93" t="s">
        <v>16</v>
      </c>
      <c r="B463" s="32">
        <v>5</v>
      </c>
      <c r="C463" s="36">
        <v>1172475</v>
      </c>
      <c r="D463" s="52">
        <v>46160</v>
      </c>
      <c r="E463" s="32" t="s">
        <v>15</v>
      </c>
      <c r="F463" s="32" t="str">
        <f t="shared" ref="F463:H463" si="239">F462</f>
        <v>M21</v>
      </c>
      <c r="G463" s="61" t="str">
        <f t="shared" si="239"/>
        <v>022</v>
      </c>
      <c r="H463" s="72" t="str">
        <f t="shared" si="239"/>
        <v>C3</v>
      </c>
      <c r="I463" s="72">
        <v>2</v>
      </c>
      <c r="J463" s="37" t="s">
        <v>35</v>
      </c>
      <c r="K463" s="37">
        <v>39</v>
      </c>
      <c r="L463" s="17">
        <v>0.51</v>
      </c>
      <c r="M463" s="17">
        <v>1.02</v>
      </c>
      <c r="N463" s="18">
        <f t="shared" si="227"/>
        <v>0.51</v>
      </c>
      <c r="O463" s="57" t="str">
        <f t="shared" si="197"/>
        <v>Seguimiento</v>
      </c>
    </row>
    <row r="464" spans="1:15" ht="12" customHeight="1" thickBot="1" x14ac:dyDescent="0.3">
      <c r="A464" s="93" t="s">
        <v>16</v>
      </c>
      <c r="B464" s="32">
        <v>5</v>
      </c>
      <c r="C464" s="36">
        <v>1172475</v>
      </c>
      <c r="D464" s="52">
        <v>46160</v>
      </c>
      <c r="E464" s="32" t="s">
        <v>15</v>
      </c>
      <c r="F464" s="32" t="str">
        <f t="shared" ref="F464:I464" si="240">F463</f>
        <v>M21</v>
      </c>
      <c r="G464" s="61" t="str">
        <f t="shared" si="240"/>
        <v>022</v>
      </c>
      <c r="H464" s="72" t="str">
        <f t="shared" si="240"/>
        <v>C3</v>
      </c>
      <c r="I464" s="72">
        <f t="shared" si="240"/>
        <v>2</v>
      </c>
      <c r="J464" s="37" t="s">
        <v>36</v>
      </c>
      <c r="K464" s="37">
        <v>39</v>
      </c>
      <c r="L464" s="17">
        <v>0.96</v>
      </c>
      <c r="M464" s="17">
        <v>3.96</v>
      </c>
      <c r="N464" s="18">
        <f t="shared" si="227"/>
        <v>3</v>
      </c>
      <c r="O464" s="57" t="str">
        <f t="shared" si="197"/>
        <v>OK</v>
      </c>
    </row>
    <row r="465" spans="1:15" ht="12" customHeight="1" thickBot="1" x14ac:dyDescent="0.3">
      <c r="A465" s="93" t="s">
        <v>16</v>
      </c>
      <c r="B465" s="32">
        <v>5</v>
      </c>
      <c r="C465" s="36">
        <v>1172475</v>
      </c>
      <c r="D465" s="52">
        <v>46160</v>
      </c>
      <c r="E465" s="32" t="s">
        <v>15</v>
      </c>
      <c r="F465" s="32" t="str">
        <f t="shared" ref="F465:I465" si="241">F464</f>
        <v>M21</v>
      </c>
      <c r="G465" s="61" t="str">
        <f t="shared" si="241"/>
        <v>022</v>
      </c>
      <c r="H465" s="72" t="str">
        <f t="shared" si="241"/>
        <v>C3</v>
      </c>
      <c r="I465" s="72">
        <f t="shared" si="241"/>
        <v>2</v>
      </c>
      <c r="J465" s="37" t="s">
        <v>37</v>
      </c>
      <c r="K465" s="37">
        <v>40</v>
      </c>
      <c r="L465" s="17">
        <v>1.1299999999999999</v>
      </c>
      <c r="M465" s="17">
        <v>4.26</v>
      </c>
      <c r="N465" s="18">
        <f t="shared" si="227"/>
        <v>3.13</v>
      </c>
      <c r="O465" s="57" t="str">
        <f t="shared" si="197"/>
        <v>OK</v>
      </c>
    </row>
    <row r="466" spans="1:15" ht="12" customHeight="1" thickBot="1" x14ac:dyDescent="0.3">
      <c r="A466" s="93" t="s">
        <v>16</v>
      </c>
      <c r="B466" s="32">
        <v>5</v>
      </c>
      <c r="C466" s="36">
        <v>1172475</v>
      </c>
      <c r="D466" s="52">
        <v>46160</v>
      </c>
      <c r="E466" s="32" t="s">
        <v>15</v>
      </c>
      <c r="F466" s="32" t="str">
        <f t="shared" ref="F466:I466" si="242">F465</f>
        <v>M21</v>
      </c>
      <c r="G466" s="61" t="str">
        <f t="shared" si="242"/>
        <v>022</v>
      </c>
      <c r="H466" s="72" t="str">
        <f t="shared" si="242"/>
        <v>C3</v>
      </c>
      <c r="I466" s="72">
        <f t="shared" si="242"/>
        <v>2</v>
      </c>
      <c r="J466" s="37" t="s">
        <v>38</v>
      </c>
      <c r="K466" s="37">
        <v>40</v>
      </c>
      <c r="L466" s="17">
        <v>0.08</v>
      </c>
      <c r="M466" s="17">
        <v>4.93</v>
      </c>
      <c r="N466" s="18">
        <f t="shared" si="227"/>
        <v>4.8499999999999996</v>
      </c>
      <c r="O466" s="57" t="str">
        <f t="shared" si="197"/>
        <v>OK</v>
      </c>
    </row>
    <row r="467" spans="1:15" ht="12" customHeight="1" thickBot="1" x14ac:dyDescent="0.3">
      <c r="A467" s="93" t="s">
        <v>16</v>
      </c>
      <c r="B467" s="32">
        <v>5</v>
      </c>
      <c r="C467" s="36">
        <v>1172475</v>
      </c>
      <c r="D467" s="52">
        <v>46160</v>
      </c>
      <c r="E467" s="32" t="s">
        <v>15</v>
      </c>
      <c r="F467" s="32" t="s">
        <v>28</v>
      </c>
      <c r="G467" s="61" t="s">
        <v>74</v>
      </c>
      <c r="H467" s="72" t="s">
        <v>39</v>
      </c>
      <c r="I467" s="72">
        <v>1</v>
      </c>
      <c r="J467" s="37" t="s">
        <v>31</v>
      </c>
      <c r="K467" s="37">
        <v>41</v>
      </c>
      <c r="L467" s="17">
        <v>0.12</v>
      </c>
      <c r="M467" s="17">
        <v>4.71</v>
      </c>
      <c r="N467" s="18">
        <f t="shared" si="227"/>
        <v>4.59</v>
      </c>
      <c r="O467" s="57" t="str">
        <f t="shared" si="197"/>
        <v>OK</v>
      </c>
    </row>
    <row r="468" spans="1:15" ht="12" customHeight="1" thickBot="1" x14ac:dyDescent="0.3">
      <c r="A468" s="93" t="s">
        <v>16</v>
      </c>
      <c r="B468" s="32">
        <v>5</v>
      </c>
      <c r="C468" s="36">
        <v>1172475</v>
      </c>
      <c r="D468" s="52">
        <v>46160</v>
      </c>
      <c r="E468" s="32" t="s">
        <v>15</v>
      </c>
      <c r="F468" s="32" t="str">
        <f t="shared" ref="F468:I468" si="243">F467</f>
        <v>M20</v>
      </c>
      <c r="G468" s="61" t="str">
        <f t="shared" si="243"/>
        <v>021</v>
      </c>
      <c r="H468" s="72" t="str">
        <f t="shared" si="243"/>
        <v>C2</v>
      </c>
      <c r="I468" s="72">
        <f t="shared" si="243"/>
        <v>1</v>
      </c>
      <c r="J468" s="37" t="s">
        <v>32</v>
      </c>
      <c r="K468" s="37">
        <v>41</v>
      </c>
      <c r="L468" s="17">
        <v>0.26</v>
      </c>
      <c r="M468" s="17">
        <v>3.04</v>
      </c>
      <c r="N468" s="18">
        <f t="shared" si="227"/>
        <v>2.7800000000000002</v>
      </c>
      <c r="O468" s="57" t="str">
        <f t="shared" si="197"/>
        <v>OK</v>
      </c>
    </row>
    <row r="469" spans="1:15" ht="12" customHeight="1" thickBot="1" x14ac:dyDescent="0.3">
      <c r="A469" s="93" t="s">
        <v>16</v>
      </c>
      <c r="B469" s="32">
        <v>5</v>
      </c>
      <c r="C469" s="36">
        <v>1172475</v>
      </c>
      <c r="D469" s="52">
        <v>46160</v>
      </c>
      <c r="E469" s="32" t="s">
        <v>15</v>
      </c>
      <c r="F469" s="32" t="str">
        <f t="shared" ref="F469:I469" si="244">F468</f>
        <v>M20</v>
      </c>
      <c r="G469" s="61" t="str">
        <f t="shared" si="244"/>
        <v>021</v>
      </c>
      <c r="H469" s="72" t="str">
        <f t="shared" si="244"/>
        <v>C2</v>
      </c>
      <c r="I469" s="72">
        <f t="shared" si="244"/>
        <v>1</v>
      </c>
      <c r="J469" s="37" t="s">
        <v>33</v>
      </c>
      <c r="K469" s="37">
        <v>42</v>
      </c>
      <c r="L469" s="17">
        <v>0.91</v>
      </c>
      <c r="M469" s="17">
        <v>3.85</v>
      </c>
      <c r="N469" s="18">
        <f t="shared" si="227"/>
        <v>2.94</v>
      </c>
      <c r="O469" s="57" t="str">
        <f t="shared" si="197"/>
        <v>OK</v>
      </c>
    </row>
    <row r="470" spans="1:15" ht="12" customHeight="1" thickBot="1" x14ac:dyDescent="0.3">
      <c r="A470" s="93" t="s">
        <v>16</v>
      </c>
      <c r="B470" s="32">
        <v>5</v>
      </c>
      <c r="C470" s="36">
        <v>1172475</v>
      </c>
      <c r="D470" s="52">
        <v>46160</v>
      </c>
      <c r="E470" s="32" t="s">
        <v>15</v>
      </c>
      <c r="F470" s="32" t="str">
        <f t="shared" ref="F470:I470" si="245">F469</f>
        <v>M20</v>
      </c>
      <c r="G470" s="61" t="str">
        <f t="shared" si="245"/>
        <v>021</v>
      </c>
      <c r="H470" s="72" t="str">
        <f t="shared" si="245"/>
        <v>C2</v>
      </c>
      <c r="I470" s="72">
        <f t="shared" si="245"/>
        <v>1</v>
      </c>
      <c r="J470" s="37" t="s">
        <v>34</v>
      </c>
      <c r="K470" s="37">
        <v>42</v>
      </c>
      <c r="L470" s="17">
        <v>1.1100000000000001</v>
      </c>
      <c r="M470" s="17">
        <v>3.8</v>
      </c>
      <c r="N470" s="18">
        <f t="shared" si="227"/>
        <v>2.6899999999999995</v>
      </c>
      <c r="O470" s="57" t="str">
        <f t="shared" si="197"/>
        <v>OK</v>
      </c>
    </row>
    <row r="471" spans="1:15" ht="12" customHeight="1" thickBot="1" x14ac:dyDescent="0.3">
      <c r="A471" s="93" t="s">
        <v>16</v>
      </c>
      <c r="B471" s="32">
        <v>5</v>
      </c>
      <c r="C471" s="36">
        <v>1172475</v>
      </c>
      <c r="D471" s="52">
        <v>46160</v>
      </c>
      <c r="E471" s="32" t="s">
        <v>15</v>
      </c>
      <c r="F471" s="32" t="str">
        <f t="shared" ref="F471:H471" si="246">F470</f>
        <v>M20</v>
      </c>
      <c r="G471" s="61" t="str">
        <f t="shared" si="246"/>
        <v>021</v>
      </c>
      <c r="H471" s="72" t="str">
        <f t="shared" si="246"/>
        <v>C2</v>
      </c>
      <c r="I471" s="72">
        <v>2</v>
      </c>
      <c r="J471" s="37" t="s">
        <v>35</v>
      </c>
      <c r="K471" s="37">
        <v>43</v>
      </c>
      <c r="L471" s="17">
        <v>0.95</v>
      </c>
      <c r="M471" s="17">
        <v>2.41</v>
      </c>
      <c r="N471" s="18">
        <f t="shared" si="227"/>
        <v>1.4600000000000002</v>
      </c>
      <c r="O471" s="57" t="str">
        <f t="shared" si="197"/>
        <v>OK</v>
      </c>
    </row>
    <row r="472" spans="1:15" ht="12" customHeight="1" thickBot="1" x14ac:dyDescent="0.3">
      <c r="A472" s="93" t="s">
        <v>16</v>
      </c>
      <c r="B472" s="32">
        <v>5</v>
      </c>
      <c r="C472" s="36">
        <v>1172475</v>
      </c>
      <c r="D472" s="52">
        <v>46160</v>
      </c>
      <c r="E472" s="32" t="s">
        <v>15</v>
      </c>
      <c r="F472" s="32" t="str">
        <f t="shared" ref="F472:I472" si="247">F471</f>
        <v>M20</v>
      </c>
      <c r="G472" s="61" t="str">
        <f t="shared" si="247"/>
        <v>021</v>
      </c>
      <c r="H472" s="72" t="str">
        <f t="shared" si="247"/>
        <v>C2</v>
      </c>
      <c r="I472" s="72">
        <f t="shared" si="247"/>
        <v>2</v>
      </c>
      <c r="J472" s="37" t="s">
        <v>36</v>
      </c>
      <c r="K472" s="37">
        <v>43</v>
      </c>
      <c r="L472" s="17">
        <v>0.52</v>
      </c>
      <c r="M472" s="17">
        <v>3.91</v>
      </c>
      <c r="N472" s="18">
        <f t="shared" si="227"/>
        <v>3.39</v>
      </c>
      <c r="O472" s="57" t="str">
        <f t="shared" si="197"/>
        <v>OK</v>
      </c>
    </row>
    <row r="473" spans="1:15" ht="12" customHeight="1" thickBot="1" x14ac:dyDescent="0.3">
      <c r="A473" s="93" t="s">
        <v>16</v>
      </c>
      <c r="B473" s="32">
        <v>5</v>
      </c>
      <c r="C473" s="36">
        <v>1172475</v>
      </c>
      <c r="D473" s="52">
        <v>46160</v>
      </c>
      <c r="E473" s="32" t="s">
        <v>15</v>
      </c>
      <c r="F473" s="32" t="str">
        <f t="shared" ref="F473:I473" si="248">F472</f>
        <v>M20</v>
      </c>
      <c r="G473" s="61" t="str">
        <f t="shared" si="248"/>
        <v>021</v>
      </c>
      <c r="H473" s="72" t="str">
        <f t="shared" si="248"/>
        <v>C2</v>
      </c>
      <c r="I473" s="72">
        <f t="shared" si="248"/>
        <v>2</v>
      </c>
      <c r="J473" s="37" t="s">
        <v>37</v>
      </c>
      <c r="K473" s="37">
        <v>44</v>
      </c>
      <c r="L473" s="17">
        <v>0.56999999999999995</v>
      </c>
      <c r="M473" s="17">
        <v>4.03</v>
      </c>
      <c r="N473" s="18">
        <f t="shared" si="227"/>
        <v>3.4600000000000004</v>
      </c>
      <c r="O473" s="57" t="str">
        <f t="shared" si="197"/>
        <v>OK</v>
      </c>
    </row>
    <row r="474" spans="1:15" ht="12" customHeight="1" thickBot="1" x14ac:dyDescent="0.3">
      <c r="A474" s="93" t="s">
        <v>16</v>
      </c>
      <c r="B474" s="32">
        <v>5</v>
      </c>
      <c r="C474" s="36">
        <v>1172475</v>
      </c>
      <c r="D474" s="52">
        <v>46160</v>
      </c>
      <c r="E474" s="32" t="s">
        <v>15</v>
      </c>
      <c r="F474" s="32" t="str">
        <f t="shared" ref="F474:I474" si="249">F473</f>
        <v>M20</v>
      </c>
      <c r="G474" s="61" t="str">
        <f t="shared" si="249"/>
        <v>021</v>
      </c>
      <c r="H474" s="72" t="str">
        <f t="shared" si="249"/>
        <v>C2</v>
      </c>
      <c r="I474" s="72">
        <f t="shared" si="249"/>
        <v>2</v>
      </c>
      <c r="J474" s="37" t="s">
        <v>38</v>
      </c>
      <c r="K474" s="37">
        <v>44</v>
      </c>
      <c r="L474" s="17">
        <v>0.35</v>
      </c>
      <c r="M474" s="17">
        <v>2.1</v>
      </c>
      <c r="N474" s="18">
        <f t="shared" si="227"/>
        <v>1.75</v>
      </c>
      <c r="O474" s="57" t="str">
        <f t="shared" si="197"/>
        <v>OK</v>
      </c>
    </row>
    <row r="475" spans="1:15" ht="12" customHeight="1" thickBot="1" x14ac:dyDescent="0.3">
      <c r="A475" s="93" t="s">
        <v>16</v>
      </c>
      <c r="B475" s="32">
        <v>5</v>
      </c>
      <c r="C475" s="36">
        <v>1172475</v>
      </c>
      <c r="D475" s="52">
        <v>46160</v>
      </c>
      <c r="E475" s="32" t="s">
        <v>15</v>
      </c>
      <c r="F475" s="32" t="str">
        <f t="shared" ref="F475:G475" si="250">F474</f>
        <v>M20</v>
      </c>
      <c r="G475" s="61" t="str">
        <f t="shared" si="250"/>
        <v>021</v>
      </c>
      <c r="H475" s="72" t="s">
        <v>30</v>
      </c>
      <c r="I475" s="72">
        <v>1</v>
      </c>
      <c r="J475" s="37" t="s">
        <v>31</v>
      </c>
      <c r="K475" s="37">
        <v>45</v>
      </c>
      <c r="L475" s="17">
        <v>0.2</v>
      </c>
      <c r="M475" s="17">
        <v>1.54</v>
      </c>
      <c r="N475" s="18">
        <f t="shared" si="227"/>
        <v>1.34</v>
      </c>
      <c r="O475" s="57" t="str">
        <f t="shared" si="197"/>
        <v>OK</v>
      </c>
    </row>
    <row r="476" spans="1:15" ht="12" customHeight="1" thickBot="1" x14ac:dyDescent="0.3">
      <c r="A476" s="93" t="s">
        <v>16</v>
      </c>
      <c r="B476" s="32">
        <v>5</v>
      </c>
      <c r="C476" s="36">
        <v>1172475</v>
      </c>
      <c r="D476" s="52">
        <v>46160</v>
      </c>
      <c r="E476" s="32" t="s">
        <v>15</v>
      </c>
      <c r="F476" s="32" t="str">
        <f t="shared" ref="F476:I476" si="251">F475</f>
        <v>M20</v>
      </c>
      <c r="G476" s="61" t="str">
        <f t="shared" si="251"/>
        <v>021</v>
      </c>
      <c r="H476" s="72" t="str">
        <f t="shared" si="251"/>
        <v>C1</v>
      </c>
      <c r="I476" s="72">
        <f t="shared" si="251"/>
        <v>1</v>
      </c>
      <c r="J476" s="37" t="s">
        <v>32</v>
      </c>
      <c r="K476" s="37">
        <v>45</v>
      </c>
      <c r="L476" s="17">
        <v>0.48</v>
      </c>
      <c r="M476" s="17">
        <v>3.23</v>
      </c>
      <c r="N476" s="18">
        <f t="shared" si="227"/>
        <v>2.75</v>
      </c>
      <c r="O476" s="57" t="str">
        <f t="shared" si="197"/>
        <v>OK</v>
      </c>
    </row>
    <row r="477" spans="1:15" ht="12" customHeight="1" thickBot="1" x14ac:dyDescent="0.3">
      <c r="A477" s="93" t="s">
        <v>16</v>
      </c>
      <c r="B477" s="32">
        <v>5</v>
      </c>
      <c r="C477" s="36">
        <v>1172475</v>
      </c>
      <c r="D477" s="52">
        <v>46160</v>
      </c>
      <c r="E477" s="32" t="s">
        <v>15</v>
      </c>
      <c r="F477" s="32" t="str">
        <f t="shared" ref="F477:I477" si="252">F476</f>
        <v>M20</v>
      </c>
      <c r="G477" s="61" t="str">
        <f t="shared" si="252"/>
        <v>021</v>
      </c>
      <c r="H477" s="72" t="str">
        <f t="shared" si="252"/>
        <v>C1</v>
      </c>
      <c r="I477" s="72">
        <f t="shared" si="252"/>
        <v>1</v>
      </c>
      <c r="J477" s="37" t="s">
        <v>33</v>
      </c>
      <c r="K477" s="37">
        <v>46</v>
      </c>
      <c r="L477" s="17">
        <v>0.79</v>
      </c>
      <c r="M477" s="17">
        <v>3.97</v>
      </c>
      <c r="N477" s="18">
        <f t="shared" si="227"/>
        <v>3.18</v>
      </c>
      <c r="O477" s="57" t="str">
        <f t="shared" si="197"/>
        <v>OK</v>
      </c>
    </row>
    <row r="478" spans="1:15" ht="12" customHeight="1" thickBot="1" x14ac:dyDescent="0.3">
      <c r="A478" s="93" t="s">
        <v>16</v>
      </c>
      <c r="B478" s="32">
        <v>5</v>
      </c>
      <c r="C478" s="36">
        <v>1172475</v>
      </c>
      <c r="D478" s="52">
        <v>46160</v>
      </c>
      <c r="E478" s="32" t="s">
        <v>15</v>
      </c>
      <c r="F478" s="32" t="str">
        <f t="shared" ref="F478:I478" si="253">F477</f>
        <v>M20</v>
      </c>
      <c r="G478" s="61" t="str">
        <f t="shared" si="253"/>
        <v>021</v>
      </c>
      <c r="H478" s="72" t="str">
        <f t="shared" si="253"/>
        <v>C1</v>
      </c>
      <c r="I478" s="72">
        <f t="shared" si="253"/>
        <v>1</v>
      </c>
      <c r="J478" s="37" t="s">
        <v>34</v>
      </c>
      <c r="K478" s="37">
        <v>46</v>
      </c>
      <c r="L478" s="17">
        <v>0.13</v>
      </c>
      <c r="M478" s="17">
        <v>2.82</v>
      </c>
      <c r="N478" s="18">
        <f t="shared" si="227"/>
        <v>2.69</v>
      </c>
      <c r="O478" s="57" t="str">
        <f t="shared" si="197"/>
        <v>OK</v>
      </c>
    </row>
    <row r="479" spans="1:15" ht="12" customHeight="1" thickBot="1" x14ac:dyDescent="0.3">
      <c r="A479" s="93" t="s">
        <v>16</v>
      </c>
      <c r="B479" s="32">
        <v>5</v>
      </c>
      <c r="C479" s="36">
        <v>1172475</v>
      </c>
      <c r="D479" s="52">
        <v>46160</v>
      </c>
      <c r="E479" s="32" t="s">
        <v>15</v>
      </c>
      <c r="F479" s="32" t="str">
        <f t="shared" ref="F479:H479" si="254">F478</f>
        <v>M20</v>
      </c>
      <c r="G479" s="61" t="str">
        <f t="shared" si="254"/>
        <v>021</v>
      </c>
      <c r="H479" s="72" t="str">
        <f t="shared" si="254"/>
        <v>C1</v>
      </c>
      <c r="I479" s="72">
        <v>2</v>
      </c>
      <c r="J479" s="37" t="s">
        <v>35</v>
      </c>
      <c r="K479" s="37">
        <v>47</v>
      </c>
      <c r="L479" s="17">
        <v>0.1</v>
      </c>
      <c r="M479" s="17">
        <v>5.04</v>
      </c>
      <c r="N479" s="18">
        <f t="shared" si="227"/>
        <v>4.9400000000000004</v>
      </c>
      <c r="O479" s="57" t="str">
        <f t="shared" si="197"/>
        <v>OK</v>
      </c>
    </row>
    <row r="480" spans="1:15" ht="12" customHeight="1" thickBot="1" x14ac:dyDescent="0.3">
      <c r="A480" s="93" t="s">
        <v>16</v>
      </c>
      <c r="B480" s="32">
        <v>5</v>
      </c>
      <c r="C480" s="36">
        <v>1172475</v>
      </c>
      <c r="D480" s="52">
        <v>46160</v>
      </c>
      <c r="E480" s="32" t="s">
        <v>15</v>
      </c>
      <c r="F480" s="32" t="str">
        <f t="shared" ref="F480:I480" si="255">F479</f>
        <v>M20</v>
      </c>
      <c r="G480" s="61" t="str">
        <f t="shared" si="255"/>
        <v>021</v>
      </c>
      <c r="H480" s="72" t="str">
        <f t="shared" si="255"/>
        <v>C1</v>
      </c>
      <c r="I480" s="72">
        <f t="shared" si="255"/>
        <v>2</v>
      </c>
      <c r="J480" s="37" t="s">
        <v>36</v>
      </c>
      <c r="K480" s="37">
        <v>47</v>
      </c>
      <c r="L480" s="17">
        <v>0.06</v>
      </c>
      <c r="M480" s="17">
        <v>4.96</v>
      </c>
      <c r="N480" s="18">
        <f t="shared" si="227"/>
        <v>4.9000000000000004</v>
      </c>
      <c r="O480" s="57" t="str">
        <f t="shared" si="197"/>
        <v>OK</v>
      </c>
    </row>
    <row r="481" spans="1:15" ht="12" customHeight="1" thickBot="1" x14ac:dyDescent="0.3">
      <c r="A481" s="93" t="s">
        <v>16</v>
      </c>
      <c r="B481" s="32">
        <v>5</v>
      </c>
      <c r="C481" s="36">
        <v>1172475</v>
      </c>
      <c r="D481" s="52">
        <v>46160</v>
      </c>
      <c r="E481" s="32" t="s">
        <v>15</v>
      </c>
      <c r="F481" s="32" t="str">
        <f t="shared" ref="F481:I481" si="256">F480</f>
        <v>M20</v>
      </c>
      <c r="G481" s="61" t="str">
        <f t="shared" si="256"/>
        <v>021</v>
      </c>
      <c r="H481" s="72" t="str">
        <f t="shared" si="256"/>
        <v>C1</v>
      </c>
      <c r="I481" s="72">
        <f t="shared" si="256"/>
        <v>2</v>
      </c>
      <c r="J481" s="37" t="s">
        <v>37</v>
      </c>
      <c r="K481" s="37">
        <v>48</v>
      </c>
      <c r="L481" s="17">
        <v>0.8</v>
      </c>
      <c r="M481" s="17">
        <v>3.45</v>
      </c>
      <c r="N481" s="18">
        <f t="shared" si="227"/>
        <v>2.6500000000000004</v>
      </c>
      <c r="O481" s="57" t="str">
        <f t="shared" si="197"/>
        <v>OK</v>
      </c>
    </row>
    <row r="482" spans="1:15" ht="12" customHeight="1" thickBot="1" x14ac:dyDescent="0.3">
      <c r="A482" s="93" t="s">
        <v>16</v>
      </c>
      <c r="B482" s="32">
        <v>5</v>
      </c>
      <c r="C482" s="36">
        <v>1172475</v>
      </c>
      <c r="D482" s="52">
        <v>46160</v>
      </c>
      <c r="E482" s="32" t="s">
        <v>15</v>
      </c>
      <c r="F482" s="32" t="str">
        <f t="shared" ref="F482:I482" si="257">F481</f>
        <v>M20</v>
      </c>
      <c r="G482" s="61" t="str">
        <f t="shared" si="257"/>
        <v>021</v>
      </c>
      <c r="H482" s="72" t="str">
        <f t="shared" si="257"/>
        <v>C1</v>
      </c>
      <c r="I482" s="72">
        <f t="shared" si="257"/>
        <v>2</v>
      </c>
      <c r="J482" s="37" t="s">
        <v>38</v>
      </c>
      <c r="K482" s="37">
        <v>48</v>
      </c>
      <c r="L482" s="118">
        <v>0.51</v>
      </c>
      <c r="M482" s="119">
        <v>2.48</v>
      </c>
      <c r="N482" s="120">
        <f t="shared" si="227"/>
        <v>1.97</v>
      </c>
      <c r="O482" s="57" t="str">
        <f t="shared" si="197"/>
        <v>OK</v>
      </c>
    </row>
    <row r="483" spans="1:15" ht="12" customHeight="1" thickBot="1" x14ac:dyDescent="0.3">
      <c r="A483" s="93" t="s">
        <v>16</v>
      </c>
      <c r="B483" s="36">
        <v>5</v>
      </c>
      <c r="C483" s="36">
        <v>1179159</v>
      </c>
      <c r="D483" s="52">
        <v>46197</v>
      </c>
      <c r="E483" s="36" t="s">
        <v>15</v>
      </c>
      <c r="F483" s="36" t="s">
        <v>28</v>
      </c>
      <c r="G483" s="80" t="s">
        <v>56</v>
      </c>
      <c r="H483" s="81" t="s">
        <v>30</v>
      </c>
      <c r="I483" s="81">
        <v>1</v>
      </c>
      <c r="J483" s="40" t="s">
        <v>31</v>
      </c>
      <c r="K483" s="37">
        <v>1</v>
      </c>
      <c r="L483" s="17">
        <v>0.24</v>
      </c>
      <c r="M483" s="19">
        <v>4.0599999999999996</v>
      </c>
      <c r="N483" s="18">
        <f t="shared" si="227"/>
        <v>3.8199999999999994</v>
      </c>
      <c r="O483" s="57" t="str">
        <f t="shared" si="197"/>
        <v>OK</v>
      </c>
    </row>
    <row r="484" spans="1:15" ht="12" customHeight="1" thickBot="1" x14ac:dyDescent="0.3">
      <c r="A484" s="93" t="s">
        <v>16</v>
      </c>
      <c r="B484" s="32">
        <v>5</v>
      </c>
      <c r="C484" s="36">
        <v>1179159</v>
      </c>
      <c r="D484" s="52">
        <v>46197</v>
      </c>
      <c r="E484" s="32" t="s">
        <v>15</v>
      </c>
      <c r="F484" s="32" t="str">
        <f t="shared" ref="F484:I484" si="258">F483</f>
        <v>M20</v>
      </c>
      <c r="G484" s="61" t="str">
        <f t="shared" si="258"/>
        <v>017</v>
      </c>
      <c r="H484" s="72" t="str">
        <f t="shared" si="258"/>
        <v>C1</v>
      </c>
      <c r="I484" s="72">
        <f t="shared" si="258"/>
        <v>1</v>
      </c>
      <c r="J484" s="37" t="s">
        <v>32</v>
      </c>
      <c r="K484" s="37">
        <v>1</v>
      </c>
      <c r="L484" s="17">
        <v>0.95</v>
      </c>
      <c r="M484" s="19">
        <v>2.4900000000000002</v>
      </c>
      <c r="N484" s="18">
        <f t="shared" si="227"/>
        <v>1.5400000000000003</v>
      </c>
      <c r="O484" s="57" t="str">
        <f t="shared" ref="O484:O547" si="259">IF(N484&lt;=0,"Critico",IF(N484&lt;=0.2,"Cambio",IF(N484&lt;=1,"Seguimiento",IF(L484&gt;=2,"Reperfilado","OK"))))</f>
        <v>OK</v>
      </c>
    </row>
    <row r="485" spans="1:15" ht="12" customHeight="1" thickBot="1" x14ac:dyDescent="0.3">
      <c r="A485" s="93" t="s">
        <v>16</v>
      </c>
      <c r="B485" s="32">
        <v>5</v>
      </c>
      <c r="C485" s="36">
        <v>1179159</v>
      </c>
      <c r="D485" s="52">
        <v>46197</v>
      </c>
      <c r="E485" s="32" t="s">
        <v>15</v>
      </c>
      <c r="F485" s="32" t="str">
        <f t="shared" ref="F485:I485" si="260">F484</f>
        <v>M20</v>
      </c>
      <c r="G485" s="61" t="str">
        <f t="shared" si="260"/>
        <v>017</v>
      </c>
      <c r="H485" s="72" t="str">
        <f t="shared" si="260"/>
        <v>C1</v>
      </c>
      <c r="I485" s="72">
        <f t="shared" si="260"/>
        <v>1</v>
      </c>
      <c r="J485" s="37" t="s">
        <v>33</v>
      </c>
      <c r="K485" s="37">
        <v>2</v>
      </c>
      <c r="L485" s="17">
        <v>0.09</v>
      </c>
      <c r="M485" s="19">
        <v>4.55</v>
      </c>
      <c r="N485" s="18">
        <f t="shared" si="227"/>
        <v>4.46</v>
      </c>
      <c r="O485" s="57" t="str">
        <f t="shared" si="259"/>
        <v>OK</v>
      </c>
    </row>
    <row r="486" spans="1:15" ht="12" customHeight="1" thickBot="1" x14ac:dyDescent="0.3">
      <c r="A486" s="93" t="s">
        <v>16</v>
      </c>
      <c r="B486" s="32">
        <v>5</v>
      </c>
      <c r="C486" s="36">
        <v>1179159</v>
      </c>
      <c r="D486" s="52">
        <v>46197</v>
      </c>
      <c r="E486" s="32" t="s">
        <v>15</v>
      </c>
      <c r="F486" s="32" t="str">
        <f t="shared" ref="F486:I486" si="261">F485</f>
        <v>M20</v>
      </c>
      <c r="G486" s="61" t="str">
        <f t="shared" si="261"/>
        <v>017</v>
      </c>
      <c r="H486" s="72" t="str">
        <f t="shared" si="261"/>
        <v>C1</v>
      </c>
      <c r="I486" s="72">
        <f t="shared" si="261"/>
        <v>1</v>
      </c>
      <c r="J486" s="37" t="s">
        <v>34</v>
      </c>
      <c r="K486" s="37">
        <v>2</v>
      </c>
      <c r="L486" s="17">
        <v>0.38</v>
      </c>
      <c r="M486" s="19">
        <v>1.03</v>
      </c>
      <c r="N486" s="18">
        <f t="shared" si="227"/>
        <v>0.65</v>
      </c>
      <c r="O486" s="57" t="str">
        <f t="shared" si="259"/>
        <v>Seguimiento</v>
      </c>
    </row>
    <row r="487" spans="1:15" ht="12" customHeight="1" thickBot="1" x14ac:dyDescent="0.3">
      <c r="A487" s="93" t="s">
        <v>16</v>
      </c>
      <c r="B487" s="32">
        <v>5</v>
      </c>
      <c r="C487" s="36">
        <v>1179159</v>
      </c>
      <c r="D487" s="52">
        <v>46197</v>
      </c>
      <c r="E487" s="32" t="s">
        <v>15</v>
      </c>
      <c r="F487" s="32" t="str">
        <f t="shared" ref="F487:H487" si="262">F486</f>
        <v>M20</v>
      </c>
      <c r="G487" s="61" t="str">
        <f t="shared" si="262"/>
        <v>017</v>
      </c>
      <c r="H487" s="72" t="str">
        <f t="shared" si="262"/>
        <v>C1</v>
      </c>
      <c r="I487" s="72">
        <v>2</v>
      </c>
      <c r="J487" s="37" t="s">
        <v>35</v>
      </c>
      <c r="K487" s="37">
        <v>3</v>
      </c>
      <c r="L487" s="17">
        <v>0.2</v>
      </c>
      <c r="M487" s="19">
        <v>4.67</v>
      </c>
      <c r="N487" s="18">
        <f t="shared" si="227"/>
        <v>4.47</v>
      </c>
      <c r="O487" s="57" t="str">
        <f t="shared" si="259"/>
        <v>OK</v>
      </c>
    </row>
    <row r="488" spans="1:15" ht="12" customHeight="1" thickBot="1" x14ac:dyDescent="0.3">
      <c r="A488" s="93" t="s">
        <v>16</v>
      </c>
      <c r="B488" s="32">
        <v>5</v>
      </c>
      <c r="C488" s="36">
        <v>1179159</v>
      </c>
      <c r="D488" s="52">
        <v>46197</v>
      </c>
      <c r="E488" s="32" t="s">
        <v>15</v>
      </c>
      <c r="F488" s="32" t="str">
        <f t="shared" ref="F488:I488" si="263">F487</f>
        <v>M20</v>
      </c>
      <c r="G488" s="61" t="str">
        <f t="shared" si="263"/>
        <v>017</v>
      </c>
      <c r="H488" s="72" t="str">
        <f t="shared" si="263"/>
        <v>C1</v>
      </c>
      <c r="I488" s="72">
        <f t="shared" si="263"/>
        <v>2</v>
      </c>
      <c r="J488" s="37" t="s">
        <v>36</v>
      </c>
      <c r="K488" s="37">
        <v>3</v>
      </c>
      <c r="L488" s="17">
        <v>0.55000000000000004</v>
      </c>
      <c r="M488" s="19">
        <v>2.39</v>
      </c>
      <c r="N488" s="18">
        <f t="shared" si="227"/>
        <v>1.84</v>
      </c>
      <c r="O488" s="57" t="str">
        <f t="shared" si="259"/>
        <v>OK</v>
      </c>
    </row>
    <row r="489" spans="1:15" ht="12" customHeight="1" thickBot="1" x14ac:dyDescent="0.3">
      <c r="A489" s="93" t="s">
        <v>16</v>
      </c>
      <c r="B489" s="32">
        <v>5</v>
      </c>
      <c r="C489" s="36">
        <v>1179159</v>
      </c>
      <c r="D489" s="52">
        <v>46197</v>
      </c>
      <c r="E489" s="32" t="s">
        <v>15</v>
      </c>
      <c r="F489" s="32" t="str">
        <f t="shared" ref="F489:I489" si="264">F488</f>
        <v>M20</v>
      </c>
      <c r="G489" s="61" t="str">
        <f t="shared" si="264"/>
        <v>017</v>
      </c>
      <c r="H489" s="72" t="str">
        <f t="shared" si="264"/>
        <v>C1</v>
      </c>
      <c r="I489" s="72">
        <f t="shared" si="264"/>
        <v>2</v>
      </c>
      <c r="J489" s="37" t="s">
        <v>37</v>
      </c>
      <c r="K489" s="37">
        <v>4</v>
      </c>
      <c r="L489" s="17">
        <v>0.51</v>
      </c>
      <c r="M489" s="19">
        <v>2.5</v>
      </c>
      <c r="N489" s="18">
        <f t="shared" si="227"/>
        <v>1.99</v>
      </c>
      <c r="O489" s="57" t="str">
        <f t="shared" si="259"/>
        <v>OK</v>
      </c>
    </row>
    <row r="490" spans="1:15" ht="12" customHeight="1" thickBot="1" x14ac:dyDescent="0.3">
      <c r="A490" s="93" t="s">
        <v>16</v>
      </c>
      <c r="B490" s="32">
        <v>5</v>
      </c>
      <c r="C490" s="36">
        <v>1179159</v>
      </c>
      <c r="D490" s="52">
        <v>46197</v>
      </c>
      <c r="E490" s="32" t="s">
        <v>15</v>
      </c>
      <c r="F490" s="32" t="str">
        <f t="shared" ref="F490:I490" si="265">F489</f>
        <v>M20</v>
      </c>
      <c r="G490" s="61" t="str">
        <f t="shared" si="265"/>
        <v>017</v>
      </c>
      <c r="H490" s="72" t="str">
        <f t="shared" si="265"/>
        <v>C1</v>
      </c>
      <c r="I490" s="72">
        <f t="shared" si="265"/>
        <v>2</v>
      </c>
      <c r="J490" s="37" t="s">
        <v>38</v>
      </c>
      <c r="K490" s="37">
        <v>4</v>
      </c>
      <c r="L490" s="17">
        <v>0.3</v>
      </c>
      <c r="M490" s="19">
        <v>4.41</v>
      </c>
      <c r="N490" s="18">
        <f t="shared" si="227"/>
        <v>4.1100000000000003</v>
      </c>
      <c r="O490" s="57" t="str">
        <f t="shared" si="259"/>
        <v>OK</v>
      </c>
    </row>
    <row r="491" spans="1:15" ht="12" customHeight="1" thickBot="1" x14ac:dyDescent="0.3">
      <c r="A491" s="93" t="s">
        <v>16</v>
      </c>
      <c r="B491" s="32">
        <v>5</v>
      </c>
      <c r="C491" s="36">
        <v>1179159</v>
      </c>
      <c r="D491" s="52">
        <v>46197</v>
      </c>
      <c r="E491" s="32" t="s">
        <v>15</v>
      </c>
      <c r="F491" s="32" t="str">
        <f t="shared" ref="F491:G491" si="266">F490</f>
        <v>M20</v>
      </c>
      <c r="G491" s="61" t="str">
        <f t="shared" si="266"/>
        <v>017</v>
      </c>
      <c r="H491" s="72" t="s">
        <v>39</v>
      </c>
      <c r="I491" s="72">
        <v>1</v>
      </c>
      <c r="J491" s="37" t="s">
        <v>31</v>
      </c>
      <c r="K491" s="37">
        <v>5</v>
      </c>
      <c r="L491" s="17">
        <v>0.28999999999999998</v>
      </c>
      <c r="M491" s="19">
        <v>4.4000000000000004</v>
      </c>
      <c r="N491" s="18">
        <f t="shared" si="227"/>
        <v>4.1100000000000003</v>
      </c>
      <c r="O491" s="57" t="str">
        <f t="shared" si="259"/>
        <v>OK</v>
      </c>
    </row>
    <row r="492" spans="1:15" ht="12" customHeight="1" thickBot="1" x14ac:dyDescent="0.3">
      <c r="A492" s="93" t="s">
        <v>16</v>
      </c>
      <c r="B492" s="32">
        <v>5</v>
      </c>
      <c r="C492" s="36">
        <v>1179159</v>
      </c>
      <c r="D492" s="52">
        <v>46197</v>
      </c>
      <c r="E492" s="32" t="s">
        <v>15</v>
      </c>
      <c r="F492" s="32" t="str">
        <f t="shared" ref="F492:I492" si="267">F491</f>
        <v>M20</v>
      </c>
      <c r="G492" s="61" t="str">
        <f t="shared" si="267"/>
        <v>017</v>
      </c>
      <c r="H492" s="72" t="str">
        <f t="shared" si="267"/>
        <v>C2</v>
      </c>
      <c r="I492" s="72">
        <f t="shared" si="267"/>
        <v>1</v>
      </c>
      <c r="J492" s="37" t="s">
        <v>32</v>
      </c>
      <c r="K492" s="37">
        <v>5</v>
      </c>
      <c r="L492" s="17">
        <v>0.16</v>
      </c>
      <c r="M492" s="19">
        <v>4.29</v>
      </c>
      <c r="N492" s="18">
        <f t="shared" si="227"/>
        <v>4.13</v>
      </c>
      <c r="O492" s="57" t="str">
        <f t="shared" si="259"/>
        <v>OK</v>
      </c>
    </row>
    <row r="493" spans="1:15" ht="12" customHeight="1" thickBot="1" x14ac:dyDescent="0.3">
      <c r="A493" s="93" t="s">
        <v>16</v>
      </c>
      <c r="B493" s="32">
        <v>5</v>
      </c>
      <c r="C493" s="36">
        <v>1179159</v>
      </c>
      <c r="D493" s="52">
        <v>46197</v>
      </c>
      <c r="E493" s="32" t="s">
        <v>15</v>
      </c>
      <c r="F493" s="32" t="str">
        <f t="shared" ref="F493:I493" si="268">F492</f>
        <v>M20</v>
      </c>
      <c r="G493" s="61" t="str">
        <f t="shared" si="268"/>
        <v>017</v>
      </c>
      <c r="H493" s="72" t="str">
        <f t="shared" si="268"/>
        <v>C2</v>
      </c>
      <c r="I493" s="72">
        <f t="shared" si="268"/>
        <v>1</v>
      </c>
      <c r="J493" s="37" t="s">
        <v>33</v>
      </c>
      <c r="K493" s="37">
        <v>6</v>
      </c>
      <c r="L493" s="17">
        <v>0.13</v>
      </c>
      <c r="M493" s="19">
        <v>4.41</v>
      </c>
      <c r="N493" s="18">
        <f t="shared" si="227"/>
        <v>4.28</v>
      </c>
      <c r="O493" s="57" t="str">
        <f t="shared" si="259"/>
        <v>OK</v>
      </c>
    </row>
    <row r="494" spans="1:15" ht="12" customHeight="1" thickBot="1" x14ac:dyDescent="0.3">
      <c r="A494" s="93" t="s">
        <v>16</v>
      </c>
      <c r="B494" s="32">
        <v>5</v>
      </c>
      <c r="C494" s="36">
        <v>1179159</v>
      </c>
      <c r="D494" s="52">
        <v>46197</v>
      </c>
      <c r="E494" s="32" t="s">
        <v>15</v>
      </c>
      <c r="F494" s="32" t="str">
        <f t="shared" ref="F494:I494" si="269">F493</f>
        <v>M20</v>
      </c>
      <c r="G494" s="61" t="str">
        <f t="shared" si="269"/>
        <v>017</v>
      </c>
      <c r="H494" s="72" t="str">
        <f t="shared" si="269"/>
        <v>C2</v>
      </c>
      <c r="I494" s="72">
        <f t="shared" si="269"/>
        <v>1</v>
      </c>
      <c r="J494" s="37" t="s">
        <v>34</v>
      </c>
      <c r="K494" s="37">
        <v>6</v>
      </c>
      <c r="L494" s="17">
        <v>0.32</v>
      </c>
      <c r="M494" s="19">
        <v>4.4800000000000004</v>
      </c>
      <c r="N494" s="18">
        <f t="shared" si="227"/>
        <v>4.16</v>
      </c>
      <c r="O494" s="57" t="str">
        <f t="shared" si="259"/>
        <v>OK</v>
      </c>
    </row>
    <row r="495" spans="1:15" ht="12" customHeight="1" thickBot="1" x14ac:dyDescent="0.3">
      <c r="A495" s="93" t="s">
        <v>16</v>
      </c>
      <c r="B495" s="32">
        <v>5</v>
      </c>
      <c r="C495" s="36">
        <v>1179159</v>
      </c>
      <c r="D495" s="52">
        <v>46197</v>
      </c>
      <c r="E495" s="32" t="s">
        <v>15</v>
      </c>
      <c r="F495" s="32" t="str">
        <f t="shared" ref="F495:H495" si="270">F494</f>
        <v>M20</v>
      </c>
      <c r="G495" s="61" t="str">
        <f t="shared" si="270"/>
        <v>017</v>
      </c>
      <c r="H495" s="72" t="str">
        <f t="shared" si="270"/>
        <v>C2</v>
      </c>
      <c r="I495" s="72">
        <v>2</v>
      </c>
      <c r="J495" s="37" t="s">
        <v>35</v>
      </c>
      <c r="K495" s="37">
        <v>7</v>
      </c>
      <c r="L495" s="17">
        <v>0.45</v>
      </c>
      <c r="M495" s="19">
        <v>4.4400000000000004</v>
      </c>
      <c r="N495" s="18">
        <f t="shared" si="227"/>
        <v>3.99</v>
      </c>
      <c r="O495" s="57" t="str">
        <f t="shared" si="259"/>
        <v>OK</v>
      </c>
    </row>
    <row r="496" spans="1:15" ht="12" customHeight="1" thickBot="1" x14ac:dyDescent="0.3">
      <c r="A496" s="93" t="s">
        <v>16</v>
      </c>
      <c r="B496" s="32">
        <v>5</v>
      </c>
      <c r="C496" s="36">
        <v>1179159</v>
      </c>
      <c r="D496" s="52">
        <v>46197</v>
      </c>
      <c r="E496" s="32" t="s">
        <v>15</v>
      </c>
      <c r="F496" s="32" t="str">
        <f t="shared" ref="F496:I496" si="271">F495</f>
        <v>M20</v>
      </c>
      <c r="G496" s="61" t="str">
        <f t="shared" si="271"/>
        <v>017</v>
      </c>
      <c r="H496" s="72" t="str">
        <f t="shared" si="271"/>
        <v>C2</v>
      </c>
      <c r="I496" s="72">
        <f t="shared" si="271"/>
        <v>2</v>
      </c>
      <c r="J496" s="37" t="s">
        <v>36</v>
      </c>
      <c r="K496" s="37">
        <v>7</v>
      </c>
      <c r="L496" s="17">
        <v>0.15</v>
      </c>
      <c r="M496" s="19">
        <v>4.18</v>
      </c>
      <c r="N496" s="18">
        <f t="shared" si="227"/>
        <v>4.0299999999999994</v>
      </c>
      <c r="O496" s="57" t="str">
        <f t="shared" si="259"/>
        <v>OK</v>
      </c>
    </row>
    <row r="497" spans="1:15" ht="12" customHeight="1" thickBot="1" x14ac:dyDescent="0.3">
      <c r="A497" s="93" t="s">
        <v>16</v>
      </c>
      <c r="B497" s="32">
        <v>5</v>
      </c>
      <c r="C497" s="36">
        <v>1179159</v>
      </c>
      <c r="D497" s="52">
        <v>46197</v>
      </c>
      <c r="E497" s="32" t="s">
        <v>15</v>
      </c>
      <c r="F497" s="32" t="str">
        <f t="shared" ref="F497:I497" si="272">F496</f>
        <v>M20</v>
      </c>
      <c r="G497" s="61" t="str">
        <f t="shared" si="272"/>
        <v>017</v>
      </c>
      <c r="H497" s="72" t="str">
        <f t="shared" si="272"/>
        <v>C2</v>
      </c>
      <c r="I497" s="72">
        <f t="shared" si="272"/>
        <v>2</v>
      </c>
      <c r="J497" s="37" t="s">
        <v>37</v>
      </c>
      <c r="K497" s="37">
        <v>8</v>
      </c>
      <c r="L497" s="17">
        <v>0.11</v>
      </c>
      <c r="M497" s="19">
        <v>4.2</v>
      </c>
      <c r="N497" s="18">
        <f t="shared" si="227"/>
        <v>4.09</v>
      </c>
      <c r="O497" s="57" t="str">
        <f t="shared" si="259"/>
        <v>OK</v>
      </c>
    </row>
    <row r="498" spans="1:15" ht="12" customHeight="1" thickBot="1" x14ac:dyDescent="0.3">
      <c r="A498" s="93" t="s">
        <v>16</v>
      </c>
      <c r="B498" s="32">
        <v>5</v>
      </c>
      <c r="C498" s="36">
        <v>1179159</v>
      </c>
      <c r="D498" s="52">
        <v>46197</v>
      </c>
      <c r="E498" s="32" t="s">
        <v>15</v>
      </c>
      <c r="F498" s="32" t="str">
        <f t="shared" ref="F498:I498" si="273">F497</f>
        <v>M20</v>
      </c>
      <c r="G498" s="61" t="str">
        <f t="shared" si="273"/>
        <v>017</v>
      </c>
      <c r="H498" s="72" t="str">
        <f t="shared" si="273"/>
        <v>C2</v>
      </c>
      <c r="I498" s="72">
        <f t="shared" si="273"/>
        <v>2</v>
      </c>
      <c r="J498" s="37" t="s">
        <v>38</v>
      </c>
      <c r="K498" s="37">
        <v>8</v>
      </c>
      <c r="L498" s="17">
        <v>0.42</v>
      </c>
      <c r="M498" s="19">
        <v>4.42</v>
      </c>
      <c r="N498" s="18">
        <f t="shared" si="227"/>
        <v>4</v>
      </c>
      <c r="O498" s="57" t="str">
        <f t="shared" si="259"/>
        <v>OK</v>
      </c>
    </row>
    <row r="499" spans="1:15" ht="12" customHeight="1" thickBot="1" x14ac:dyDescent="0.3">
      <c r="A499" s="93" t="s">
        <v>16</v>
      </c>
      <c r="B499" s="32">
        <v>5</v>
      </c>
      <c r="C499" s="36">
        <v>1179159</v>
      </c>
      <c r="D499" s="52">
        <v>46197</v>
      </c>
      <c r="E499" s="32" t="s">
        <v>15</v>
      </c>
      <c r="F499" s="32" t="s">
        <v>40</v>
      </c>
      <c r="G499" s="61" t="s">
        <v>55</v>
      </c>
      <c r="H499" s="72" t="s">
        <v>42</v>
      </c>
      <c r="I499" s="72">
        <v>1</v>
      </c>
      <c r="J499" s="37" t="s">
        <v>31</v>
      </c>
      <c r="K499" s="37">
        <v>9</v>
      </c>
      <c r="L499" s="17">
        <v>1.63</v>
      </c>
      <c r="M499" s="19">
        <v>4.6399999999999997</v>
      </c>
      <c r="N499" s="18">
        <f t="shared" si="227"/>
        <v>3.01</v>
      </c>
      <c r="O499" s="57" t="str">
        <f t="shared" si="259"/>
        <v>OK</v>
      </c>
    </row>
    <row r="500" spans="1:15" ht="12" customHeight="1" thickBot="1" x14ac:dyDescent="0.3">
      <c r="A500" s="93" t="s">
        <v>16</v>
      </c>
      <c r="B500" s="32">
        <v>5</v>
      </c>
      <c r="C500" s="36">
        <v>1179159</v>
      </c>
      <c r="D500" s="52">
        <v>46197</v>
      </c>
      <c r="E500" s="32" t="s">
        <v>15</v>
      </c>
      <c r="F500" s="32" t="str">
        <f t="shared" ref="F500:I500" si="274">F499</f>
        <v>M21</v>
      </c>
      <c r="G500" s="61" t="str">
        <f t="shared" si="274"/>
        <v>018</v>
      </c>
      <c r="H500" s="72" t="str">
        <f t="shared" si="274"/>
        <v>C3</v>
      </c>
      <c r="I500" s="72">
        <f t="shared" si="274"/>
        <v>1</v>
      </c>
      <c r="J500" s="37" t="s">
        <v>32</v>
      </c>
      <c r="K500" s="37">
        <v>9</v>
      </c>
      <c r="L500" s="17">
        <v>0.46</v>
      </c>
      <c r="M500" s="19">
        <v>3.41</v>
      </c>
      <c r="N500" s="18">
        <f t="shared" si="227"/>
        <v>2.95</v>
      </c>
      <c r="O500" s="57" t="str">
        <f t="shared" si="259"/>
        <v>OK</v>
      </c>
    </row>
    <row r="501" spans="1:15" ht="12" customHeight="1" thickBot="1" x14ac:dyDescent="0.3">
      <c r="A501" s="93" t="s">
        <v>16</v>
      </c>
      <c r="B501" s="32">
        <v>5</v>
      </c>
      <c r="C501" s="36">
        <v>1179159</v>
      </c>
      <c r="D501" s="52">
        <v>46197</v>
      </c>
      <c r="E501" s="32" t="s">
        <v>15</v>
      </c>
      <c r="F501" s="32" t="str">
        <f t="shared" ref="F501:I501" si="275">F500</f>
        <v>M21</v>
      </c>
      <c r="G501" s="61" t="str">
        <f t="shared" si="275"/>
        <v>018</v>
      </c>
      <c r="H501" s="72" t="str">
        <f t="shared" si="275"/>
        <v>C3</v>
      </c>
      <c r="I501" s="72">
        <f t="shared" si="275"/>
        <v>1</v>
      </c>
      <c r="J501" s="37" t="s">
        <v>33</v>
      </c>
      <c r="K501" s="37">
        <v>10</v>
      </c>
      <c r="L501" s="17">
        <v>0.67</v>
      </c>
      <c r="M501" s="19">
        <v>4.3</v>
      </c>
      <c r="N501" s="18">
        <f t="shared" si="227"/>
        <v>3.63</v>
      </c>
      <c r="O501" s="57" t="str">
        <f t="shared" si="259"/>
        <v>OK</v>
      </c>
    </row>
    <row r="502" spans="1:15" ht="12" customHeight="1" thickBot="1" x14ac:dyDescent="0.3">
      <c r="A502" s="93" t="s">
        <v>16</v>
      </c>
      <c r="B502" s="32">
        <v>5</v>
      </c>
      <c r="C502" s="36">
        <v>1179159</v>
      </c>
      <c r="D502" s="52">
        <v>46197</v>
      </c>
      <c r="E502" s="32" t="s">
        <v>15</v>
      </c>
      <c r="F502" s="32" t="str">
        <f t="shared" ref="F502:I502" si="276">F501</f>
        <v>M21</v>
      </c>
      <c r="G502" s="61" t="str">
        <f t="shared" si="276"/>
        <v>018</v>
      </c>
      <c r="H502" s="72" t="str">
        <f t="shared" si="276"/>
        <v>C3</v>
      </c>
      <c r="I502" s="72">
        <f t="shared" si="276"/>
        <v>1</v>
      </c>
      <c r="J502" s="37" t="s">
        <v>34</v>
      </c>
      <c r="K502" s="37">
        <v>10</v>
      </c>
      <c r="L502" s="17">
        <v>0.25</v>
      </c>
      <c r="M502" s="19">
        <v>1.77</v>
      </c>
      <c r="N502" s="18">
        <f t="shared" si="227"/>
        <v>1.52</v>
      </c>
      <c r="O502" s="57" t="str">
        <f t="shared" si="259"/>
        <v>OK</v>
      </c>
    </row>
    <row r="503" spans="1:15" ht="12" customHeight="1" thickBot="1" x14ac:dyDescent="0.3">
      <c r="A503" s="93" t="s">
        <v>16</v>
      </c>
      <c r="B503" s="32">
        <v>5</v>
      </c>
      <c r="C503" s="36">
        <v>1179159</v>
      </c>
      <c r="D503" s="52">
        <v>46197</v>
      </c>
      <c r="E503" s="32" t="s">
        <v>15</v>
      </c>
      <c r="F503" s="32" t="str">
        <f t="shared" ref="F503:H503" si="277">F502</f>
        <v>M21</v>
      </c>
      <c r="G503" s="61" t="str">
        <f t="shared" si="277"/>
        <v>018</v>
      </c>
      <c r="H503" s="72" t="str">
        <f t="shared" si="277"/>
        <v>C3</v>
      </c>
      <c r="I503" s="72">
        <v>2</v>
      </c>
      <c r="J503" s="37" t="s">
        <v>35</v>
      </c>
      <c r="K503" s="37">
        <v>11</v>
      </c>
      <c r="L503" s="17">
        <v>0.73</v>
      </c>
      <c r="M503" s="19">
        <v>4.8099999999999996</v>
      </c>
      <c r="N503" s="18">
        <f t="shared" si="227"/>
        <v>4.08</v>
      </c>
      <c r="O503" s="57" t="str">
        <f t="shared" si="259"/>
        <v>OK</v>
      </c>
    </row>
    <row r="504" spans="1:15" ht="12" customHeight="1" thickBot="1" x14ac:dyDescent="0.3">
      <c r="A504" s="93" t="s">
        <v>16</v>
      </c>
      <c r="B504" s="32">
        <v>5</v>
      </c>
      <c r="C504" s="36">
        <v>1179159</v>
      </c>
      <c r="D504" s="52">
        <v>46197</v>
      </c>
      <c r="E504" s="32" t="s">
        <v>15</v>
      </c>
      <c r="F504" s="32" t="str">
        <f t="shared" ref="F504:I504" si="278">F503</f>
        <v>M21</v>
      </c>
      <c r="G504" s="61" t="str">
        <f t="shared" si="278"/>
        <v>018</v>
      </c>
      <c r="H504" s="72" t="str">
        <f t="shared" si="278"/>
        <v>C3</v>
      </c>
      <c r="I504" s="72">
        <f t="shared" si="278"/>
        <v>2</v>
      </c>
      <c r="J504" s="37" t="s">
        <v>36</v>
      </c>
      <c r="K504" s="37">
        <v>11</v>
      </c>
      <c r="L504" s="17">
        <v>0.74</v>
      </c>
      <c r="M504" s="19">
        <v>3.97</v>
      </c>
      <c r="N504" s="18">
        <f t="shared" si="227"/>
        <v>3.2300000000000004</v>
      </c>
      <c r="O504" s="57" t="str">
        <f t="shared" si="259"/>
        <v>OK</v>
      </c>
    </row>
    <row r="505" spans="1:15" ht="12" customHeight="1" thickBot="1" x14ac:dyDescent="0.3">
      <c r="A505" s="93" t="s">
        <v>16</v>
      </c>
      <c r="B505" s="32">
        <v>5</v>
      </c>
      <c r="C505" s="36">
        <v>1179159</v>
      </c>
      <c r="D505" s="52">
        <v>46197</v>
      </c>
      <c r="E505" s="32" t="s">
        <v>15</v>
      </c>
      <c r="F505" s="32" t="str">
        <f t="shared" ref="F505:I505" si="279">F504</f>
        <v>M21</v>
      </c>
      <c r="G505" s="61" t="str">
        <f t="shared" si="279"/>
        <v>018</v>
      </c>
      <c r="H505" s="72" t="str">
        <f t="shared" si="279"/>
        <v>C3</v>
      </c>
      <c r="I505" s="72">
        <f t="shared" si="279"/>
        <v>2</v>
      </c>
      <c r="J505" s="37" t="s">
        <v>37</v>
      </c>
      <c r="K505" s="37">
        <v>12</v>
      </c>
      <c r="L505" s="17">
        <v>0.18</v>
      </c>
      <c r="M505" s="19">
        <v>3.16</v>
      </c>
      <c r="N505" s="18">
        <f t="shared" si="227"/>
        <v>2.98</v>
      </c>
      <c r="O505" s="57" t="str">
        <f t="shared" si="259"/>
        <v>OK</v>
      </c>
    </row>
    <row r="506" spans="1:15" ht="12" customHeight="1" thickBot="1" x14ac:dyDescent="0.3">
      <c r="A506" s="93" t="s">
        <v>16</v>
      </c>
      <c r="B506" s="32">
        <v>5</v>
      </c>
      <c r="C506" s="36">
        <v>1179159</v>
      </c>
      <c r="D506" s="52">
        <v>46197</v>
      </c>
      <c r="E506" s="32" t="s">
        <v>15</v>
      </c>
      <c r="F506" s="32" t="str">
        <f t="shared" ref="F506:I506" si="280">F505</f>
        <v>M21</v>
      </c>
      <c r="G506" s="61" t="str">
        <f t="shared" si="280"/>
        <v>018</v>
      </c>
      <c r="H506" s="72" t="str">
        <f t="shared" si="280"/>
        <v>C3</v>
      </c>
      <c r="I506" s="72">
        <f t="shared" si="280"/>
        <v>2</v>
      </c>
      <c r="J506" s="37" t="s">
        <v>38</v>
      </c>
      <c r="K506" s="37">
        <v>12</v>
      </c>
      <c r="L506" s="17">
        <v>0.47</v>
      </c>
      <c r="M506" s="19">
        <v>3.68</v>
      </c>
      <c r="N506" s="18">
        <f t="shared" si="227"/>
        <v>3.21</v>
      </c>
      <c r="O506" s="57" t="str">
        <f t="shared" si="259"/>
        <v>OK</v>
      </c>
    </row>
    <row r="507" spans="1:15" ht="12" customHeight="1" thickBot="1" x14ac:dyDescent="0.3">
      <c r="A507" s="93" t="s">
        <v>16</v>
      </c>
      <c r="B507" s="32">
        <v>5</v>
      </c>
      <c r="C507" s="36">
        <v>1179159</v>
      </c>
      <c r="D507" s="52">
        <v>46197</v>
      </c>
      <c r="E507" s="32" t="s">
        <v>15</v>
      </c>
      <c r="F507" s="32" t="str">
        <f t="shared" ref="F507:G507" si="281">F506</f>
        <v>M21</v>
      </c>
      <c r="G507" s="61" t="str">
        <f t="shared" si="281"/>
        <v>018</v>
      </c>
      <c r="H507" s="72" t="s">
        <v>43</v>
      </c>
      <c r="I507" s="72">
        <v>1</v>
      </c>
      <c r="J507" s="37" t="s">
        <v>31</v>
      </c>
      <c r="K507" s="37">
        <v>13</v>
      </c>
      <c r="L507" s="17">
        <v>0.61</v>
      </c>
      <c r="M507" s="19">
        <v>3.05</v>
      </c>
      <c r="N507" s="18">
        <f t="shared" si="227"/>
        <v>2.44</v>
      </c>
      <c r="O507" s="57" t="str">
        <f t="shared" si="259"/>
        <v>OK</v>
      </c>
    </row>
    <row r="508" spans="1:15" ht="12" customHeight="1" thickBot="1" x14ac:dyDescent="0.3">
      <c r="A508" s="93" t="s">
        <v>16</v>
      </c>
      <c r="B508" s="32">
        <v>5</v>
      </c>
      <c r="C508" s="36">
        <v>1179159</v>
      </c>
      <c r="D508" s="52">
        <v>46197</v>
      </c>
      <c r="E508" s="32" t="s">
        <v>15</v>
      </c>
      <c r="F508" s="32" t="str">
        <f t="shared" ref="F508:I508" si="282">F507</f>
        <v>M21</v>
      </c>
      <c r="G508" s="61" t="str">
        <f t="shared" si="282"/>
        <v>018</v>
      </c>
      <c r="H508" s="72" t="str">
        <f t="shared" si="282"/>
        <v>C4</v>
      </c>
      <c r="I508" s="72">
        <f t="shared" si="282"/>
        <v>1</v>
      </c>
      <c r="J508" s="37" t="s">
        <v>32</v>
      </c>
      <c r="K508" s="37">
        <v>13</v>
      </c>
      <c r="L508" s="17">
        <v>0.05</v>
      </c>
      <c r="M508" s="19">
        <v>5.09</v>
      </c>
      <c r="N508" s="18">
        <f t="shared" si="227"/>
        <v>5.04</v>
      </c>
      <c r="O508" s="57" t="str">
        <f t="shared" si="259"/>
        <v>OK</v>
      </c>
    </row>
    <row r="509" spans="1:15" ht="12" customHeight="1" thickBot="1" x14ac:dyDescent="0.3">
      <c r="A509" s="93" t="s">
        <v>16</v>
      </c>
      <c r="B509" s="32">
        <v>5</v>
      </c>
      <c r="C509" s="36">
        <v>1179159</v>
      </c>
      <c r="D509" s="52">
        <v>46197</v>
      </c>
      <c r="E509" s="32" t="s">
        <v>15</v>
      </c>
      <c r="F509" s="32" t="str">
        <f t="shared" ref="F509:I509" si="283">F508</f>
        <v>M21</v>
      </c>
      <c r="G509" s="61" t="str">
        <f t="shared" si="283"/>
        <v>018</v>
      </c>
      <c r="H509" s="72" t="str">
        <f t="shared" si="283"/>
        <v>C4</v>
      </c>
      <c r="I509" s="72">
        <f t="shared" si="283"/>
        <v>1</v>
      </c>
      <c r="J509" s="37" t="s">
        <v>33</v>
      </c>
      <c r="K509" s="37">
        <v>14</v>
      </c>
      <c r="L509" s="17">
        <v>0.19</v>
      </c>
      <c r="M509" s="19">
        <v>2.5299999999999998</v>
      </c>
      <c r="N509" s="18">
        <f t="shared" si="227"/>
        <v>2.34</v>
      </c>
      <c r="O509" s="57" t="str">
        <f t="shared" si="259"/>
        <v>OK</v>
      </c>
    </row>
    <row r="510" spans="1:15" ht="12" customHeight="1" thickBot="1" x14ac:dyDescent="0.3">
      <c r="A510" s="93" t="s">
        <v>16</v>
      </c>
      <c r="B510" s="32">
        <v>5</v>
      </c>
      <c r="C510" s="36">
        <v>1179159</v>
      </c>
      <c r="D510" s="52">
        <v>46197</v>
      </c>
      <c r="E510" s="32" t="s">
        <v>15</v>
      </c>
      <c r="F510" s="32" t="str">
        <f t="shared" ref="F510:I510" si="284">F509</f>
        <v>M21</v>
      </c>
      <c r="G510" s="61" t="str">
        <f t="shared" si="284"/>
        <v>018</v>
      </c>
      <c r="H510" s="72" t="str">
        <f t="shared" si="284"/>
        <v>C4</v>
      </c>
      <c r="I510" s="72">
        <f t="shared" si="284"/>
        <v>1</v>
      </c>
      <c r="J510" s="37" t="s">
        <v>34</v>
      </c>
      <c r="K510" s="37">
        <v>14</v>
      </c>
      <c r="L510" s="17">
        <v>0.6</v>
      </c>
      <c r="M510" s="19">
        <v>3.77</v>
      </c>
      <c r="N510" s="18">
        <f t="shared" si="227"/>
        <v>3.17</v>
      </c>
      <c r="O510" s="57" t="str">
        <f t="shared" si="259"/>
        <v>OK</v>
      </c>
    </row>
    <row r="511" spans="1:15" ht="12" customHeight="1" thickBot="1" x14ac:dyDescent="0.3">
      <c r="A511" s="93" t="s">
        <v>16</v>
      </c>
      <c r="B511" s="32">
        <v>5</v>
      </c>
      <c r="C511" s="36">
        <v>1179159</v>
      </c>
      <c r="D511" s="52">
        <v>46197</v>
      </c>
      <c r="E511" s="32" t="s">
        <v>15</v>
      </c>
      <c r="F511" s="32" t="str">
        <f t="shared" ref="F511:H511" si="285">F510</f>
        <v>M21</v>
      </c>
      <c r="G511" s="61" t="str">
        <f t="shared" si="285"/>
        <v>018</v>
      </c>
      <c r="H511" s="72" t="str">
        <f t="shared" si="285"/>
        <v>C4</v>
      </c>
      <c r="I511" s="72">
        <v>2</v>
      </c>
      <c r="J511" s="37" t="s">
        <v>35</v>
      </c>
      <c r="K511" s="37">
        <v>15</v>
      </c>
      <c r="L511" s="17">
        <v>0.18</v>
      </c>
      <c r="M511" s="19">
        <v>2.89</v>
      </c>
      <c r="N511" s="18">
        <f t="shared" si="227"/>
        <v>2.71</v>
      </c>
      <c r="O511" s="57" t="str">
        <f t="shared" si="259"/>
        <v>OK</v>
      </c>
    </row>
    <row r="512" spans="1:15" ht="12" customHeight="1" thickBot="1" x14ac:dyDescent="0.3">
      <c r="A512" s="93" t="s">
        <v>16</v>
      </c>
      <c r="B512" s="32">
        <v>5</v>
      </c>
      <c r="C512" s="36">
        <v>1179159</v>
      </c>
      <c r="D512" s="52">
        <v>46197</v>
      </c>
      <c r="E512" s="32" t="s">
        <v>15</v>
      </c>
      <c r="F512" s="32" t="str">
        <f t="shared" ref="F512:I512" si="286">F511</f>
        <v>M21</v>
      </c>
      <c r="G512" s="61" t="str">
        <f t="shared" si="286"/>
        <v>018</v>
      </c>
      <c r="H512" s="72" t="str">
        <f t="shared" si="286"/>
        <v>C4</v>
      </c>
      <c r="I512" s="72">
        <f t="shared" si="286"/>
        <v>2</v>
      </c>
      <c r="J512" s="37" t="s">
        <v>36</v>
      </c>
      <c r="K512" s="37">
        <v>15</v>
      </c>
      <c r="L512" s="17">
        <v>0.09</v>
      </c>
      <c r="M512" s="19">
        <v>2.61</v>
      </c>
      <c r="N512" s="18">
        <f t="shared" si="227"/>
        <v>2.52</v>
      </c>
      <c r="O512" s="57" t="str">
        <f t="shared" si="259"/>
        <v>OK</v>
      </c>
    </row>
    <row r="513" spans="1:15" ht="12" customHeight="1" thickBot="1" x14ac:dyDescent="0.3">
      <c r="A513" s="93" t="s">
        <v>16</v>
      </c>
      <c r="B513" s="32">
        <v>5</v>
      </c>
      <c r="C513" s="36">
        <v>1179159</v>
      </c>
      <c r="D513" s="52">
        <v>46197</v>
      </c>
      <c r="E513" s="32" t="s">
        <v>15</v>
      </c>
      <c r="F513" s="32" t="str">
        <f t="shared" ref="F513:I513" si="287">F512</f>
        <v>M21</v>
      </c>
      <c r="G513" s="61" t="str">
        <f t="shared" si="287"/>
        <v>018</v>
      </c>
      <c r="H513" s="72" t="str">
        <f t="shared" si="287"/>
        <v>C4</v>
      </c>
      <c r="I513" s="72">
        <f t="shared" si="287"/>
        <v>2</v>
      </c>
      <c r="J513" s="37" t="s">
        <v>37</v>
      </c>
      <c r="K513" s="37">
        <v>16</v>
      </c>
      <c r="L513" s="17">
        <v>0.05</v>
      </c>
      <c r="M513" s="19">
        <v>5.03</v>
      </c>
      <c r="N513" s="18">
        <f t="shared" si="227"/>
        <v>4.9800000000000004</v>
      </c>
      <c r="O513" s="57" t="str">
        <f t="shared" si="259"/>
        <v>OK</v>
      </c>
    </row>
    <row r="514" spans="1:15" ht="12" customHeight="1" thickBot="1" x14ac:dyDescent="0.3">
      <c r="A514" s="93" t="s">
        <v>16</v>
      </c>
      <c r="B514" s="32">
        <v>5</v>
      </c>
      <c r="C514" s="36">
        <v>1179159</v>
      </c>
      <c r="D514" s="52">
        <v>46197</v>
      </c>
      <c r="E514" s="32" t="s">
        <v>15</v>
      </c>
      <c r="F514" s="32" t="str">
        <f t="shared" ref="F514:I514" si="288">F513</f>
        <v>M21</v>
      </c>
      <c r="G514" s="61" t="str">
        <f t="shared" si="288"/>
        <v>018</v>
      </c>
      <c r="H514" s="72" t="str">
        <f t="shared" si="288"/>
        <v>C4</v>
      </c>
      <c r="I514" s="72">
        <f t="shared" si="288"/>
        <v>2</v>
      </c>
      <c r="J514" s="37" t="s">
        <v>38</v>
      </c>
      <c r="K514" s="37">
        <v>16</v>
      </c>
      <c r="L514" s="17">
        <v>0.53</v>
      </c>
      <c r="M514" s="19">
        <v>4.04</v>
      </c>
      <c r="N514" s="18">
        <f t="shared" si="227"/>
        <v>3.51</v>
      </c>
      <c r="O514" s="57" t="str">
        <f t="shared" si="259"/>
        <v>OK</v>
      </c>
    </row>
    <row r="515" spans="1:15" ht="12" customHeight="1" thickBot="1" x14ac:dyDescent="0.3">
      <c r="A515" s="93" t="s">
        <v>16</v>
      </c>
      <c r="B515" s="32">
        <v>5</v>
      </c>
      <c r="C515" s="36">
        <v>1179159</v>
      </c>
      <c r="D515" s="52">
        <v>46197</v>
      </c>
      <c r="E515" s="32" t="s">
        <v>15</v>
      </c>
      <c r="F515" s="32" t="s">
        <v>44</v>
      </c>
      <c r="G515" s="61" t="s">
        <v>71</v>
      </c>
      <c r="H515" s="72" t="s">
        <v>46</v>
      </c>
      <c r="I515" s="72">
        <v>1</v>
      </c>
      <c r="J515" s="37" t="s">
        <v>31</v>
      </c>
      <c r="K515" s="37">
        <v>17</v>
      </c>
      <c r="L515" s="17">
        <v>0.22</v>
      </c>
      <c r="M515" s="19">
        <v>4.75</v>
      </c>
      <c r="N515" s="18">
        <f t="shared" ref="N515:N578" si="289">+M515-L515</f>
        <v>4.53</v>
      </c>
      <c r="O515" s="57" t="str">
        <f t="shared" si="259"/>
        <v>OK</v>
      </c>
    </row>
    <row r="516" spans="1:15" ht="12" customHeight="1" thickBot="1" x14ac:dyDescent="0.3">
      <c r="A516" s="93" t="s">
        <v>16</v>
      </c>
      <c r="B516" s="32">
        <v>5</v>
      </c>
      <c r="C516" s="36">
        <v>1179159</v>
      </c>
      <c r="D516" s="52">
        <v>46197</v>
      </c>
      <c r="E516" s="32" t="s">
        <v>15</v>
      </c>
      <c r="F516" s="32" t="str">
        <f t="shared" ref="F516:I516" si="290">F515</f>
        <v>M22</v>
      </c>
      <c r="G516" s="61" t="str">
        <f t="shared" si="290"/>
        <v>304</v>
      </c>
      <c r="H516" s="72" t="str">
        <f t="shared" si="290"/>
        <v>C5</v>
      </c>
      <c r="I516" s="72">
        <f t="shared" si="290"/>
        <v>1</v>
      </c>
      <c r="J516" s="37" t="s">
        <v>32</v>
      </c>
      <c r="K516" s="37">
        <v>17</v>
      </c>
      <c r="L516" s="17">
        <v>0.8</v>
      </c>
      <c r="M516" s="19">
        <v>1.78</v>
      </c>
      <c r="N516" s="18">
        <f t="shared" si="289"/>
        <v>0.98</v>
      </c>
      <c r="O516" s="57" t="str">
        <f t="shared" si="259"/>
        <v>Seguimiento</v>
      </c>
    </row>
    <row r="517" spans="1:15" ht="12" customHeight="1" thickBot="1" x14ac:dyDescent="0.3">
      <c r="A517" s="93" t="s">
        <v>16</v>
      </c>
      <c r="B517" s="32">
        <v>5</v>
      </c>
      <c r="C517" s="36">
        <v>1179159</v>
      </c>
      <c r="D517" s="52">
        <v>46197</v>
      </c>
      <c r="E517" s="32" t="s">
        <v>15</v>
      </c>
      <c r="F517" s="32" t="str">
        <f t="shared" ref="F517:I517" si="291">F516</f>
        <v>M22</v>
      </c>
      <c r="G517" s="61" t="str">
        <f t="shared" si="291"/>
        <v>304</v>
      </c>
      <c r="H517" s="72" t="str">
        <f t="shared" si="291"/>
        <v>C5</v>
      </c>
      <c r="I517" s="72">
        <f t="shared" si="291"/>
        <v>1</v>
      </c>
      <c r="J517" s="37" t="s">
        <v>33</v>
      </c>
      <c r="K517" s="37">
        <v>18</v>
      </c>
      <c r="L517" s="17">
        <v>0.22</v>
      </c>
      <c r="M517" s="19">
        <v>2.65</v>
      </c>
      <c r="N517" s="18">
        <f t="shared" si="289"/>
        <v>2.4299999999999997</v>
      </c>
      <c r="O517" s="57" t="str">
        <f t="shared" si="259"/>
        <v>OK</v>
      </c>
    </row>
    <row r="518" spans="1:15" ht="12" customHeight="1" thickBot="1" x14ac:dyDescent="0.3">
      <c r="A518" s="93" t="s">
        <v>16</v>
      </c>
      <c r="B518" s="32">
        <v>5</v>
      </c>
      <c r="C518" s="36">
        <v>1179159</v>
      </c>
      <c r="D518" s="52">
        <v>46197</v>
      </c>
      <c r="E518" s="32" t="s">
        <v>15</v>
      </c>
      <c r="F518" s="32" t="str">
        <f t="shared" ref="F518:I518" si="292">F517</f>
        <v>M22</v>
      </c>
      <c r="G518" s="61" t="str">
        <f t="shared" si="292"/>
        <v>304</v>
      </c>
      <c r="H518" s="72" t="str">
        <f t="shared" si="292"/>
        <v>C5</v>
      </c>
      <c r="I518" s="72">
        <f t="shared" si="292"/>
        <v>1</v>
      </c>
      <c r="J518" s="37" t="s">
        <v>34</v>
      </c>
      <c r="K518" s="37">
        <v>18</v>
      </c>
      <c r="L518" s="17">
        <v>0.28999999999999998</v>
      </c>
      <c r="M518" s="19">
        <v>5.07</v>
      </c>
      <c r="N518" s="18">
        <f t="shared" si="289"/>
        <v>4.78</v>
      </c>
      <c r="O518" s="57" t="str">
        <f t="shared" si="259"/>
        <v>OK</v>
      </c>
    </row>
    <row r="519" spans="1:15" ht="12" customHeight="1" thickBot="1" x14ac:dyDescent="0.3">
      <c r="A519" s="93" t="s">
        <v>16</v>
      </c>
      <c r="B519" s="32">
        <v>5</v>
      </c>
      <c r="C519" s="36">
        <v>1179159</v>
      </c>
      <c r="D519" s="52">
        <v>46197</v>
      </c>
      <c r="E519" s="32" t="s">
        <v>15</v>
      </c>
      <c r="F519" s="32" t="str">
        <f t="shared" ref="F519:H519" si="293">F518</f>
        <v>M22</v>
      </c>
      <c r="G519" s="61" t="str">
        <f t="shared" si="293"/>
        <v>304</v>
      </c>
      <c r="H519" s="72" t="str">
        <f t="shared" si="293"/>
        <v>C5</v>
      </c>
      <c r="I519" s="72">
        <v>2</v>
      </c>
      <c r="J519" s="37" t="s">
        <v>35</v>
      </c>
      <c r="K519" s="37">
        <v>19</v>
      </c>
      <c r="L519" s="17">
        <v>0.21</v>
      </c>
      <c r="M519" s="19">
        <v>2.48</v>
      </c>
      <c r="N519" s="18">
        <f t="shared" si="289"/>
        <v>2.27</v>
      </c>
      <c r="O519" s="57" t="str">
        <f t="shared" si="259"/>
        <v>OK</v>
      </c>
    </row>
    <row r="520" spans="1:15" ht="12" customHeight="1" thickBot="1" x14ac:dyDescent="0.3">
      <c r="A520" s="93" t="s">
        <v>16</v>
      </c>
      <c r="B520" s="32">
        <v>5</v>
      </c>
      <c r="C520" s="36">
        <v>1179159</v>
      </c>
      <c r="D520" s="52">
        <v>46197</v>
      </c>
      <c r="E520" s="32" t="s">
        <v>15</v>
      </c>
      <c r="F520" s="32" t="str">
        <f t="shared" ref="F520:I520" si="294">F519</f>
        <v>M22</v>
      </c>
      <c r="G520" s="61" t="str">
        <f t="shared" si="294"/>
        <v>304</v>
      </c>
      <c r="H520" s="72" t="str">
        <f t="shared" si="294"/>
        <v>C5</v>
      </c>
      <c r="I520" s="72">
        <f t="shared" si="294"/>
        <v>2</v>
      </c>
      <c r="J520" s="37" t="s">
        <v>36</v>
      </c>
      <c r="K520" s="37">
        <v>19</v>
      </c>
      <c r="L520" s="17">
        <v>0.28000000000000003</v>
      </c>
      <c r="M520" s="19">
        <v>4.3600000000000003</v>
      </c>
      <c r="N520" s="18">
        <f t="shared" si="289"/>
        <v>4.08</v>
      </c>
      <c r="O520" s="57" t="str">
        <f t="shared" si="259"/>
        <v>OK</v>
      </c>
    </row>
    <row r="521" spans="1:15" ht="12" customHeight="1" thickBot="1" x14ac:dyDescent="0.3">
      <c r="A521" s="93" t="s">
        <v>16</v>
      </c>
      <c r="B521" s="32">
        <v>5</v>
      </c>
      <c r="C521" s="36">
        <v>1179159</v>
      </c>
      <c r="D521" s="52">
        <v>46197</v>
      </c>
      <c r="E521" s="32" t="s">
        <v>15</v>
      </c>
      <c r="F521" s="32" t="str">
        <f t="shared" ref="F521:I521" si="295">F520</f>
        <v>M22</v>
      </c>
      <c r="G521" s="61" t="str">
        <f t="shared" si="295"/>
        <v>304</v>
      </c>
      <c r="H521" s="72" t="str">
        <f t="shared" si="295"/>
        <v>C5</v>
      </c>
      <c r="I521" s="72">
        <f t="shared" si="295"/>
        <v>2</v>
      </c>
      <c r="J521" s="37" t="s">
        <v>37</v>
      </c>
      <c r="K521" s="37">
        <v>20</v>
      </c>
      <c r="L521" s="17">
        <v>0.42</v>
      </c>
      <c r="M521" s="19">
        <v>4.7300000000000004</v>
      </c>
      <c r="N521" s="18">
        <f t="shared" si="289"/>
        <v>4.3100000000000005</v>
      </c>
      <c r="O521" s="57" t="str">
        <f t="shared" si="259"/>
        <v>OK</v>
      </c>
    </row>
    <row r="522" spans="1:15" ht="12" customHeight="1" thickBot="1" x14ac:dyDescent="0.3">
      <c r="A522" s="93" t="s">
        <v>16</v>
      </c>
      <c r="B522" s="32">
        <v>5</v>
      </c>
      <c r="C522" s="36">
        <v>1179159</v>
      </c>
      <c r="D522" s="52">
        <v>46197</v>
      </c>
      <c r="E522" s="32" t="s">
        <v>15</v>
      </c>
      <c r="F522" s="32" t="str">
        <f t="shared" ref="F522:I522" si="296">F521</f>
        <v>M22</v>
      </c>
      <c r="G522" s="61" t="str">
        <f t="shared" si="296"/>
        <v>304</v>
      </c>
      <c r="H522" s="72" t="str">
        <f t="shared" si="296"/>
        <v>C5</v>
      </c>
      <c r="I522" s="72">
        <f t="shared" si="296"/>
        <v>2</v>
      </c>
      <c r="J522" s="37" t="s">
        <v>38</v>
      </c>
      <c r="K522" s="37">
        <v>20</v>
      </c>
      <c r="L522" s="17">
        <v>0.83</v>
      </c>
      <c r="M522" s="19">
        <v>4</v>
      </c>
      <c r="N522" s="18">
        <f t="shared" si="289"/>
        <v>3.17</v>
      </c>
      <c r="O522" s="57" t="str">
        <f t="shared" si="259"/>
        <v>OK</v>
      </c>
    </row>
    <row r="523" spans="1:15" ht="12" customHeight="1" thickBot="1" x14ac:dyDescent="0.3">
      <c r="A523" s="93" t="s">
        <v>16</v>
      </c>
      <c r="B523" s="32">
        <v>5</v>
      </c>
      <c r="C523" s="36">
        <v>1179159</v>
      </c>
      <c r="D523" s="52">
        <v>46197</v>
      </c>
      <c r="E523" s="32" t="s">
        <v>15</v>
      </c>
      <c r="F523" s="32" t="str">
        <f t="shared" ref="F523:G523" si="297">F522</f>
        <v>M22</v>
      </c>
      <c r="G523" s="61" t="str">
        <f t="shared" si="297"/>
        <v>304</v>
      </c>
      <c r="H523" s="72" t="s">
        <v>47</v>
      </c>
      <c r="I523" s="72">
        <v>1</v>
      </c>
      <c r="J523" s="37" t="s">
        <v>31</v>
      </c>
      <c r="K523" s="37">
        <v>21</v>
      </c>
      <c r="L523" s="17">
        <v>0.14000000000000001</v>
      </c>
      <c r="M523" s="19">
        <v>4.4800000000000004</v>
      </c>
      <c r="N523" s="18">
        <f t="shared" si="289"/>
        <v>4.3400000000000007</v>
      </c>
      <c r="O523" s="57" t="str">
        <f t="shared" si="259"/>
        <v>OK</v>
      </c>
    </row>
    <row r="524" spans="1:15" ht="12" customHeight="1" thickBot="1" x14ac:dyDescent="0.3">
      <c r="A524" s="93" t="s">
        <v>16</v>
      </c>
      <c r="B524" s="32">
        <v>5</v>
      </c>
      <c r="C524" s="36">
        <v>1179159</v>
      </c>
      <c r="D524" s="52">
        <v>46197</v>
      </c>
      <c r="E524" s="32" t="s">
        <v>15</v>
      </c>
      <c r="F524" s="32" t="str">
        <f t="shared" ref="F524:I524" si="298">F523</f>
        <v>M22</v>
      </c>
      <c r="G524" s="61" t="str">
        <f t="shared" si="298"/>
        <v>304</v>
      </c>
      <c r="H524" s="72" t="str">
        <f t="shared" si="298"/>
        <v>C6</v>
      </c>
      <c r="I524" s="72">
        <f t="shared" si="298"/>
        <v>1</v>
      </c>
      <c r="J524" s="37" t="s">
        <v>32</v>
      </c>
      <c r="K524" s="37">
        <v>21</v>
      </c>
      <c r="L524" s="17">
        <v>0.18</v>
      </c>
      <c r="M524" s="19">
        <v>4.55</v>
      </c>
      <c r="N524" s="18">
        <f t="shared" si="289"/>
        <v>4.37</v>
      </c>
      <c r="O524" s="57" t="str">
        <f t="shared" si="259"/>
        <v>OK</v>
      </c>
    </row>
    <row r="525" spans="1:15" ht="12" customHeight="1" thickBot="1" x14ac:dyDescent="0.3">
      <c r="A525" s="93" t="s">
        <v>16</v>
      </c>
      <c r="B525" s="32">
        <v>5</v>
      </c>
      <c r="C525" s="36">
        <v>1179159</v>
      </c>
      <c r="D525" s="52">
        <v>46197</v>
      </c>
      <c r="E525" s="32" t="s">
        <v>15</v>
      </c>
      <c r="F525" s="32" t="str">
        <f t="shared" ref="F525:I525" si="299">F524</f>
        <v>M22</v>
      </c>
      <c r="G525" s="61" t="str">
        <f t="shared" si="299"/>
        <v>304</v>
      </c>
      <c r="H525" s="72" t="str">
        <f t="shared" si="299"/>
        <v>C6</v>
      </c>
      <c r="I525" s="72">
        <f t="shared" si="299"/>
        <v>1</v>
      </c>
      <c r="J525" s="37" t="s">
        <v>33</v>
      </c>
      <c r="K525" s="37">
        <v>22</v>
      </c>
      <c r="L525" s="17">
        <v>0.28999999999999998</v>
      </c>
      <c r="M525" s="19">
        <v>4.5599999999999996</v>
      </c>
      <c r="N525" s="18">
        <f t="shared" si="289"/>
        <v>4.2699999999999996</v>
      </c>
      <c r="O525" s="57" t="str">
        <f t="shared" si="259"/>
        <v>OK</v>
      </c>
    </row>
    <row r="526" spans="1:15" ht="12" customHeight="1" thickBot="1" x14ac:dyDescent="0.3">
      <c r="A526" s="93" t="s">
        <v>16</v>
      </c>
      <c r="B526" s="32">
        <v>5</v>
      </c>
      <c r="C526" s="36">
        <v>1179159</v>
      </c>
      <c r="D526" s="52">
        <v>46197</v>
      </c>
      <c r="E526" s="32" t="s">
        <v>15</v>
      </c>
      <c r="F526" s="32" t="str">
        <f t="shared" ref="F526:I526" si="300">F525</f>
        <v>M22</v>
      </c>
      <c r="G526" s="61" t="str">
        <f t="shared" si="300"/>
        <v>304</v>
      </c>
      <c r="H526" s="72" t="str">
        <f t="shared" si="300"/>
        <v>C6</v>
      </c>
      <c r="I526" s="72">
        <f t="shared" si="300"/>
        <v>1</v>
      </c>
      <c r="J526" s="37" t="s">
        <v>34</v>
      </c>
      <c r="K526" s="37">
        <v>22</v>
      </c>
      <c r="L526" s="17">
        <v>0.26</v>
      </c>
      <c r="M526" s="19">
        <v>4.51</v>
      </c>
      <c r="N526" s="18">
        <f t="shared" si="289"/>
        <v>4.25</v>
      </c>
      <c r="O526" s="57" t="str">
        <f t="shared" si="259"/>
        <v>OK</v>
      </c>
    </row>
    <row r="527" spans="1:15" ht="12" customHeight="1" thickBot="1" x14ac:dyDescent="0.3">
      <c r="A527" s="93" t="s">
        <v>16</v>
      </c>
      <c r="B527" s="32">
        <v>5</v>
      </c>
      <c r="C527" s="36">
        <v>1179159</v>
      </c>
      <c r="D527" s="52">
        <v>46197</v>
      </c>
      <c r="E527" s="32" t="s">
        <v>15</v>
      </c>
      <c r="F527" s="32" t="str">
        <f t="shared" ref="F527:H527" si="301">F526</f>
        <v>M22</v>
      </c>
      <c r="G527" s="61" t="str">
        <f t="shared" si="301"/>
        <v>304</v>
      </c>
      <c r="H527" s="72" t="str">
        <f t="shared" si="301"/>
        <v>C6</v>
      </c>
      <c r="I527" s="72">
        <v>2</v>
      </c>
      <c r="J527" s="37" t="s">
        <v>35</v>
      </c>
      <c r="K527" s="37">
        <v>23</v>
      </c>
      <c r="L527" s="17">
        <v>0.18</v>
      </c>
      <c r="M527" s="19">
        <v>4.63</v>
      </c>
      <c r="N527" s="18">
        <f t="shared" si="289"/>
        <v>4.45</v>
      </c>
      <c r="O527" s="57" t="str">
        <f t="shared" si="259"/>
        <v>OK</v>
      </c>
    </row>
    <row r="528" spans="1:15" ht="12" customHeight="1" thickBot="1" x14ac:dyDescent="0.3">
      <c r="A528" s="93" t="s">
        <v>16</v>
      </c>
      <c r="B528" s="32">
        <v>5</v>
      </c>
      <c r="C528" s="36">
        <v>1179159</v>
      </c>
      <c r="D528" s="52">
        <v>46197</v>
      </c>
      <c r="E528" s="32" t="s">
        <v>15</v>
      </c>
      <c r="F528" s="32" t="str">
        <f t="shared" ref="F528:I528" si="302">F527</f>
        <v>M22</v>
      </c>
      <c r="G528" s="61" t="str">
        <f t="shared" si="302"/>
        <v>304</v>
      </c>
      <c r="H528" s="72" t="str">
        <f t="shared" si="302"/>
        <v>C6</v>
      </c>
      <c r="I528" s="72">
        <f t="shared" si="302"/>
        <v>2</v>
      </c>
      <c r="J528" s="37" t="s">
        <v>36</v>
      </c>
      <c r="K528" s="37">
        <v>23</v>
      </c>
      <c r="L528" s="17">
        <v>0.34</v>
      </c>
      <c r="M528" s="19">
        <v>4.46</v>
      </c>
      <c r="N528" s="18">
        <f t="shared" si="289"/>
        <v>4.12</v>
      </c>
      <c r="O528" s="57" t="str">
        <f t="shared" si="259"/>
        <v>OK</v>
      </c>
    </row>
    <row r="529" spans="1:15" ht="12" customHeight="1" thickBot="1" x14ac:dyDescent="0.3">
      <c r="A529" s="93" t="s">
        <v>16</v>
      </c>
      <c r="B529" s="32">
        <v>5</v>
      </c>
      <c r="C529" s="36">
        <v>1179159</v>
      </c>
      <c r="D529" s="52">
        <v>46197</v>
      </c>
      <c r="E529" s="32" t="s">
        <v>15</v>
      </c>
      <c r="F529" s="32" t="str">
        <f t="shared" ref="F529:I529" si="303">F528</f>
        <v>M22</v>
      </c>
      <c r="G529" s="61" t="str">
        <f t="shared" si="303"/>
        <v>304</v>
      </c>
      <c r="H529" s="72" t="str">
        <f t="shared" si="303"/>
        <v>C6</v>
      </c>
      <c r="I529" s="72">
        <f t="shared" si="303"/>
        <v>2</v>
      </c>
      <c r="J529" s="37" t="s">
        <v>37</v>
      </c>
      <c r="K529" s="37">
        <v>24</v>
      </c>
      <c r="L529" s="17">
        <v>0.28999999999999998</v>
      </c>
      <c r="M529" s="19">
        <v>4.74</v>
      </c>
      <c r="N529" s="18">
        <f t="shared" si="289"/>
        <v>4.45</v>
      </c>
      <c r="O529" s="57" t="str">
        <f t="shared" si="259"/>
        <v>OK</v>
      </c>
    </row>
    <row r="530" spans="1:15" ht="12" customHeight="1" thickBot="1" x14ac:dyDescent="0.3">
      <c r="A530" s="93" t="s">
        <v>16</v>
      </c>
      <c r="B530" s="32">
        <v>5</v>
      </c>
      <c r="C530" s="36">
        <v>1179159</v>
      </c>
      <c r="D530" s="52">
        <v>46197</v>
      </c>
      <c r="E530" s="32" t="s">
        <v>15</v>
      </c>
      <c r="F530" s="32" t="str">
        <f t="shared" ref="F530:I530" si="304">F529</f>
        <v>M22</v>
      </c>
      <c r="G530" s="61" t="str">
        <f t="shared" si="304"/>
        <v>304</v>
      </c>
      <c r="H530" s="72" t="str">
        <f t="shared" si="304"/>
        <v>C6</v>
      </c>
      <c r="I530" s="72">
        <f t="shared" si="304"/>
        <v>2</v>
      </c>
      <c r="J530" s="37" t="s">
        <v>38</v>
      </c>
      <c r="K530" s="37">
        <v>24</v>
      </c>
      <c r="L530" s="17">
        <v>0.28999999999999998</v>
      </c>
      <c r="M530" s="19">
        <v>4.7</v>
      </c>
      <c r="N530" s="18">
        <f t="shared" si="289"/>
        <v>4.41</v>
      </c>
      <c r="O530" s="57" t="str">
        <f t="shared" si="259"/>
        <v>OK</v>
      </c>
    </row>
    <row r="531" spans="1:15" ht="12" customHeight="1" thickBot="1" x14ac:dyDescent="0.3">
      <c r="A531" s="93" t="s">
        <v>16</v>
      </c>
      <c r="B531" s="32">
        <v>5</v>
      </c>
      <c r="C531" s="36">
        <v>1179159</v>
      </c>
      <c r="D531" s="52">
        <v>46197</v>
      </c>
      <c r="E531" s="32" t="s">
        <v>15</v>
      </c>
      <c r="F531" s="32" t="s">
        <v>44</v>
      </c>
      <c r="G531" s="61" t="s">
        <v>72</v>
      </c>
      <c r="H531" s="72" t="s">
        <v>47</v>
      </c>
      <c r="I531" s="72">
        <v>2</v>
      </c>
      <c r="J531" s="37" t="s">
        <v>31</v>
      </c>
      <c r="K531" s="37">
        <v>25</v>
      </c>
      <c r="L531" s="17">
        <v>0.11</v>
      </c>
      <c r="M531" s="19">
        <v>4.26</v>
      </c>
      <c r="N531" s="18">
        <f t="shared" si="289"/>
        <v>4.1499999999999995</v>
      </c>
      <c r="O531" s="57" t="str">
        <f t="shared" si="259"/>
        <v>OK</v>
      </c>
    </row>
    <row r="532" spans="1:15" ht="12" customHeight="1" thickBot="1" x14ac:dyDescent="0.3">
      <c r="A532" s="93" t="s">
        <v>16</v>
      </c>
      <c r="B532" s="32">
        <v>5</v>
      </c>
      <c r="C532" s="36">
        <v>1179159</v>
      </c>
      <c r="D532" s="52">
        <v>46197</v>
      </c>
      <c r="E532" s="32" t="s">
        <v>15</v>
      </c>
      <c r="F532" s="32" t="str">
        <f t="shared" ref="F532:I532" si="305">F531</f>
        <v>M22</v>
      </c>
      <c r="G532" s="61" t="str">
        <f t="shared" si="305"/>
        <v>310</v>
      </c>
      <c r="H532" s="72" t="str">
        <f t="shared" si="305"/>
        <v>C6</v>
      </c>
      <c r="I532" s="72">
        <f t="shared" si="305"/>
        <v>2</v>
      </c>
      <c r="J532" s="37" t="s">
        <v>32</v>
      </c>
      <c r="K532" s="37">
        <v>25</v>
      </c>
      <c r="L532" s="17">
        <v>0.3</v>
      </c>
      <c r="M532" s="19">
        <v>1.24</v>
      </c>
      <c r="N532" s="18">
        <f t="shared" si="289"/>
        <v>0.94</v>
      </c>
      <c r="O532" s="57" t="str">
        <f t="shared" si="259"/>
        <v>Seguimiento</v>
      </c>
    </row>
    <row r="533" spans="1:15" ht="12" customHeight="1" thickBot="1" x14ac:dyDescent="0.3">
      <c r="A533" s="93" t="s">
        <v>16</v>
      </c>
      <c r="B533" s="32">
        <v>5</v>
      </c>
      <c r="C533" s="36">
        <v>1179159</v>
      </c>
      <c r="D533" s="52">
        <v>46197</v>
      </c>
      <c r="E533" s="32" t="s">
        <v>15</v>
      </c>
      <c r="F533" s="32" t="str">
        <f t="shared" ref="F533:I533" si="306">F532</f>
        <v>M22</v>
      </c>
      <c r="G533" s="61" t="str">
        <f t="shared" si="306"/>
        <v>310</v>
      </c>
      <c r="H533" s="72" t="str">
        <f t="shared" si="306"/>
        <v>C6</v>
      </c>
      <c r="I533" s="72">
        <f t="shared" si="306"/>
        <v>2</v>
      </c>
      <c r="J533" s="37" t="s">
        <v>33</v>
      </c>
      <c r="K533" s="37">
        <v>26</v>
      </c>
      <c r="L533" s="17">
        <v>0.49</v>
      </c>
      <c r="M533" s="19">
        <v>4.08</v>
      </c>
      <c r="N533" s="18">
        <f t="shared" si="289"/>
        <v>3.59</v>
      </c>
      <c r="O533" s="57" t="str">
        <f t="shared" si="259"/>
        <v>OK</v>
      </c>
    </row>
    <row r="534" spans="1:15" ht="12" customHeight="1" thickBot="1" x14ac:dyDescent="0.3">
      <c r="A534" s="93" t="s">
        <v>16</v>
      </c>
      <c r="B534" s="32">
        <v>5</v>
      </c>
      <c r="C534" s="36">
        <v>1179159</v>
      </c>
      <c r="D534" s="52">
        <v>46197</v>
      </c>
      <c r="E534" s="32" t="s">
        <v>15</v>
      </c>
      <c r="F534" s="32" t="str">
        <f t="shared" ref="F534:I534" si="307">F533</f>
        <v>M22</v>
      </c>
      <c r="G534" s="61" t="str">
        <f t="shared" si="307"/>
        <v>310</v>
      </c>
      <c r="H534" s="72" t="str">
        <f t="shared" si="307"/>
        <v>C6</v>
      </c>
      <c r="I534" s="72">
        <f t="shared" si="307"/>
        <v>2</v>
      </c>
      <c r="J534" s="37" t="s">
        <v>34</v>
      </c>
      <c r="K534" s="37">
        <v>26</v>
      </c>
      <c r="L534" s="17">
        <v>0.4</v>
      </c>
      <c r="M534" s="19">
        <v>4.59</v>
      </c>
      <c r="N534" s="18">
        <f t="shared" si="289"/>
        <v>4.1899999999999995</v>
      </c>
      <c r="O534" s="57" t="str">
        <f t="shared" si="259"/>
        <v>OK</v>
      </c>
    </row>
    <row r="535" spans="1:15" ht="12" customHeight="1" thickBot="1" x14ac:dyDescent="0.3">
      <c r="A535" s="93" t="s">
        <v>16</v>
      </c>
      <c r="B535" s="32">
        <v>5</v>
      </c>
      <c r="C535" s="36">
        <v>1179159</v>
      </c>
      <c r="D535" s="52">
        <v>46197</v>
      </c>
      <c r="E535" s="32" t="s">
        <v>15</v>
      </c>
      <c r="F535" s="32" t="str">
        <f t="shared" ref="F535:H535" si="308">F534</f>
        <v>M22</v>
      </c>
      <c r="G535" s="61" t="str">
        <f t="shared" si="308"/>
        <v>310</v>
      </c>
      <c r="H535" s="72" t="str">
        <f t="shared" si="308"/>
        <v>C6</v>
      </c>
      <c r="I535" s="72">
        <v>1</v>
      </c>
      <c r="J535" s="37" t="s">
        <v>35</v>
      </c>
      <c r="K535" s="37">
        <v>27</v>
      </c>
      <c r="L535" s="17">
        <v>0.78</v>
      </c>
      <c r="M535" s="19">
        <v>4.18</v>
      </c>
      <c r="N535" s="18">
        <f t="shared" si="289"/>
        <v>3.3999999999999995</v>
      </c>
      <c r="O535" s="57" t="str">
        <f t="shared" si="259"/>
        <v>OK</v>
      </c>
    </row>
    <row r="536" spans="1:15" ht="12" customHeight="1" thickBot="1" x14ac:dyDescent="0.3">
      <c r="A536" s="93" t="s">
        <v>16</v>
      </c>
      <c r="B536" s="32">
        <v>5</v>
      </c>
      <c r="C536" s="36">
        <v>1179159</v>
      </c>
      <c r="D536" s="52">
        <v>46197</v>
      </c>
      <c r="E536" s="32" t="s">
        <v>15</v>
      </c>
      <c r="F536" s="32" t="str">
        <f t="shared" ref="F536:I536" si="309">F535</f>
        <v>M22</v>
      </c>
      <c r="G536" s="61" t="str">
        <f t="shared" si="309"/>
        <v>310</v>
      </c>
      <c r="H536" s="72" t="str">
        <f t="shared" si="309"/>
        <v>C6</v>
      </c>
      <c r="I536" s="72">
        <f t="shared" si="309"/>
        <v>1</v>
      </c>
      <c r="J536" s="37" t="s">
        <v>36</v>
      </c>
      <c r="K536" s="37">
        <v>27</v>
      </c>
      <c r="L536" s="17">
        <v>0.51</v>
      </c>
      <c r="M536" s="19">
        <v>4.2</v>
      </c>
      <c r="N536" s="18">
        <f t="shared" si="289"/>
        <v>3.6900000000000004</v>
      </c>
      <c r="O536" s="57" t="str">
        <f t="shared" si="259"/>
        <v>OK</v>
      </c>
    </row>
    <row r="537" spans="1:15" ht="12" customHeight="1" thickBot="1" x14ac:dyDescent="0.3">
      <c r="A537" s="93" t="s">
        <v>16</v>
      </c>
      <c r="B537" s="32">
        <v>5</v>
      </c>
      <c r="C537" s="36">
        <v>1179159</v>
      </c>
      <c r="D537" s="52">
        <v>46197</v>
      </c>
      <c r="E537" s="32" t="s">
        <v>15</v>
      </c>
      <c r="F537" s="32" t="str">
        <f t="shared" ref="F537:I537" si="310">F536</f>
        <v>M22</v>
      </c>
      <c r="G537" s="61" t="str">
        <f t="shared" si="310"/>
        <v>310</v>
      </c>
      <c r="H537" s="72" t="str">
        <f t="shared" si="310"/>
        <v>C6</v>
      </c>
      <c r="I537" s="72">
        <f t="shared" si="310"/>
        <v>1</v>
      </c>
      <c r="J537" s="37" t="s">
        <v>37</v>
      </c>
      <c r="K537" s="37">
        <v>28</v>
      </c>
      <c r="L537" s="17">
        <v>0.77</v>
      </c>
      <c r="M537" s="19">
        <v>4.58</v>
      </c>
      <c r="N537" s="18">
        <f t="shared" si="289"/>
        <v>3.81</v>
      </c>
      <c r="O537" s="57" t="str">
        <f t="shared" si="259"/>
        <v>OK</v>
      </c>
    </row>
    <row r="538" spans="1:15" ht="12" customHeight="1" thickBot="1" x14ac:dyDescent="0.3">
      <c r="A538" s="93" t="s">
        <v>16</v>
      </c>
      <c r="B538" s="32">
        <v>5</v>
      </c>
      <c r="C538" s="36">
        <v>1179159</v>
      </c>
      <c r="D538" s="52">
        <v>46197</v>
      </c>
      <c r="E538" s="32" t="s">
        <v>15</v>
      </c>
      <c r="F538" s="32" t="str">
        <f t="shared" ref="F538:I538" si="311">F537</f>
        <v>M22</v>
      </c>
      <c r="G538" s="61" t="str">
        <f t="shared" si="311"/>
        <v>310</v>
      </c>
      <c r="H538" s="72" t="str">
        <f t="shared" si="311"/>
        <v>C6</v>
      </c>
      <c r="I538" s="72">
        <f t="shared" si="311"/>
        <v>1</v>
      </c>
      <c r="J538" s="37" t="s">
        <v>38</v>
      </c>
      <c r="K538" s="37">
        <v>28</v>
      </c>
      <c r="L538" s="17">
        <v>0.32</v>
      </c>
      <c r="M538" s="19">
        <v>4.3099999999999996</v>
      </c>
      <c r="N538" s="18">
        <f t="shared" si="289"/>
        <v>3.9899999999999998</v>
      </c>
      <c r="O538" s="57" t="str">
        <f t="shared" si="259"/>
        <v>OK</v>
      </c>
    </row>
    <row r="539" spans="1:15" ht="12" customHeight="1" thickBot="1" x14ac:dyDescent="0.3">
      <c r="A539" s="93" t="s">
        <v>16</v>
      </c>
      <c r="B539" s="32">
        <v>5</v>
      </c>
      <c r="C539" s="36">
        <v>1179159</v>
      </c>
      <c r="D539" s="52">
        <v>46197</v>
      </c>
      <c r="E539" s="32" t="s">
        <v>15</v>
      </c>
      <c r="F539" s="32" t="str">
        <f t="shared" ref="F539:G539" si="312">F538</f>
        <v>M22</v>
      </c>
      <c r="G539" s="61" t="str">
        <f t="shared" si="312"/>
        <v>310</v>
      </c>
      <c r="H539" s="72" t="s">
        <v>46</v>
      </c>
      <c r="I539" s="72">
        <v>2</v>
      </c>
      <c r="J539" s="37" t="s">
        <v>31</v>
      </c>
      <c r="K539" s="37">
        <v>29</v>
      </c>
      <c r="L539" s="17">
        <v>1.1000000000000001</v>
      </c>
      <c r="M539" s="19">
        <v>4</v>
      </c>
      <c r="N539" s="18">
        <f t="shared" si="289"/>
        <v>2.9</v>
      </c>
      <c r="O539" s="57" t="str">
        <f t="shared" si="259"/>
        <v>OK</v>
      </c>
    </row>
    <row r="540" spans="1:15" ht="12" customHeight="1" thickBot="1" x14ac:dyDescent="0.3">
      <c r="A540" s="93" t="s">
        <v>16</v>
      </c>
      <c r="B540" s="32">
        <v>5</v>
      </c>
      <c r="C540" s="36">
        <v>1179159</v>
      </c>
      <c r="D540" s="52">
        <v>46197</v>
      </c>
      <c r="E540" s="32" t="s">
        <v>15</v>
      </c>
      <c r="F540" s="32" t="str">
        <f t="shared" ref="F540:I540" si="313">F539</f>
        <v>M22</v>
      </c>
      <c r="G540" s="61" t="str">
        <f t="shared" si="313"/>
        <v>310</v>
      </c>
      <c r="H540" s="72" t="str">
        <f t="shared" si="313"/>
        <v>C5</v>
      </c>
      <c r="I540" s="72">
        <f t="shared" si="313"/>
        <v>2</v>
      </c>
      <c r="J540" s="37" t="s">
        <v>32</v>
      </c>
      <c r="K540" s="37">
        <v>29</v>
      </c>
      <c r="L540" s="17">
        <v>0.38</v>
      </c>
      <c r="M540" s="19">
        <v>1.03</v>
      </c>
      <c r="N540" s="18">
        <f t="shared" si="289"/>
        <v>0.65</v>
      </c>
      <c r="O540" s="57" t="str">
        <f t="shared" si="259"/>
        <v>Seguimiento</v>
      </c>
    </row>
    <row r="541" spans="1:15" ht="12" customHeight="1" thickBot="1" x14ac:dyDescent="0.3">
      <c r="A541" s="93" t="s">
        <v>16</v>
      </c>
      <c r="B541" s="32">
        <v>5</v>
      </c>
      <c r="C541" s="36">
        <v>1179159</v>
      </c>
      <c r="D541" s="52">
        <v>46197</v>
      </c>
      <c r="E541" s="32" t="s">
        <v>15</v>
      </c>
      <c r="F541" s="32" t="str">
        <f t="shared" ref="F541:I541" si="314">F540</f>
        <v>M22</v>
      </c>
      <c r="G541" s="61" t="str">
        <f t="shared" si="314"/>
        <v>310</v>
      </c>
      <c r="H541" s="72" t="str">
        <f t="shared" si="314"/>
        <v>C5</v>
      </c>
      <c r="I541" s="72">
        <f t="shared" si="314"/>
        <v>2</v>
      </c>
      <c r="J541" s="37" t="s">
        <v>33</v>
      </c>
      <c r="K541" s="37">
        <v>30</v>
      </c>
      <c r="L541" s="17">
        <v>0.5</v>
      </c>
      <c r="M541" s="19">
        <v>1.36</v>
      </c>
      <c r="N541" s="18">
        <f t="shared" si="289"/>
        <v>0.8600000000000001</v>
      </c>
      <c r="O541" s="57" t="str">
        <f t="shared" si="259"/>
        <v>Seguimiento</v>
      </c>
    </row>
    <row r="542" spans="1:15" ht="12" customHeight="1" thickBot="1" x14ac:dyDescent="0.3">
      <c r="A542" s="93" t="s">
        <v>16</v>
      </c>
      <c r="B542" s="32">
        <v>5</v>
      </c>
      <c r="C542" s="36">
        <v>1179159</v>
      </c>
      <c r="D542" s="52">
        <v>46197</v>
      </c>
      <c r="E542" s="32" t="s">
        <v>15</v>
      </c>
      <c r="F542" s="32" t="str">
        <f t="shared" ref="F542:I542" si="315">F541</f>
        <v>M22</v>
      </c>
      <c r="G542" s="61" t="str">
        <f t="shared" si="315"/>
        <v>310</v>
      </c>
      <c r="H542" s="72" t="str">
        <f t="shared" si="315"/>
        <v>C5</v>
      </c>
      <c r="I542" s="72">
        <f t="shared" si="315"/>
        <v>2</v>
      </c>
      <c r="J542" s="37" t="s">
        <v>34</v>
      </c>
      <c r="K542" s="37">
        <v>30</v>
      </c>
      <c r="L542" s="17">
        <v>0.32</v>
      </c>
      <c r="M542" s="19">
        <v>4.92</v>
      </c>
      <c r="N542" s="18">
        <f t="shared" si="289"/>
        <v>4.5999999999999996</v>
      </c>
      <c r="O542" s="57" t="str">
        <f t="shared" si="259"/>
        <v>OK</v>
      </c>
    </row>
    <row r="543" spans="1:15" ht="12" customHeight="1" thickBot="1" x14ac:dyDescent="0.3">
      <c r="A543" s="93" t="s">
        <v>16</v>
      </c>
      <c r="B543" s="32">
        <v>5</v>
      </c>
      <c r="C543" s="36">
        <v>1179159</v>
      </c>
      <c r="D543" s="52">
        <v>46197</v>
      </c>
      <c r="E543" s="32" t="s">
        <v>15</v>
      </c>
      <c r="F543" s="32" t="str">
        <f t="shared" ref="F543:H543" si="316">F542</f>
        <v>M22</v>
      </c>
      <c r="G543" s="61" t="str">
        <f t="shared" si="316"/>
        <v>310</v>
      </c>
      <c r="H543" s="72" t="str">
        <f t="shared" si="316"/>
        <v>C5</v>
      </c>
      <c r="I543" s="72">
        <v>1</v>
      </c>
      <c r="J543" s="37" t="s">
        <v>35</v>
      </c>
      <c r="K543" s="37">
        <v>31</v>
      </c>
      <c r="L543" s="17">
        <v>0.52</v>
      </c>
      <c r="M543" s="19">
        <v>1.43</v>
      </c>
      <c r="N543" s="18">
        <f t="shared" si="289"/>
        <v>0.90999999999999992</v>
      </c>
      <c r="O543" s="57" t="str">
        <f t="shared" si="259"/>
        <v>Seguimiento</v>
      </c>
    </row>
    <row r="544" spans="1:15" ht="12" customHeight="1" thickBot="1" x14ac:dyDescent="0.3">
      <c r="A544" s="93" t="s">
        <v>16</v>
      </c>
      <c r="B544" s="32">
        <v>5</v>
      </c>
      <c r="C544" s="36">
        <v>1179159</v>
      </c>
      <c r="D544" s="52">
        <v>46197</v>
      </c>
      <c r="E544" s="32" t="s">
        <v>15</v>
      </c>
      <c r="F544" s="32" t="str">
        <f t="shared" ref="F544:I544" si="317">F543</f>
        <v>M22</v>
      </c>
      <c r="G544" s="61" t="str">
        <f t="shared" si="317"/>
        <v>310</v>
      </c>
      <c r="H544" s="72" t="str">
        <f t="shared" si="317"/>
        <v>C5</v>
      </c>
      <c r="I544" s="72">
        <f t="shared" si="317"/>
        <v>1</v>
      </c>
      <c r="J544" s="37" t="s">
        <v>36</v>
      </c>
      <c r="K544" s="37">
        <v>31</v>
      </c>
      <c r="L544" s="17">
        <v>0.61</v>
      </c>
      <c r="M544" s="19">
        <v>1.94</v>
      </c>
      <c r="N544" s="18">
        <f t="shared" si="289"/>
        <v>1.33</v>
      </c>
      <c r="O544" s="57" t="str">
        <f t="shared" si="259"/>
        <v>OK</v>
      </c>
    </row>
    <row r="545" spans="1:15" ht="12" customHeight="1" thickBot="1" x14ac:dyDescent="0.3">
      <c r="A545" s="93" t="s">
        <v>16</v>
      </c>
      <c r="B545" s="32">
        <v>5</v>
      </c>
      <c r="C545" s="36">
        <v>1179159</v>
      </c>
      <c r="D545" s="52">
        <v>46197</v>
      </c>
      <c r="E545" s="32" t="s">
        <v>15</v>
      </c>
      <c r="F545" s="32" t="str">
        <f t="shared" ref="F545:I545" si="318">F544</f>
        <v>M22</v>
      </c>
      <c r="G545" s="61" t="str">
        <f t="shared" si="318"/>
        <v>310</v>
      </c>
      <c r="H545" s="72" t="str">
        <f t="shared" si="318"/>
        <v>C5</v>
      </c>
      <c r="I545" s="72">
        <f t="shared" si="318"/>
        <v>1</v>
      </c>
      <c r="J545" s="37" t="s">
        <v>37</v>
      </c>
      <c r="K545" s="37">
        <v>32</v>
      </c>
      <c r="L545" s="17">
        <v>1.01</v>
      </c>
      <c r="M545" s="19">
        <v>4.34</v>
      </c>
      <c r="N545" s="18">
        <f t="shared" si="289"/>
        <v>3.33</v>
      </c>
      <c r="O545" s="57" t="str">
        <f t="shared" si="259"/>
        <v>OK</v>
      </c>
    </row>
    <row r="546" spans="1:15" ht="12" customHeight="1" thickBot="1" x14ac:dyDescent="0.3">
      <c r="A546" s="93" t="s">
        <v>16</v>
      </c>
      <c r="B546" s="32">
        <v>5</v>
      </c>
      <c r="C546" s="36">
        <v>1179159</v>
      </c>
      <c r="D546" s="52">
        <v>46197</v>
      </c>
      <c r="E546" s="32" t="s">
        <v>15</v>
      </c>
      <c r="F546" s="32" t="str">
        <f t="shared" ref="F546:I546" si="319">F545</f>
        <v>M22</v>
      </c>
      <c r="G546" s="61" t="str">
        <f t="shared" si="319"/>
        <v>310</v>
      </c>
      <c r="H546" s="72" t="str">
        <f t="shared" si="319"/>
        <v>C5</v>
      </c>
      <c r="I546" s="72">
        <f t="shared" si="319"/>
        <v>1</v>
      </c>
      <c r="J546" s="37" t="s">
        <v>38</v>
      </c>
      <c r="K546" s="37">
        <v>32</v>
      </c>
      <c r="L546" s="23">
        <v>0.33</v>
      </c>
      <c r="M546" s="24">
        <v>1.2</v>
      </c>
      <c r="N546" s="18">
        <f t="shared" si="289"/>
        <v>0.86999999999999988</v>
      </c>
      <c r="O546" s="57" t="str">
        <f t="shared" si="259"/>
        <v>Seguimiento</v>
      </c>
    </row>
    <row r="547" spans="1:15" ht="12" customHeight="1" thickBot="1" x14ac:dyDescent="0.3">
      <c r="A547" s="93" t="s">
        <v>16</v>
      </c>
      <c r="B547" s="32">
        <v>5</v>
      </c>
      <c r="C547" s="36">
        <v>1179159</v>
      </c>
      <c r="D547" s="52">
        <v>46197</v>
      </c>
      <c r="E547" s="32" t="s">
        <v>15</v>
      </c>
      <c r="F547" s="32" t="s">
        <v>40</v>
      </c>
      <c r="G547" s="61" t="s">
        <v>73</v>
      </c>
      <c r="H547" s="72" t="s">
        <v>43</v>
      </c>
      <c r="I547" s="72">
        <v>1</v>
      </c>
      <c r="J547" s="37" t="s">
        <v>31</v>
      </c>
      <c r="K547" s="37">
        <v>33</v>
      </c>
      <c r="L547" s="17">
        <v>0.41</v>
      </c>
      <c r="M547" s="17">
        <v>3.45</v>
      </c>
      <c r="N547" s="18">
        <f t="shared" si="289"/>
        <v>3.04</v>
      </c>
      <c r="O547" s="57" t="str">
        <f t="shared" si="259"/>
        <v>OK</v>
      </c>
    </row>
    <row r="548" spans="1:15" ht="12" customHeight="1" thickBot="1" x14ac:dyDescent="0.3">
      <c r="A548" s="93" t="s">
        <v>16</v>
      </c>
      <c r="B548" s="32">
        <v>5</v>
      </c>
      <c r="C548" s="36">
        <v>1179159</v>
      </c>
      <c r="D548" s="52">
        <v>46197</v>
      </c>
      <c r="E548" s="32" t="s">
        <v>15</v>
      </c>
      <c r="F548" s="32" t="str">
        <f t="shared" ref="F548:I548" si="320">F547</f>
        <v>M21</v>
      </c>
      <c r="G548" s="61" t="str">
        <f t="shared" si="320"/>
        <v>022</v>
      </c>
      <c r="H548" s="72" t="str">
        <f t="shared" si="320"/>
        <v>C4</v>
      </c>
      <c r="I548" s="72">
        <f t="shared" si="320"/>
        <v>1</v>
      </c>
      <c r="J548" s="37" t="s">
        <v>32</v>
      </c>
      <c r="K548" s="37">
        <v>33</v>
      </c>
      <c r="L548" s="17">
        <v>0.94</v>
      </c>
      <c r="M548" s="17">
        <v>3.77</v>
      </c>
      <c r="N548" s="18">
        <f t="shared" si="289"/>
        <v>2.83</v>
      </c>
      <c r="O548" s="57" t="str">
        <f t="shared" ref="O548:O579" si="321">IF(N548&lt;=0,"Critico",IF(N548&lt;=0.2,"Cambio",IF(N548&lt;=1,"Seguimiento",IF(L548&gt;=2,"Reperfilado","OK"))))</f>
        <v>OK</v>
      </c>
    </row>
    <row r="549" spans="1:15" ht="12" customHeight="1" thickBot="1" x14ac:dyDescent="0.3">
      <c r="A549" s="93" t="s">
        <v>16</v>
      </c>
      <c r="B549" s="32">
        <v>5</v>
      </c>
      <c r="C549" s="36">
        <v>1179159</v>
      </c>
      <c r="D549" s="52">
        <v>46197</v>
      </c>
      <c r="E549" s="32" t="s">
        <v>15</v>
      </c>
      <c r="F549" s="32" t="str">
        <f t="shared" ref="F549:I549" si="322">F548</f>
        <v>M21</v>
      </c>
      <c r="G549" s="61" t="str">
        <f t="shared" si="322"/>
        <v>022</v>
      </c>
      <c r="H549" s="72" t="str">
        <f t="shared" si="322"/>
        <v>C4</v>
      </c>
      <c r="I549" s="72">
        <f t="shared" si="322"/>
        <v>1</v>
      </c>
      <c r="J549" s="37" t="s">
        <v>33</v>
      </c>
      <c r="K549" s="37">
        <v>34</v>
      </c>
      <c r="L549" s="17">
        <v>1.54</v>
      </c>
      <c r="M549" s="17">
        <v>3.85</v>
      </c>
      <c r="N549" s="18">
        <f t="shared" si="289"/>
        <v>2.31</v>
      </c>
      <c r="O549" s="57" t="str">
        <f t="shared" si="321"/>
        <v>OK</v>
      </c>
    </row>
    <row r="550" spans="1:15" ht="12" customHeight="1" thickBot="1" x14ac:dyDescent="0.3">
      <c r="A550" s="93" t="s">
        <v>16</v>
      </c>
      <c r="B550" s="32">
        <v>5</v>
      </c>
      <c r="C550" s="36">
        <v>1179159</v>
      </c>
      <c r="D550" s="52">
        <v>46197</v>
      </c>
      <c r="E550" s="32" t="s">
        <v>15</v>
      </c>
      <c r="F550" s="32" t="str">
        <f t="shared" ref="F550:I550" si="323">F549</f>
        <v>M21</v>
      </c>
      <c r="G550" s="61" t="str">
        <f t="shared" si="323"/>
        <v>022</v>
      </c>
      <c r="H550" s="72" t="str">
        <f t="shared" si="323"/>
        <v>C4</v>
      </c>
      <c r="I550" s="72">
        <f t="shared" si="323"/>
        <v>1</v>
      </c>
      <c r="J550" s="37" t="s">
        <v>34</v>
      </c>
      <c r="K550" s="37">
        <v>34</v>
      </c>
      <c r="L550" s="17">
        <v>0.72</v>
      </c>
      <c r="M550" s="17">
        <v>3.67</v>
      </c>
      <c r="N550" s="18">
        <f t="shared" si="289"/>
        <v>2.95</v>
      </c>
      <c r="O550" s="57" t="str">
        <f t="shared" si="321"/>
        <v>OK</v>
      </c>
    </row>
    <row r="551" spans="1:15" ht="12" customHeight="1" thickBot="1" x14ac:dyDescent="0.3">
      <c r="A551" s="93" t="s">
        <v>16</v>
      </c>
      <c r="B551" s="32">
        <v>5</v>
      </c>
      <c r="C551" s="36">
        <v>1179159</v>
      </c>
      <c r="D551" s="52">
        <v>46197</v>
      </c>
      <c r="E551" s="32" t="s">
        <v>15</v>
      </c>
      <c r="F551" s="32" t="str">
        <f t="shared" ref="F551:H551" si="324">F550</f>
        <v>M21</v>
      </c>
      <c r="G551" s="61" t="str">
        <f t="shared" si="324"/>
        <v>022</v>
      </c>
      <c r="H551" s="72" t="str">
        <f t="shared" si="324"/>
        <v>C4</v>
      </c>
      <c r="I551" s="72">
        <v>2</v>
      </c>
      <c r="J551" s="37" t="s">
        <v>35</v>
      </c>
      <c r="K551" s="37">
        <v>35</v>
      </c>
      <c r="L551" s="17">
        <v>0.5</v>
      </c>
      <c r="M551" s="17">
        <v>4.5999999999999996</v>
      </c>
      <c r="N551" s="18">
        <f t="shared" si="289"/>
        <v>4.0999999999999996</v>
      </c>
      <c r="O551" s="57" t="str">
        <f t="shared" si="321"/>
        <v>OK</v>
      </c>
    </row>
    <row r="552" spans="1:15" ht="12" customHeight="1" thickBot="1" x14ac:dyDescent="0.3">
      <c r="A552" s="93" t="s">
        <v>16</v>
      </c>
      <c r="B552" s="32">
        <v>5</v>
      </c>
      <c r="C552" s="36">
        <v>1179159</v>
      </c>
      <c r="D552" s="52">
        <v>46197</v>
      </c>
      <c r="E552" s="32" t="s">
        <v>15</v>
      </c>
      <c r="F552" s="32" t="str">
        <f t="shared" ref="F552:I552" si="325">F551</f>
        <v>M21</v>
      </c>
      <c r="G552" s="61" t="str">
        <f t="shared" si="325"/>
        <v>022</v>
      </c>
      <c r="H552" s="72" t="str">
        <f t="shared" si="325"/>
        <v>C4</v>
      </c>
      <c r="I552" s="72">
        <f t="shared" si="325"/>
        <v>2</v>
      </c>
      <c r="J552" s="37" t="s">
        <v>36</v>
      </c>
      <c r="K552" s="37">
        <v>35</v>
      </c>
      <c r="L552" s="17">
        <v>0.99</v>
      </c>
      <c r="M552" s="17">
        <v>2.98</v>
      </c>
      <c r="N552" s="18">
        <f t="shared" si="289"/>
        <v>1.99</v>
      </c>
      <c r="O552" s="57" t="str">
        <f t="shared" si="321"/>
        <v>OK</v>
      </c>
    </row>
    <row r="553" spans="1:15" ht="12" customHeight="1" thickBot="1" x14ac:dyDescent="0.3">
      <c r="A553" s="93" t="s">
        <v>16</v>
      </c>
      <c r="B553" s="32">
        <v>5</v>
      </c>
      <c r="C553" s="36">
        <v>1179159</v>
      </c>
      <c r="D553" s="52">
        <v>46197</v>
      </c>
      <c r="E553" s="32" t="s">
        <v>15</v>
      </c>
      <c r="F553" s="32" t="str">
        <f t="shared" ref="F553:I553" si="326">F552</f>
        <v>M21</v>
      </c>
      <c r="G553" s="61" t="str">
        <f t="shared" si="326"/>
        <v>022</v>
      </c>
      <c r="H553" s="72" t="str">
        <f t="shared" si="326"/>
        <v>C4</v>
      </c>
      <c r="I553" s="72">
        <f t="shared" si="326"/>
        <v>2</v>
      </c>
      <c r="J553" s="37" t="s">
        <v>37</v>
      </c>
      <c r="K553" s="37">
        <v>36</v>
      </c>
      <c r="L553" s="17">
        <v>0.73</v>
      </c>
      <c r="M553" s="17">
        <v>2.2599999999999998</v>
      </c>
      <c r="N553" s="18">
        <f t="shared" si="289"/>
        <v>1.5299999999999998</v>
      </c>
      <c r="O553" s="57" t="str">
        <f t="shared" si="321"/>
        <v>OK</v>
      </c>
    </row>
    <row r="554" spans="1:15" ht="12" customHeight="1" thickBot="1" x14ac:dyDescent="0.3">
      <c r="A554" s="93" t="s">
        <v>16</v>
      </c>
      <c r="B554" s="32">
        <v>5</v>
      </c>
      <c r="C554" s="36">
        <v>1179159</v>
      </c>
      <c r="D554" s="52">
        <v>46197</v>
      </c>
      <c r="E554" s="32" t="s">
        <v>15</v>
      </c>
      <c r="F554" s="32" t="str">
        <f t="shared" ref="F554:I554" si="327">F553</f>
        <v>M21</v>
      </c>
      <c r="G554" s="61" t="str">
        <f t="shared" si="327"/>
        <v>022</v>
      </c>
      <c r="H554" s="72" t="str">
        <f t="shared" si="327"/>
        <v>C4</v>
      </c>
      <c r="I554" s="72">
        <f t="shared" si="327"/>
        <v>2</v>
      </c>
      <c r="J554" s="37" t="s">
        <v>38</v>
      </c>
      <c r="K554" s="37">
        <v>36</v>
      </c>
      <c r="L554" s="17">
        <v>1.3</v>
      </c>
      <c r="M554" s="17">
        <v>4.41</v>
      </c>
      <c r="N554" s="18">
        <f t="shared" si="289"/>
        <v>3.1100000000000003</v>
      </c>
      <c r="O554" s="57" t="str">
        <f t="shared" si="321"/>
        <v>OK</v>
      </c>
    </row>
    <row r="555" spans="1:15" ht="12" customHeight="1" thickBot="1" x14ac:dyDescent="0.3">
      <c r="A555" s="93" t="s">
        <v>16</v>
      </c>
      <c r="B555" s="32">
        <v>5</v>
      </c>
      <c r="C555" s="36">
        <v>1179159</v>
      </c>
      <c r="D555" s="52">
        <v>46197</v>
      </c>
      <c r="E555" s="32" t="s">
        <v>15</v>
      </c>
      <c r="F555" s="32" t="str">
        <f t="shared" ref="F555:G555" si="328">F554</f>
        <v>M21</v>
      </c>
      <c r="G555" s="61" t="str">
        <f t="shared" si="328"/>
        <v>022</v>
      </c>
      <c r="H555" s="72" t="s">
        <v>42</v>
      </c>
      <c r="I555" s="72">
        <v>1</v>
      </c>
      <c r="J555" s="37" t="s">
        <v>31</v>
      </c>
      <c r="K555" s="37">
        <v>37</v>
      </c>
      <c r="L555" s="17">
        <v>0.35</v>
      </c>
      <c r="M555" s="17">
        <v>1.22</v>
      </c>
      <c r="N555" s="18">
        <f t="shared" si="289"/>
        <v>0.87</v>
      </c>
      <c r="O555" s="57" t="str">
        <f t="shared" si="321"/>
        <v>Seguimiento</v>
      </c>
    </row>
    <row r="556" spans="1:15" ht="12" customHeight="1" thickBot="1" x14ac:dyDescent="0.3">
      <c r="A556" s="93" t="s">
        <v>16</v>
      </c>
      <c r="B556" s="32">
        <v>5</v>
      </c>
      <c r="C556" s="36">
        <v>1179159</v>
      </c>
      <c r="D556" s="52">
        <v>46197</v>
      </c>
      <c r="E556" s="32" t="s">
        <v>15</v>
      </c>
      <c r="F556" s="32" t="str">
        <f t="shared" ref="F556:I556" si="329">F555</f>
        <v>M21</v>
      </c>
      <c r="G556" s="61" t="str">
        <f t="shared" si="329"/>
        <v>022</v>
      </c>
      <c r="H556" s="72" t="str">
        <f t="shared" si="329"/>
        <v>C3</v>
      </c>
      <c r="I556" s="72">
        <f t="shared" si="329"/>
        <v>1</v>
      </c>
      <c r="J556" s="37" t="s">
        <v>32</v>
      </c>
      <c r="K556" s="37">
        <v>37</v>
      </c>
      <c r="L556" s="17">
        <v>0.88</v>
      </c>
      <c r="M556" s="17">
        <v>3.8</v>
      </c>
      <c r="N556" s="18">
        <f t="shared" si="289"/>
        <v>2.92</v>
      </c>
      <c r="O556" s="57" t="str">
        <f t="shared" si="321"/>
        <v>OK</v>
      </c>
    </row>
    <row r="557" spans="1:15" ht="12" customHeight="1" thickBot="1" x14ac:dyDescent="0.3">
      <c r="A557" s="93" t="s">
        <v>16</v>
      </c>
      <c r="B557" s="32">
        <v>5</v>
      </c>
      <c r="C557" s="36">
        <v>1179159</v>
      </c>
      <c r="D557" s="52">
        <v>46197</v>
      </c>
      <c r="E557" s="32" t="s">
        <v>15</v>
      </c>
      <c r="F557" s="32" t="str">
        <f t="shared" ref="F557:I557" si="330">F556</f>
        <v>M21</v>
      </c>
      <c r="G557" s="61" t="str">
        <f t="shared" si="330"/>
        <v>022</v>
      </c>
      <c r="H557" s="72" t="str">
        <f t="shared" si="330"/>
        <v>C3</v>
      </c>
      <c r="I557" s="72">
        <f t="shared" si="330"/>
        <v>1</v>
      </c>
      <c r="J557" s="37" t="s">
        <v>33</v>
      </c>
      <c r="K557" s="37">
        <v>38</v>
      </c>
      <c r="L557" s="17">
        <v>0.1</v>
      </c>
      <c r="M557" s="17">
        <v>4.5599999999999996</v>
      </c>
      <c r="N557" s="18">
        <f t="shared" si="289"/>
        <v>4.46</v>
      </c>
      <c r="O557" s="57" t="str">
        <f t="shared" si="321"/>
        <v>OK</v>
      </c>
    </row>
    <row r="558" spans="1:15" ht="12" customHeight="1" thickBot="1" x14ac:dyDescent="0.3">
      <c r="A558" s="93" t="s">
        <v>16</v>
      </c>
      <c r="B558" s="32">
        <v>5</v>
      </c>
      <c r="C558" s="36">
        <v>1179159</v>
      </c>
      <c r="D558" s="52">
        <v>46197</v>
      </c>
      <c r="E558" s="32" t="s">
        <v>15</v>
      </c>
      <c r="F558" s="32" t="str">
        <f t="shared" ref="F558:I558" si="331">F557</f>
        <v>M21</v>
      </c>
      <c r="G558" s="61" t="str">
        <f t="shared" si="331"/>
        <v>022</v>
      </c>
      <c r="H558" s="72" t="str">
        <f t="shared" si="331"/>
        <v>C3</v>
      </c>
      <c r="I558" s="72">
        <f t="shared" si="331"/>
        <v>1</v>
      </c>
      <c r="J558" s="37" t="s">
        <v>34</v>
      </c>
      <c r="K558" s="37">
        <v>38</v>
      </c>
      <c r="L558" s="17">
        <v>1.1599999999999999</v>
      </c>
      <c r="M558" s="17">
        <v>2.89</v>
      </c>
      <c r="N558" s="18">
        <f t="shared" si="289"/>
        <v>1.7300000000000002</v>
      </c>
      <c r="O558" s="57" t="str">
        <f t="shared" si="321"/>
        <v>OK</v>
      </c>
    </row>
    <row r="559" spans="1:15" ht="12" customHeight="1" thickBot="1" x14ac:dyDescent="0.3">
      <c r="A559" s="93" t="s">
        <v>16</v>
      </c>
      <c r="B559" s="32">
        <v>5</v>
      </c>
      <c r="C559" s="36">
        <v>1179159</v>
      </c>
      <c r="D559" s="52">
        <v>46197</v>
      </c>
      <c r="E559" s="32" t="s">
        <v>15</v>
      </c>
      <c r="F559" s="32" t="str">
        <f t="shared" ref="F559:H559" si="332">F558</f>
        <v>M21</v>
      </c>
      <c r="G559" s="61" t="str">
        <f t="shared" si="332"/>
        <v>022</v>
      </c>
      <c r="H559" s="72" t="str">
        <f t="shared" si="332"/>
        <v>C3</v>
      </c>
      <c r="I559" s="72">
        <v>2</v>
      </c>
      <c r="J559" s="37" t="s">
        <v>35</v>
      </c>
      <c r="K559" s="37">
        <v>39</v>
      </c>
      <c r="L559" s="17">
        <v>0.38</v>
      </c>
      <c r="M559" s="17">
        <v>0.68</v>
      </c>
      <c r="N559" s="18">
        <f t="shared" si="289"/>
        <v>0.30000000000000004</v>
      </c>
      <c r="O559" s="57" t="str">
        <f t="shared" si="321"/>
        <v>Seguimiento</v>
      </c>
    </row>
    <row r="560" spans="1:15" ht="12" customHeight="1" thickBot="1" x14ac:dyDescent="0.3">
      <c r="A560" s="93" t="s">
        <v>16</v>
      </c>
      <c r="B560" s="32">
        <v>5</v>
      </c>
      <c r="C560" s="36">
        <v>1179159</v>
      </c>
      <c r="D560" s="52">
        <v>46197</v>
      </c>
      <c r="E560" s="32" t="s">
        <v>15</v>
      </c>
      <c r="F560" s="32" t="str">
        <f t="shared" ref="F560:I560" si="333">F559</f>
        <v>M21</v>
      </c>
      <c r="G560" s="61" t="str">
        <f t="shared" si="333"/>
        <v>022</v>
      </c>
      <c r="H560" s="72" t="str">
        <f t="shared" si="333"/>
        <v>C3</v>
      </c>
      <c r="I560" s="72">
        <f t="shared" si="333"/>
        <v>2</v>
      </c>
      <c r="J560" s="37" t="s">
        <v>36</v>
      </c>
      <c r="K560" s="37">
        <v>39</v>
      </c>
      <c r="L560" s="17">
        <v>0.94</v>
      </c>
      <c r="M560" s="17">
        <v>3.87</v>
      </c>
      <c r="N560" s="18">
        <f t="shared" si="289"/>
        <v>2.93</v>
      </c>
      <c r="O560" s="57" t="str">
        <f t="shared" si="321"/>
        <v>OK</v>
      </c>
    </row>
    <row r="561" spans="1:15" ht="12" customHeight="1" thickBot="1" x14ac:dyDescent="0.3">
      <c r="A561" s="93" t="s">
        <v>16</v>
      </c>
      <c r="B561" s="32">
        <v>5</v>
      </c>
      <c r="C561" s="36">
        <v>1179159</v>
      </c>
      <c r="D561" s="52">
        <v>46197</v>
      </c>
      <c r="E561" s="32" t="s">
        <v>15</v>
      </c>
      <c r="F561" s="32" t="str">
        <f t="shared" ref="F561:I561" si="334">F560</f>
        <v>M21</v>
      </c>
      <c r="G561" s="61" t="str">
        <f t="shared" si="334"/>
        <v>022</v>
      </c>
      <c r="H561" s="72" t="str">
        <f t="shared" si="334"/>
        <v>C3</v>
      </c>
      <c r="I561" s="72">
        <f t="shared" si="334"/>
        <v>2</v>
      </c>
      <c r="J561" s="37" t="s">
        <v>37</v>
      </c>
      <c r="K561" s="37">
        <v>40</v>
      </c>
      <c r="L561" s="17">
        <v>1.1399999999999999</v>
      </c>
      <c r="M561" s="17">
        <v>4.51</v>
      </c>
      <c r="N561" s="18">
        <f t="shared" si="289"/>
        <v>3.37</v>
      </c>
      <c r="O561" s="57" t="str">
        <f t="shared" si="321"/>
        <v>OK</v>
      </c>
    </row>
    <row r="562" spans="1:15" ht="12" customHeight="1" thickBot="1" x14ac:dyDescent="0.3">
      <c r="A562" s="93" t="s">
        <v>16</v>
      </c>
      <c r="B562" s="32">
        <v>5</v>
      </c>
      <c r="C562" s="36">
        <v>1179159</v>
      </c>
      <c r="D562" s="52">
        <v>46197</v>
      </c>
      <c r="E562" s="32" t="s">
        <v>15</v>
      </c>
      <c r="F562" s="32" t="str">
        <f t="shared" ref="F562:I562" si="335">F561</f>
        <v>M21</v>
      </c>
      <c r="G562" s="61" t="str">
        <f t="shared" si="335"/>
        <v>022</v>
      </c>
      <c r="H562" s="72" t="str">
        <f t="shared" si="335"/>
        <v>C3</v>
      </c>
      <c r="I562" s="72">
        <f t="shared" si="335"/>
        <v>2</v>
      </c>
      <c r="J562" s="37" t="s">
        <v>38</v>
      </c>
      <c r="K562" s="37">
        <v>40</v>
      </c>
      <c r="L562" s="17">
        <v>0.05</v>
      </c>
      <c r="M562" s="17">
        <v>4.96</v>
      </c>
      <c r="N562" s="18">
        <f t="shared" si="289"/>
        <v>4.91</v>
      </c>
      <c r="O562" s="57" t="str">
        <f t="shared" si="321"/>
        <v>OK</v>
      </c>
    </row>
    <row r="563" spans="1:15" ht="12" customHeight="1" thickBot="1" x14ac:dyDescent="0.3">
      <c r="A563" s="93" t="s">
        <v>16</v>
      </c>
      <c r="B563" s="32">
        <v>5</v>
      </c>
      <c r="C563" s="36">
        <v>1179159</v>
      </c>
      <c r="D563" s="52">
        <v>46197</v>
      </c>
      <c r="E563" s="32" t="s">
        <v>15</v>
      </c>
      <c r="F563" s="32" t="s">
        <v>28</v>
      </c>
      <c r="G563" s="61" t="s">
        <v>74</v>
      </c>
      <c r="H563" s="72" t="s">
        <v>39</v>
      </c>
      <c r="I563" s="72">
        <v>1</v>
      </c>
      <c r="J563" s="37" t="s">
        <v>31</v>
      </c>
      <c r="K563" s="37">
        <v>41</v>
      </c>
      <c r="L563" s="17">
        <v>0.15</v>
      </c>
      <c r="M563" s="17">
        <v>4.75</v>
      </c>
      <c r="N563" s="18">
        <f t="shared" si="289"/>
        <v>4.5999999999999996</v>
      </c>
      <c r="O563" s="57" t="str">
        <f t="shared" si="321"/>
        <v>OK</v>
      </c>
    </row>
    <row r="564" spans="1:15" ht="12" customHeight="1" thickBot="1" x14ac:dyDescent="0.3">
      <c r="A564" s="93" t="s">
        <v>16</v>
      </c>
      <c r="B564" s="32">
        <v>5</v>
      </c>
      <c r="C564" s="36">
        <v>1179159</v>
      </c>
      <c r="D564" s="52">
        <v>46197</v>
      </c>
      <c r="E564" s="32" t="s">
        <v>15</v>
      </c>
      <c r="F564" s="32" t="str">
        <f t="shared" ref="F564:I564" si="336">F563</f>
        <v>M20</v>
      </c>
      <c r="G564" s="61" t="str">
        <f t="shared" si="336"/>
        <v>021</v>
      </c>
      <c r="H564" s="72" t="str">
        <f t="shared" si="336"/>
        <v>C2</v>
      </c>
      <c r="I564" s="72">
        <f t="shared" si="336"/>
        <v>1</v>
      </c>
      <c r="J564" s="37" t="s">
        <v>32</v>
      </c>
      <c r="K564" s="37">
        <v>41</v>
      </c>
      <c r="L564" s="17">
        <v>0.28999999999999998</v>
      </c>
      <c r="M564" s="17">
        <v>3.61</v>
      </c>
      <c r="N564" s="18">
        <f t="shared" si="289"/>
        <v>3.32</v>
      </c>
      <c r="O564" s="57" t="str">
        <f t="shared" si="321"/>
        <v>OK</v>
      </c>
    </row>
    <row r="565" spans="1:15" ht="12" customHeight="1" thickBot="1" x14ac:dyDescent="0.3">
      <c r="A565" s="93" t="s">
        <v>16</v>
      </c>
      <c r="B565" s="32">
        <v>5</v>
      </c>
      <c r="C565" s="36">
        <v>1179159</v>
      </c>
      <c r="D565" s="52">
        <v>46197</v>
      </c>
      <c r="E565" s="32" t="s">
        <v>15</v>
      </c>
      <c r="F565" s="32" t="str">
        <f t="shared" ref="F565:I565" si="337">F564</f>
        <v>M20</v>
      </c>
      <c r="G565" s="61" t="str">
        <f t="shared" si="337"/>
        <v>021</v>
      </c>
      <c r="H565" s="72" t="str">
        <f t="shared" si="337"/>
        <v>C2</v>
      </c>
      <c r="I565" s="72">
        <f t="shared" si="337"/>
        <v>1</v>
      </c>
      <c r="J565" s="37" t="s">
        <v>33</v>
      </c>
      <c r="K565" s="37">
        <v>42</v>
      </c>
      <c r="L565" s="17">
        <v>0.89</v>
      </c>
      <c r="M565" s="17">
        <v>3.71</v>
      </c>
      <c r="N565" s="18">
        <f t="shared" si="289"/>
        <v>2.82</v>
      </c>
      <c r="O565" s="57" t="str">
        <f t="shared" si="321"/>
        <v>OK</v>
      </c>
    </row>
    <row r="566" spans="1:15" ht="12" customHeight="1" thickBot="1" x14ac:dyDescent="0.3">
      <c r="A566" s="93" t="s">
        <v>16</v>
      </c>
      <c r="B566" s="32">
        <v>5</v>
      </c>
      <c r="C566" s="36">
        <v>1179159</v>
      </c>
      <c r="D566" s="52">
        <v>46197</v>
      </c>
      <c r="E566" s="32" t="s">
        <v>15</v>
      </c>
      <c r="F566" s="32" t="str">
        <f t="shared" ref="F566:I566" si="338">F565</f>
        <v>M20</v>
      </c>
      <c r="G566" s="61" t="str">
        <f t="shared" si="338"/>
        <v>021</v>
      </c>
      <c r="H566" s="72" t="str">
        <f t="shared" si="338"/>
        <v>C2</v>
      </c>
      <c r="I566" s="72">
        <f t="shared" si="338"/>
        <v>1</v>
      </c>
      <c r="J566" s="37" t="s">
        <v>34</v>
      </c>
      <c r="K566" s="37">
        <v>42</v>
      </c>
      <c r="L566" s="17">
        <v>1.0900000000000001</v>
      </c>
      <c r="M566" s="17">
        <v>4</v>
      </c>
      <c r="N566" s="18">
        <f t="shared" si="289"/>
        <v>2.91</v>
      </c>
      <c r="O566" s="57" t="str">
        <f t="shared" si="321"/>
        <v>OK</v>
      </c>
    </row>
    <row r="567" spans="1:15" ht="12" customHeight="1" thickBot="1" x14ac:dyDescent="0.3">
      <c r="A567" s="93" t="s">
        <v>16</v>
      </c>
      <c r="B567" s="32">
        <v>5</v>
      </c>
      <c r="C567" s="36">
        <v>1179159</v>
      </c>
      <c r="D567" s="52">
        <v>46197</v>
      </c>
      <c r="E567" s="32" t="s">
        <v>15</v>
      </c>
      <c r="F567" s="32" t="str">
        <f t="shared" ref="F567:H567" si="339">F566</f>
        <v>M20</v>
      </c>
      <c r="G567" s="61" t="str">
        <f t="shared" si="339"/>
        <v>021</v>
      </c>
      <c r="H567" s="72" t="str">
        <f t="shared" si="339"/>
        <v>C2</v>
      </c>
      <c r="I567" s="72">
        <v>2</v>
      </c>
      <c r="J567" s="37" t="s">
        <v>35</v>
      </c>
      <c r="K567" s="37">
        <v>43</v>
      </c>
      <c r="L567" s="17">
        <v>1.07</v>
      </c>
      <c r="M567" s="17">
        <v>1.99</v>
      </c>
      <c r="N567" s="18">
        <f t="shared" si="289"/>
        <v>0.91999999999999993</v>
      </c>
      <c r="O567" s="57" t="str">
        <f t="shared" si="321"/>
        <v>Seguimiento</v>
      </c>
    </row>
    <row r="568" spans="1:15" ht="12" customHeight="1" thickBot="1" x14ac:dyDescent="0.3">
      <c r="A568" s="93" t="s">
        <v>16</v>
      </c>
      <c r="B568" s="32">
        <v>5</v>
      </c>
      <c r="C568" s="36">
        <v>1179159</v>
      </c>
      <c r="D568" s="52">
        <v>46197</v>
      </c>
      <c r="E568" s="32" t="s">
        <v>15</v>
      </c>
      <c r="F568" s="32" t="str">
        <f t="shared" ref="F568:I568" si="340">F567</f>
        <v>M20</v>
      </c>
      <c r="G568" s="61" t="str">
        <f t="shared" si="340"/>
        <v>021</v>
      </c>
      <c r="H568" s="72" t="str">
        <f t="shared" si="340"/>
        <v>C2</v>
      </c>
      <c r="I568" s="72">
        <f t="shared" si="340"/>
        <v>2</v>
      </c>
      <c r="J568" s="37" t="s">
        <v>36</v>
      </c>
      <c r="K568" s="37">
        <v>43</v>
      </c>
      <c r="L568" s="17">
        <v>0.55000000000000004</v>
      </c>
      <c r="M568" s="17">
        <v>3.72</v>
      </c>
      <c r="N568" s="18">
        <f t="shared" si="289"/>
        <v>3.17</v>
      </c>
      <c r="O568" s="57" t="str">
        <f t="shared" si="321"/>
        <v>OK</v>
      </c>
    </row>
    <row r="569" spans="1:15" ht="12" customHeight="1" thickBot="1" x14ac:dyDescent="0.3">
      <c r="A569" s="93" t="s">
        <v>16</v>
      </c>
      <c r="B569" s="32">
        <v>5</v>
      </c>
      <c r="C569" s="36">
        <v>1179159</v>
      </c>
      <c r="D569" s="52">
        <v>46197</v>
      </c>
      <c r="E569" s="32" t="s">
        <v>15</v>
      </c>
      <c r="F569" s="32" t="str">
        <f t="shared" ref="F569:I569" si="341">F568</f>
        <v>M20</v>
      </c>
      <c r="G569" s="61" t="str">
        <f t="shared" si="341"/>
        <v>021</v>
      </c>
      <c r="H569" s="72" t="str">
        <f t="shared" si="341"/>
        <v>C2</v>
      </c>
      <c r="I569" s="72">
        <f t="shared" si="341"/>
        <v>2</v>
      </c>
      <c r="J569" s="37" t="s">
        <v>37</v>
      </c>
      <c r="K569" s="37">
        <v>44</v>
      </c>
      <c r="L569" s="17">
        <v>0.56000000000000005</v>
      </c>
      <c r="M569" s="17">
        <v>3.3</v>
      </c>
      <c r="N569" s="18">
        <f t="shared" si="289"/>
        <v>2.7399999999999998</v>
      </c>
      <c r="O569" s="57" t="str">
        <f t="shared" si="321"/>
        <v>OK</v>
      </c>
    </row>
    <row r="570" spans="1:15" ht="12" customHeight="1" thickBot="1" x14ac:dyDescent="0.3">
      <c r="A570" s="93" t="s">
        <v>16</v>
      </c>
      <c r="B570" s="32">
        <v>5</v>
      </c>
      <c r="C570" s="36">
        <v>1179159</v>
      </c>
      <c r="D570" s="52">
        <v>46197</v>
      </c>
      <c r="E570" s="32" t="s">
        <v>15</v>
      </c>
      <c r="F570" s="32" t="str">
        <f t="shared" ref="F570:I570" si="342">F569</f>
        <v>M20</v>
      </c>
      <c r="G570" s="61" t="str">
        <f t="shared" si="342"/>
        <v>021</v>
      </c>
      <c r="H570" s="72" t="str">
        <f t="shared" si="342"/>
        <v>C2</v>
      </c>
      <c r="I570" s="72">
        <f t="shared" si="342"/>
        <v>2</v>
      </c>
      <c r="J570" s="37" t="s">
        <v>38</v>
      </c>
      <c r="K570" s="37">
        <v>44</v>
      </c>
      <c r="L570" s="17">
        <v>0.34</v>
      </c>
      <c r="M570" s="17">
        <v>2.04</v>
      </c>
      <c r="N570" s="18">
        <f t="shared" si="289"/>
        <v>1.7</v>
      </c>
      <c r="O570" s="57" t="str">
        <f t="shared" si="321"/>
        <v>OK</v>
      </c>
    </row>
    <row r="571" spans="1:15" ht="12" customHeight="1" thickBot="1" x14ac:dyDescent="0.3">
      <c r="A571" s="93" t="s">
        <v>16</v>
      </c>
      <c r="B571" s="32">
        <v>5</v>
      </c>
      <c r="C571" s="36">
        <v>1179159</v>
      </c>
      <c r="D571" s="52">
        <v>46197</v>
      </c>
      <c r="E571" s="32" t="s">
        <v>15</v>
      </c>
      <c r="F571" s="32" t="str">
        <f t="shared" ref="F571:G571" si="343">F570</f>
        <v>M20</v>
      </c>
      <c r="G571" s="61" t="str">
        <f t="shared" si="343"/>
        <v>021</v>
      </c>
      <c r="H571" s="72" t="s">
        <v>30</v>
      </c>
      <c r="I571" s="72">
        <v>1</v>
      </c>
      <c r="J571" s="37" t="s">
        <v>31</v>
      </c>
      <c r="K571" s="37">
        <v>45</v>
      </c>
      <c r="L571" s="17">
        <v>0.2</v>
      </c>
      <c r="M571" s="17">
        <v>2.14</v>
      </c>
      <c r="N571" s="18">
        <f t="shared" si="289"/>
        <v>1.9400000000000002</v>
      </c>
      <c r="O571" s="57" t="str">
        <f t="shared" si="321"/>
        <v>OK</v>
      </c>
    </row>
    <row r="572" spans="1:15" ht="12" customHeight="1" thickBot="1" x14ac:dyDescent="0.3">
      <c r="A572" s="93" t="s">
        <v>16</v>
      </c>
      <c r="B572" s="32">
        <v>5</v>
      </c>
      <c r="C572" s="36">
        <v>1179159</v>
      </c>
      <c r="D572" s="52">
        <v>46197</v>
      </c>
      <c r="E572" s="32" t="s">
        <v>15</v>
      </c>
      <c r="F572" s="32" t="str">
        <f t="shared" ref="F572:I572" si="344">F571</f>
        <v>M20</v>
      </c>
      <c r="G572" s="61" t="str">
        <f t="shared" si="344"/>
        <v>021</v>
      </c>
      <c r="H572" s="72" t="str">
        <f t="shared" si="344"/>
        <v>C1</v>
      </c>
      <c r="I572" s="72">
        <f t="shared" si="344"/>
        <v>1</v>
      </c>
      <c r="J572" s="37" t="s">
        <v>32</v>
      </c>
      <c r="K572" s="37">
        <v>45</v>
      </c>
      <c r="L572" s="17">
        <v>0.49</v>
      </c>
      <c r="M572" s="17">
        <v>3.01</v>
      </c>
      <c r="N572" s="18">
        <f t="shared" si="289"/>
        <v>2.5199999999999996</v>
      </c>
      <c r="O572" s="57" t="str">
        <f t="shared" si="321"/>
        <v>OK</v>
      </c>
    </row>
    <row r="573" spans="1:15" ht="12" customHeight="1" thickBot="1" x14ac:dyDescent="0.3">
      <c r="A573" s="93" t="s">
        <v>16</v>
      </c>
      <c r="B573" s="32">
        <v>5</v>
      </c>
      <c r="C573" s="36">
        <v>1179159</v>
      </c>
      <c r="D573" s="52">
        <v>46197</v>
      </c>
      <c r="E573" s="32" t="s">
        <v>15</v>
      </c>
      <c r="F573" s="32" t="str">
        <f t="shared" ref="F573:I573" si="345">F572</f>
        <v>M20</v>
      </c>
      <c r="G573" s="61" t="str">
        <f t="shared" si="345"/>
        <v>021</v>
      </c>
      <c r="H573" s="72" t="str">
        <f t="shared" si="345"/>
        <v>C1</v>
      </c>
      <c r="I573" s="72">
        <f t="shared" si="345"/>
        <v>1</v>
      </c>
      <c r="J573" s="37" t="s">
        <v>33</v>
      </c>
      <c r="K573" s="37">
        <v>46</v>
      </c>
      <c r="L573" s="17">
        <v>0.8</v>
      </c>
      <c r="M573" s="17">
        <v>3.57</v>
      </c>
      <c r="N573" s="18">
        <f t="shared" si="289"/>
        <v>2.7699999999999996</v>
      </c>
      <c r="O573" s="57" t="str">
        <f t="shared" si="321"/>
        <v>OK</v>
      </c>
    </row>
    <row r="574" spans="1:15" ht="12" customHeight="1" thickBot="1" x14ac:dyDescent="0.3">
      <c r="A574" s="93" t="s">
        <v>16</v>
      </c>
      <c r="B574" s="32">
        <v>5</v>
      </c>
      <c r="C574" s="36">
        <v>1179159</v>
      </c>
      <c r="D574" s="52">
        <v>46197</v>
      </c>
      <c r="E574" s="32" t="s">
        <v>15</v>
      </c>
      <c r="F574" s="32" t="str">
        <f t="shared" ref="F574:I574" si="346">F573</f>
        <v>M20</v>
      </c>
      <c r="G574" s="61" t="str">
        <f t="shared" si="346"/>
        <v>021</v>
      </c>
      <c r="H574" s="72" t="str">
        <f t="shared" si="346"/>
        <v>C1</v>
      </c>
      <c r="I574" s="72">
        <f t="shared" si="346"/>
        <v>1</v>
      </c>
      <c r="J574" s="37" t="s">
        <v>34</v>
      </c>
      <c r="K574" s="37">
        <v>46</v>
      </c>
      <c r="L574" s="17">
        <v>0.12</v>
      </c>
      <c r="M574" s="17">
        <v>2.76</v>
      </c>
      <c r="N574" s="18">
        <f t="shared" si="289"/>
        <v>2.6399999999999997</v>
      </c>
      <c r="O574" s="57" t="str">
        <f t="shared" si="321"/>
        <v>OK</v>
      </c>
    </row>
    <row r="575" spans="1:15" ht="12" customHeight="1" thickBot="1" x14ac:dyDescent="0.3">
      <c r="A575" s="93" t="s">
        <v>16</v>
      </c>
      <c r="B575" s="32">
        <v>5</v>
      </c>
      <c r="C575" s="36">
        <v>1179159</v>
      </c>
      <c r="D575" s="52">
        <v>46197</v>
      </c>
      <c r="E575" s="32" t="s">
        <v>15</v>
      </c>
      <c r="F575" s="32" t="str">
        <f t="shared" ref="F575:H575" si="347">F574</f>
        <v>M20</v>
      </c>
      <c r="G575" s="61" t="str">
        <f t="shared" si="347"/>
        <v>021</v>
      </c>
      <c r="H575" s="72" t="str">
        <f t="shared" si="347"/>
        <v>C1</v>
      </c>
      <c r="I575" s="72">
        <v>2</v>
      </c>
      <c r="J575" s="37" t="s">
        <v>35</v>
      </c>
      <c r="K575" s="37">
        <v>47</v>
      </c>
      <c r="L575" s="17">
        <v>7.0000000000000007E-2</v>
      </c>
      <c r="M575" s="17">
        <v>4.99</v>
      </c>
      <c r="N575" s="18">
        <f t="shared" si="289"/>
        <v>4.92</v>
      </c>
      <c r="O575" s="57" t="str">
        <f t="shared" si="321"/>
        <v>OK</v>
      </c>
    </row>
    <row r="576" spans="1:15" ht="12" customHeight="1" thickBot="1" x14ac:dyDescent="0.3">
      <c r="A576" s="93" t="s">
        <v>16</v>
      </c>
      <c r="B576" s="32">
        <v>5</v>
      </c>
      <c r="C576" s="36">
        <v>1179159</v>
      </c>
      <c r="D576" s="52">
        <v>46197</v>
      </c>
      <c r="E576" s="32" t="s">
        <v>15</v>
      </c>
      <c r="F576" s="32" t="str">
        <f t="shared" ref="F576:I576" si="348">F575</f>
        <v>M20</v>
      </c>
      <c r="G576" s="61" t="str">
        <f t="shared" si="348"/>
        <v>021</v>
      </c>
      <c r="H576" s="72" t="str">
        <f t="shared" si="348"/>
        <v>C1</v>
      </c>
      <c r="I576" s="72">
        <f t="shared" si="348"/>
        <v>2</v>
      </c>
      <c r="J576" s="37" t="s">
        <v>36</v>
      </c>
      <c r="K576" s="37">
        <v>47</v>
      </c>
      <c r="L576" s="17">
        <v>0.06</v>
      </c>
      <c r="M576" s="17">
        <v>4.9800000000000004</v>
      </c>
      <c r="N576" s="18">
        <f t="shared" si="289"/>
        <v>4.9200000000000008</v>
      </c>
      <c r="O576" s="57" t="str">
        <f t="shared" si="321"/>
        <v>OK</v>
      </c>
    </row>
    <row r="577" spans="1:15" ht="12" customHeight="1" thickBot="1" x14ac:dyDescent="0.3">
      <c r="A577" s="93" t="s">
        <v>16</v>
      </c>
      <c r="B577" s="32">
        <v>5</v>
      </c>
      <c r="C577" s="36">
        <v>1179159</v>
      </c>
      <c r="D577" s="52">
        <v>46197</v>
      </c>
      <c r="E577" s="32" t="s">
        <v>15</v>
      </c>
      <c r="F577" s="32" t="str">
        <f t="shared" ref="F577:I577" si="349">F576</f>
        <v>M20</v>
      </c>
      <c r="G577" s="61" t="str">
        <f t="shared" si="349"/>
        <v>021</v>
      </c>
      <c r="H577" s="72" t="str">
        <f t="shared" si="349"/>
        <v>C1</v>
      </c>
      <c r="I577" s="72">
        <f t="shared" si="349"/>
        <v>2</v>
      </c>
      <c r="J577" s="37" t="s">
        <v>37</v>
      </c>
      <c r="K577" s="37">
        <v>48</v>
      </c>
      <c r="L577" s="17">
        <v>0.8</v>
      </c>
      <c r="M577" s="17">
        <v>3.52</v>
      </c>
      <c r="N577" s="18">
        <f t="shared" si="289"/>
        <v>2.7199999999999998</v>
      </c>
      <c r="O577" s="57" t="str">
        <f t="shared" si="321"/>
        <v>OK</v>
      </c>
    </row>
    <row r="578" spans="1:15" ht="12" customHeight="1" thickBot="1" x14ac:dyDescent="0.3">
      <c r="A578" s="93" t="s">
        <v>16</v>
      </c>
      <c r="B578" s="32">
        <v>5</v>
      </c>
      <c r="C578" s="36">
        <v>1179159</v>
      </c>
      <c r="D578" s="52">
        <v>46197</v>
      </c>
      <c r="E578" s="32" t="s">
        <v>15</v>
      </c>
      <c r="F578" s="32" t="str">
        <f t="shared" ref="F578:I578" si="350">F577</f>
        <v>M20</v>
      </c>
      <c r="G578" s="61" t="str">
        <f t="shared" si="350"/>
        <v>021</v>
      </c>
      <c r="H578" s="72" t="str">
        <f t="shared" si="350"/>
        <v>C1</v>
      </c>
      <c r="I578" s="72">
        <f t="shared" si="350"/>
        <v>2</v>
      </c>
      <c r="J578" s="37" t="s">
        <v>38</v>
      </c>
      <c r="K578" s="37">
        <v>48</v>
      </c>
      <c r="L578" s="118">
        <v>0.53</v>
      </c>
      <c r="M578" s="119">
        <v>2.6</v>
      </c>
      <c r="N578" s="120">
        <f t="shared" si="289"/>
        <v>2.0700000000000003</v>
      </c>
      <c r="O578" s="57" t="str">
        <f t="shared" si="321"/>
        <v>OK</v>
      </c>
    </row>
    <row r="579" spans="1:15" ht="12" customHeight="1" thickBot="1" x14ac:dyDescent="0.3">
      <c r="A579" s="93" t="s">
        <v>78</v>
      </c>
      <c r="B579" s="32">
        <v>5</v>
      </c>
      <c r="C579" s="36">
        <v>1179160</v>
      </c>
      <c r="D579" s="52">
        <v>46198</v>
      </c>
      <c r="E579" s="32" t="s">
        <v>79</v>
      </c>
      <c r="F579" s="32" t="s">
        <v>40</v>
      </c>
      <c r="G579" s="61" t="s">
        <v>73</v>
      </c>
      <c r="H579" s="72" t="s">
        <v>42</v>
      </c>
      <c r="I579" s="72">
        <v>2</v>
      </c>
      <c r="J579" s="37" t="s">
        <v>35</v>
      </c>
      <c r="K579" s="37">
        <v>39</v>
      </c>
      <c r="L579" s="17">
        <v>0</v>
      </c>
      <c r="M579" s="17">
        <v>5</v>
      </c>
      <c r="N579" s="18">
        <f t="shared" ref="N579" si="351">+M579-L579</f>
        <v>5</v>
      </c>
      <c r="O579" s="57" t="str">
        <f t="shared" si="321"/>
        <v>OK</v>
      </c>
    </row>
  </sheetData>
  <conditionalFormatting sqref="L3:L66">
    <cfRule type="cellIs" dxfId="52" priority="8" operator="greaterThan">
      <formula>1.7</formula>
    </cfRule>
  </conditionalFormatting>
  <conditionalFormatting sqref="L99:L162">
    <cfRule type="cellIs" dxfId="51" priority="6" operator="greaterThan">
      <formula>1.7</formula>
    </cfRule>
  </conditionalFormatting>
  <conditionalFormatting sqref="L195:L258">
    <cfRule type="cellIs" dxfId="50" priority="5" operator="greaterThan">
      <formula>1.7</formula>
    </cfRule>
  </conditionalFormatting>
  <conditionalFormatting sqref="L291:L354">
    <cfRule type="cellIs" dxfId="49" priority="4" operator="greaterThan">
      <formula>1.7</formula>
    </cfRule>
  </conditionalFormatting>
  <conditionalFormatting sqref="N3:N579">
    <cfRule type="cellIs" dxfId="48" priority="14" operator="lessThan">
      <formula>1</formula>
    </cfRule>
  </conditionalFormatting>
  <conditionalFormatting sqref="O3:O579">
    <cfRule type="cellIs" dxfId="47" priority="9" operator="equal">
      <formula>"OK"</formula>
    </cfRule>
    <cfRule type="cellIs" dxfId="46" priority="10" operator="equal">
      <formula>"Cambio"</formula>
    </cfRule>
    <cfRule type="cellIs" dxfId="45" priority="11" operator="equal">
      <formula>"Reperfilado"</formula>
    </cfRule>
    <cfRule type="cellIs" dxfId="44" priority="12" operator="equal">
      <formula>"Seguimiento"</formula>
    </cfRule>
    <cfRule type="cellIs" dxfId="43" priority="13" operator="equal">
      <formula>"Critico"</formula>
    </cfRule>
  </conditionalFormatting>
  <conditionalFormatting sqref="L387:L450">
    <cfRule type="cellIs" dxfId="42" priority="2" operator="greaterThan">
      <formula>1.7</formula>
    </cfRule>
  </conditionalFormatting>
  <conditionalFormatting sqref="L483:L546">
    <cfRule type="cellIs" dxfId="41" priority="1" operator="greaterThan">
      <formula>1.7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39EA1-9C10-4856-8D99-FD661C30FCAB}">
  <sheetPr codeName="Hoja4">
    <tabColor rgb="FFFF0000"/>
  </sheetPr>
  <dimension ref="A1:O34"/>
  <sheetViews>
    <sheetView workbookViewId="0">
      <selection activeCell="R368" sqref="R368"/>
    </sheetView>
  </sheetViews>
  <sheetFormatPr baseColWidth="10" defaultColWidth="9.140625" defaultRowHeight="15" x14ac:dyDescent="0.25"/>
  <cols>
    <col min="1" max="1" width="15.7109375" bestFit="1" customWidth="1"/>
    <col min="2" max="2" width="12.28515625" bestFit="1" customWidth="1"/>
    <col min="3" max="3" width="14.42578125" bestFit="1" customWidth="1"/>
    <col min="4" max="4" width="10.5703125" bestFit="1" customWidth="1"/>
    <col min="5" max="5" width="10.7109375" bestFit="1" customWidth="1"/>
    <col min="6" max="6" width="10.42578125" bestFit="1" customWidth="1"/>
    <col min="7" max="7" width="12.7109375" bestFit="1" customWidth="1"/>
    <col min="8" max="8" width="9.85546875" bestFit="1" customWidth="1"/>
    <col min="9" max="9" width="7.7109375" bestFit="1" customWidth="1"/>
    <col min="10" max="10" width="17.28515625" bestFit="1" customWidth="1"/>
    <col min="11" max="11" width="10.42578125" bestFit="1" customWidth="1"/>
    <col min="12" max="12" width="6.5703125" bestFit="1" customWidth="1"/>
    <col min="13" max="13" width="6.28515625" bestFit="1" customWidth="1"/>
    <col min="14" max="14" width="8.140625" bestFit="1" customWidth="1"/>
    <col min="15" max="15" width="11" bestFit="1" customWidth="1"/>
  </cols>
  <sheetData>
    <row r="1" spans="1:15" ht="24.95" customHeight="1" x14ac:dyDescent="0.25"/>
    <row r="2" spans="1:15" x14ac:dyDescent="0.25">
      <c r="A2" s="89" t="s">
        <v>0</v>
      </c>
      <c r="B2" s="90" t="s">
        <v>1</v>
      </c>
      <c r="C2" s="90" t="s">
        <v>2</v>
      </c>
      <c r="D2" s="90" t="s">
        <v>3</v>
      </c>
      <c r="E2" s="90" t="s">
        <v>4</v>
      </c>
      <c r="F2" s="90" t="s">
        <v>5</v>
      </c>
      <c r="G2" s="90" t="s">
        <v>6</v>
      </c>
      <c r="H2" s="90" t="s">
        <v>7</v>
      </c>
      <c r="I2" s="90" t="s">
        <v>8</v>
      </c>
      <c r="J2" s="90" t="s">
        <v>9</v>
      </c>
      <c r="K2" s="90" t="s">
        <v>10</v>
      </c>
      <c r="L2" s="90" t="s">
        <v>11</v>
      </c>
      <c r="M2" s="90" t="s">
        <v>12</v>
      </c>
      <c r="N2" s="90" t="s">
        <v>13</v>
      </c>
      <c r="O2" s="60" t="s">
        <v>14</v>
      </c>
    </row>
    <row r="3" spans="1:15" x14ac:dyDescent="0.25">
      <c r="A3" s="106"/>
      <c r="B3" s="104" t="s">
        <v>75</v>
      </c>
      <c r="C3" s="104"/>
      <c r="D3" s="105">
        <v>45770</v>
      </c>
      <c r="E3" s="104" t="s">
        <v>15</v>
      </c>
      <c r="F3" s="56" t="s">
        <v>28</v>
      </c>
      <c r="G3" s="80" t="s">
        <v>76</v>
      </c>
      <c r="H3" s="81" t="s">
        <v>30</v>
      </c>
      <c r="I3" s="81">
        <v>2</v>
      </c>
      <c r="J3" s="3" t="s">
        <v>31</v>
      </c>
      <c r="K3" s="37">
        <v>1</v>
      </c>
      <c r="L3" s="21">
        <v>1.06</v>
      </c>
      <c r="M3" s="19">
        <v>3.31</v>
      </c>
      <c r="N3" s="22">
        <v>2.25</v>
      </c>
      <c r="O3" s="20" t="str">
        <f t="shared" ref="O3:O34" si="0">IF(N3&lt;=0,"Critico",IF(N3&lt;=0.2,"Cambio",IF(N3&lt;=1,"Seguimiento",IF(L3&gt;=2,"Reperfilado","OK"))))</f>
        <v>OK</v>
      </c>
    </row>
    <row r="4" spans="1:15" x14ac:dyDescent="0.25">
      <c r="A4" s="107"/>
      <c r="B4" s="82" t="s">
        <v>75</v>
      </c>
      <c r="C4" s="82"/>
      <c r="D4" s="83">
        <v>45770</v>
      </c>
      <c r="E4" s="82" t="s">
        <v>15</v>
      </c>
      <c r="F4" s="56" t="s">
        <v>28</v>
      </c>
      <c r="G4" s="61" t="str">
        <f t="shared" ref="G4:G11" si="1">G3</f>
        <v>020</v>
      </c>
      <c r="H4" s="72" t="str">
        <f t="shared" ref="H4:H7" si="2">H3</f>
        <v>C1</v>
      </c>
      <c r="I4" s="72">
        <f t="shared" ref="I4:I6" si="3">I3</f>
        <v>2</v>
      </c>
      <c r="J4" s="3" t="s">
        <v>32</v>
      </c>
      <c r="K4" s="37">
        <v>1</v>
      </c>
      <c r="L4" s="17">
        <v>0.79</v>
      </c>
      <c r="M4" s="19">
        <v>2.79</v>
      </c>
      <c r="N4" s="18">
        <v>2</v>
      </c>
      <c r="O4" s="20" t="str">
        <f t="shared" si="0"/>
        <v>OK</v>
      </c>
    </row>
    <row r="5" spans="1:15" x14ac:dyDescent="0.25">
      <c r="A5" s="107"/>
      <c r="B5" s="82" t="s">
        <v>75</v>
      </c>
      <c r="C5" s="82"/>
      <c r="D5" s="83">
        <v>45770</v>
      </c>
      <c r="E5" s="82" t="s">
        <v>15</v>
      </c>
      <c r="F5" s="56" t="s">
        <v>28</v>
      </c>
      <c r="G5" s="61" t="str">
        <f t="shared" si="1"/>
        <v>020</v>
      </c>
      <c r="H5" s="72" t="str">
        <f t="shared" si="2"/>
        <v>C1</v>
      </c>
      <c r="I5" s="72">
        <f t="shared" si="3"/>
        <v>2</v>
      </c>
      <c r="J5" s="3" t="s">
        <v>33</v>
      </c>
      <c r="K5" s="37">
        <v>2</v>
      </c>
      <c r="L5" s="17">
        <v>0.09</v>
      </c>
      <c r="M5" s="19">
        <v>4.7300000000000004</v>
      </c>
      <c r="N5" s="18">
        <v>4.6399999999999997</v>
      </c>
      <c r="O5" s="20" t="str">
        <f t="shared" si="0"/>
        <v>OK</v>
      </c>
    </row>
    <row r="6" spans="1:15" x14ac:dyDescent="0.25">
      <c r="A6" s="107"/>
      <c r="B6" s="82" t="s">
        <v>75</v>
      </c>
      <c r="C6" s="82"/>
      <c r="D6" s="83">
        <v>45770</v>
      </c>
      <c r="E6" s="82" t="s">
        <v>15</v>
      </c>
      <c r="F6" s="56" t="s">
        <v>28</v>
      </c>
      <c r="G6" s="61" t="str">
        <f t="shared" si="1"/>
        <v>020</v>
      </c>
      <c r="H6" s="72" t="str">
        <f t="shared" si="2"/>
        <v>C1</v>
      </c>
      <c r="I6" s="72">
        <f t="shared" si="3"/>
        <v>2</v>
      </c>
      <c r="J6" s="3" t="s">
        <v>34</v>
      </c>
      <c r="K6" s="37">
        <v>2</v>
      </c>
      <c r="L6" s="17">
        <v>0.98</v>
      </c>
      <c r="M6" s="19">
        <v>4.13</v>
      </c>
      <c r="N6" s="18">
        <v>3.15</v>
      </c>
      <c r="O6" s="20" t="str">
        <f t="shared" si="0"/>
        <v>OK</v>
      </c>
    </row>
    <row r="7" spans="1:15" x14ac:dyDescent="0.25">
      <c r="A7" s="107"/>
      <c r="B7" s="82" t="s">
        <v>75</v>
      </c>
      <c r="C7" s="82"/>
      <c r="D7" s="83">
        <v>45770</v>
      </c>
      <c r="E7" s="82" t="s">
        <v>15</v>
      </c>
      <c r="F7" s="56" t="s">
        <v>28</v>
      </c>
      <c r="G7" s="61" t="str">
        <f t="shared" si="1"/>
        <v>020</v>
      </c>
      <c r="H7" s="72" t="str">
        <f t="shared" si="2"/>
        <v>C1</v>
      </c>
      <c r="I7" s="72">
        <v>1</v>
      </c>
      <c r="J7" s="3" t="s">
        <v>35</v>
      </c>
      <c r="K7" s="37">
        <v>3</v>
      </c>
      <c r="L7" s="17">
        <v>0.08</v>
      </c>
      <c r="M7" s="19">
        <v>4.82</v>
      </c>
      <c r="N7" s="18">
        <v>4.74</v>
      </c>
      <c r="O7" s="20" t="str">
        <f t="shared" si="0"/>
        <v>OK</v>
      </c>
    </row>
    <row r="8" spans="1:15" x14ac:dyDescent="0.25">
      <c r="A8" s="107"/>
      <c r="B8" s="82" t="s">
        <v>75</v>
      </c>
      <c r="C8" s="82"/>
      <c r="D8" s="83">
        <v>45770</v>
      </c>
      <c r="E8" s="82" t="s">
        <v>15</v>
      </c>
      <c r="F8" s="56" t="s">
        <v>28</v>
      </c>
      <c r="G8" s="61" t="str">
        <f t="shared" si="1"/>
        <v>020</v>
      </c>
      <c r="H8" s="72" t="str">
        <f t="shared" ref="H8:I10" si="4">H7</f>
        <v>C1</v>
      </c>
      <c r="I8" s="72">
        <f t="shared" si="4"/>
        <v>1</v>
      </c>
      <c r="J8" s="3" t="s">
        <v>36</v>
      </c>
      <c r="K8" s="37">
        <v>3</v>
      </c>
      <c r="L8" s="17">
        <v>0.04</v>
      </c>
      <c r="M8" s="19">
        <v>4.83</v>
      </c>
      <c r="N8" s="18">
        <v>4.79</v>
      </c>
      <c r="O8" s="20" t="str">
        <f t="shared" si="0"/>
        <v>OK</v>
      </c>
    </row>
    <row r="9" spans="1:15" x14ac:dyDescent="0.25">
      <c r="A9" s="107"/>
      <c r="B9" s="82" t="s">
        <v>75</v>
      </c>
      <c r="C9" s="82"/>
      <c r="D9" s="83">
        <v>45770</v>
      </c>
      <c r="E9" s="82" t="s">
        <v>15</v>
      </c>
      <c r="F9" s="56" t="s">
        <v>28</v>
      </c>
      <c r="G9" s="61" t="str">
        <f t="shared" si="1"/>
        <v>020</v>
      </c>
      <c r="H9" s="72" t="str">
        <f t="shared" si="4"/>
        <v>C1</v>
      </c>
      <c r="I9" s="72">
        <f t="shared" si="4"/>
        <v>1</v>
      </c>
      <c r="J9" s="3" t="s">
        <v>37</v>
      </c>
      <c r="K9" s="37">
        <v>4</v>
      </c>
      <c r="L9" s="17">
        <v>0.73</v>
      </c>
      <c r="M9" s="19">
        <v>2.82</v>
      </c>
      <c r="N9" s="18">
        <v>2.09</v>
      </c>
      <c r="O9" s="20" t="str">
        <f t="shared" si="0"/>
        <v>OK</v>
      </c>
    </row>
    <row r="10" spans="1:15" x14ac:dyDescent="0.25">
      <c r="A10" s="107"/>
      <c r="B10" s="82" t="s">
        <v>75</v>
      </c>
      <c r="C10" s="82"/>
      <c r="D10" s="83">
        <v>45770</v>
      </c>
      <c r="E10" s="82" t="s">
        <v>15</v>
      </c>
      <c r="F10" s="56" t="s">
        <v>28</v>
      </c>
      <c r="G10" s="61" t="str">
        <f t="shared" si="1"/>
        <v>020</v>
      </c>
      <c r="H10" s="72" t="str">
        <f t="shared" si="4"/>
        <v>C1</v>
      </c>
      <c r="I10" s="72">
        <f t="shared" si="4"/>
        <v>1</v>
      </c>
      <c r="J10" s="3" t="s">
        <v>38</v>
      </c>
      <c r="K10" s="37">
        <v>4</v>
      </c>
      <c r="L10" s="17">
        <v>0.13</v>
      </c>
      <c r="M10" s="19">
        <v>2.16</v>
      </c>
      <c r="N10" s="18">
        <v>2.0299999999999998</v>
      </c>
      <c r="O10" s="20" t="str">
        <f t="shared" si="0"/>
        <v>OK</v>
      </c>
    </row>
    <row r="11" spans="1:15" x14ac:dyDescent="0.25">
      <c r="A11" s="107"/>
      <c r="B11" s="82" t="s">
        <v>75</v>
      </c>
      <c r="C11" s="82"/>
      <c r="D11" s="83">
        <v>45770</v>
      </c>
      <c r="E11" s="82" t="s">
        <v>15</v>
      </c>
      <c r="F11" s="56" t="s">
        <v>28</v>
      </c>
      <c r="G11" s="61" t="str">
        <f t="shared" si="1"/>
        <v>020</v>
      </c>
      <c r="H11" s="72" t="s">
        <v>39</v>
      </c>
      <c r="I11" s="72">
        <v>2</v>
      </c>
      <c r="J11" s="3" t="s">
        <v>31</v>
      </c>
      <c r="K11" s="37">
        <v>5</v>
      </c>
      <c r="L11" s="17">
        <v>0.05</v>
      </c>
      <c r="M11" s="19">
        <v>4.7699999999999996</v>
      </c>
      <c r="N11" s="18">
        <v>4.72</v>
      </c>
      <c r="O11" s="20" t="str">
        <f t="shared" si="0"/>
        <v>OK</v>
      </c>
    </row>
    <row r="12" spans="1:15" x14ac:dyDescent="0.25">
      <c r="A12" s="107"/>
      <c r="B12" s="82" t="s">
        <v>75</v>
      </c>
      <c r="C12" s="82"/>
      <c r="D12" s="83">
        <v>45770</v>
      </c>
      <c r="E12" s="82" t="s">
        <v>15</v>
      </c>
      <c r="F12" s="56" t="s">
        <v>28</v>
      </c>
      <c r="G12" s="61" t="str">
        <f t="shared" ref="G12:I14" si="5">G11</f>
        <v>020</v>
      </c>
      <c r="H12" s="72" t="str">
        <f t="shared" si="5"/>
        <v>C2</v>
      </c>
      <c r="I12" s="72">
        <f t="shared" si="5"/>
        <v>2</v>
      </c>
      <c r="J12" s="3" t="s">
        <v>32</v>
      </c>
      <c r="K12" s="37">
        <v>5</v>
      </c>
      <c r="L12" s="17">
        <v>0.14000000000000001</v>
      </c>
      <c r="M12" s="19">
        <v>1.48</v>
      </c>
      <c r="N12" s="18">
        <v>1.34</v>
      </c>
      <c r="O12" s="20" t="str">
        <f t="shared" si="0"/>
        <v>OK</v>
      </c>
    </row>
    <row r="13" spans="1:15" x14ac:dyDescent="0.25">
      <c r="A13" s="107"/>
      <c r="B13" s="82" t="s">
        <v>75</v>
      </c>
      <c r="C13" s="82"/>
      <c r="D13" s="83">
        <v>45770</v>
      </c>
      <c r="E13" s="82" t="s">
        <v>15</v>
      </c>
      <c r="F13" s="56" t="s">
        <v>28</v>
      </c>
      <c r="G13" s="61" t="str">
        <f t="shared" si="5"/>
        <v>020</v>
      </c>
      <c r="H13" s="72" t="str">
        <f t="shared" si="5"/>
        <v>C2</v>
      </c>
      <c r="I13" s="72">
        <f t="shared" si="5"/>
        <v>2</v>
      </c>
      <c r="J13" s="3" t="s">
        <v>33</v>
      </c>
      <c r="K13" s="37">
        <v>6</v>
      </c>
      <c r="L13" s="17">
        <v>0.05</v>
      </c>
      <c r="M13" s="19">
        <v>4.0199999999999996</v>
      </c>
      <c r="N13" s="18">
        <v>3.97</v>
      </c>
      <c r="O13" s="20" t="str">
        <f t="shared" si="0"/>
        <v>OK</v>
      </c>
    </row>
    <row r="14" spans="1:15" x14ac:dyDescent="0.25">
      <c r="A14" s="107"/>
      <c r="B14" s="82" t="s">
        <v>75</v>
      </c>
      <c r="C14" s="82"/>
      <c r="D14" s="83">
        <v>45770</v>
      </c>
      <c r="E14" s="82" t="s">
        <v>15</v>
      </c>
      <c r="F14" s="56" t="s">
        <v>28</v>
      </c>
      <c r="G14" s="61" t="str">
        <f t="shared" si="5"/>
        <v>020</v>
      </c>
      <c r="H14" s="72" t="str">
        <f t="shared" si="5"/>
        <v>C2</v>
      </c>
      <c r="I14" s="72">
        <f t="shared" si="5"/>
        <v>2</v>
      </c>
      <c r="J14" s="3" t="s">
        <v>34</v>
      </c>
      <c r="K14" s="37">
        <v>6</v>
      </c>
      <c r="L14" s="17">
        <v>0.9</v>
      </c>
      <c r="M14" s="19">
        <v>3.3</v>
      </c>
      <c r="N14" s="18">
        <v>2.4</v>
      </c>
      <c r="O14" s="20" t="str">
        <f t="shared" si="0"/>
        <v>OK</v>
      </c>
    </row>
    <row r="15" spans="1:15" x14ac:dyDescent="0.25">
      <c r="A15" s="107"/>
      <c r="B15" s="82" t="s">
        <v>75</v>
      </c>
      <c r="C15" s="82"/>
      <c r="D15" s="83">
        <v>45770</v>
      </c>
      <c r="E15" s="82" t="s">
        <v>15</v>
      </c>
      <c r="F15" s="56" t="s">
        <v>28</v>
      </c>
      <c r="G15" s="61" t="str">
        <f t="shared" ref="G15:H15" si="6">G14</f>
        <v>020</v>
      </c>
      <c r="H15" s="72" t="str">
        <f t="shared" si="6"/>
        <v>C2</v>
      </c>
      <c r="I15" s="72">
        <v>1</v>
      </c>
      <c r="J15" s="3" t="s">
        <v>35</v>
      </c>
      <c r="K15" s="37">
        <v>7</v>
      </c>
      <c r="L15" s="17">
        <v>0.78</v>
      </c>
      <c r="M15" s="19">
        <v>3.91</v>
      </c>
      <c r="N15" s="18">
        <v>3.13</v>
      </c>
      <c r="O15" s="20" t="str">
        <f t="shared" si="0"/>
        <v>OK</v>
      </c>
    </row>
    <row r="16" spans="1:15" x14ac:dyDescent="0.25">
      <c r="A16" s="107"/>
      <c r="B16" s="82" t="s">
        <v>75</v>
      </c>
      <c r="C16" s="82"/>
      <c r="D16" s="83">
        <v>45770</v>
      </c>
      <c r="E16" s="82" t="s">
        <v>15</v>
      </c>
      <c r="F16" s="56" t="s">
        <v>28</v>
      </c>
      <c r="G16" s="61" t="str">
        <f t="shared" ref="G16:I18" si="7">G15</f>
        <v>020</v>
      </c>
      <c r="H16" s="72" t="str">
        <f t="shared" si="7"/>
        <v>C2</v>
      </c>
      <c r="I16" s="72">
        <f t="shared" si="7"/>
        <v>1</v>
      </c>
      <c r="J16" s="3" t="s">
        <v>36</v>
      </c>
      <c r="K16" s="37">
        <v>7</v>
      </c>
      <c r="L16" s="17">
        <v>1.03</v>
      </c>
      <c r="M16" s="19">
        <v>3.5</v>
      </c>
      <c r="N16" s="18">
        <v>2.4700000000000002</v>
      </c>
      <c r="O16" s="20" t="str">
        <f t="shared" si="0"/>
        <v>OK</v>
      </c>
    </row>
    <row r="17" spans="1:15" x14ac:dyDescent="0.25">
      <c r="A17" s="107"/>
      <c r="B17" s="82" t="s">
        <v>75</v>
      </c>
      <c r="C17" s="82"/>
      <c r="D17" s="83">
        <v>45770</v>
      </c>
      <c r="E17" s="82" t="s">
        <v>15</v>
      </c>
      <c r="F17" s="56" t="s">
        <v>28</v>
      </c>
      <c r="G17" s="61" t="str">
        <f t="shared" si="7"/>
        <v>020</v>
      </c>
      <c r="H17" s="72" t="str">
        <f t="shared" si="7"/>
        <v>C2</v>
      </c>
      <c r="I17" s="72">
        <f t="shared" si="7"/>
        <v>1</v>
      </c>
      <c r="J17" s="3" t="s">
        <v>37</v>
      </c>
      <c r="K17" s="37">
        <v>8</v>
      </c>
      <c r="L17" s="17">
        <v>1.1000000000000001</v>
      </c>
      <c r="M17" s="19">
        <v>3.67</v>
      </c>
      <c r="N17" s="18">
        <v>2.57</v>
      </c>
      <c r="O17" s="20" t="str">
        <f t="shared" si="0"/>
        <v>OK</v>
      </c>
    </row>
    <row r="18" spans="1:15" x14ac:dyDescent="0.25">
      <c r="A18" s="107"/>
      <c r="B18" s="82" t="s">
        <v>75</v>
      </c>
      <c r="C18" s="82"/>
      <c r="D18" s="83">
        <v>45770</v>
      </c>
      <c r="E18" s="82" t="s">
        <v>15</v>
      </c>
      <c r="F18" s="56" t="s">
        <v>28</v>
      </c>
      <c r="G18" s="61" t="str">
        <f t="shared" si="7"/>
        <v>020</v>
      </c>
      <c r="H18" s="72" t="str">
        <f t="shared" si="7"/>
        <v>C2</v>
      </c>
      <c r="I18" s="72">
        <f t="shared" si="7"/>
        <v>1</v>
      </c>
      <c r="J18" s="3" t="s">
        <v>38</v>
      </c>
      <c r="K18" s="37">
        <v>8</v>
      </c>
      <c r="L18" s="17">
        <v>0.42</v>
      </c>
      <c r="M18" s="19">
        <v>2.0299999999999998</v>
      </c>
      <c r="N18" s="18">
        <v>1.61</v>
      </c>
      <c r="O18" s="20" t="str">
        <f t="shared" si="0"/>
        <v>OK</v>
      </c>
    </row>
    <row r="19" spans="1:15" x14ac:dyDescent="0.25">
      <c r="A19" s="107"/>
      <c r="B19" s="82" t="s">
        <v>75</v>
      </c>
      <c r="C19" s="82"/>
      <c r="D19" s="83">
        <v>45770</v>
      </c>
      <c r="E19" s="82" t="s">
        <v>15</v>
      </c>
      <c r="F19" s="54" t="s">
        <v>40</v>
      </c>
      <c r="G19" s="61" t="s">
        <v>77</v>
      </c>
      <c r="H19" s="72" t="s">
        <v>42</v>
      </c>
      <c r="I19" s="72">
        <v>2</v>
      </c>
      <c r="J19" s="3" t="s">
        <v>31</v>
      </c>
      <c r="K19" s="37">
        <v>9</v>
      </c>
      <c r="L19" s="17">
        <v>0.13</v>
      </c>
      <c r="M19" s="19">
        <v>4.8</v>
      </c>
      <c r="N19" s="18">
        <v>4.67</v>
      </c>
      <c r="O19" s="20" t="str">
        <f t="shared" si="0"/>
        <v>OK</v>
      </c>
    </row>
    <row r="20" spans="1:15" x14ac:dyDescent="0.25">
      <c r="A20" s="107"/>
      <c r="B20" s="82" t="s">
        <v>75</v>
      </c>
      <c r="C20" s="82"/>
      <c r="D20" s="83">
        <v>45770</v>
      </c>
      <c r="E20" s="82" t="s">
        <v>15</v>
      </c>
      <c r="F20" s="54" t="s">
        <v>40</v>
      </c>
      <c r="G20" s="61" t="str">
        <f t="shared" ref="G20:G27" si="8">G19</f>
        <v>019</v>
      </c>
      <c r="H20" s="72" t="str">
        <f t="shared" ref="H20:H23" si="9">H19</f>
        <v>C3</v>
      </c>
      <c r="I20" s="72">
        <f t="shared" ref="I20:I22" si="10">I19</f>
        <v>2</v>
      </c>
      <c r="J20" s="3" t="s">
        <v>32</v>
      </c>
      <c r="K20" s="37">
        <v>9</v>
      </c>
      <c r="L20" s="17">
        <v>0.34</v>
      </c>
      <c r="M20" s="19">
        <v>3.34</v>
      </c>
      <c r="N20" s="18">
        <v>3</v>
      </c>
      <c r="O20" s="20" t="str">
        <f t="shared" si="0"/>
        <v>OK</v>
      </c>
    </row>
    <row r="21" spans="1:15" x14ac:dyDescent="0.25">
      <c r="A21" s="107"/>
      <c r="B21" s="82" t="s">
        <v>75</v>
      </c>
      <c r="C21" s="82"/>
      <c r="D21" s="83">
        <v>45770</v>
      </c>
      <c r="E21" s="82" t="s">
        <v>15</v>
      </c>
      <c r="F21" s="54" t="s">
        <v>40</v>
      </c>
      <c r="G21" s="61" t="str">
        <f t="shared" si="8"/>
        <v>019</v>
      </c>
      <c r="H21" s="72" t="str">
        <f t="shared" si="9"/>
        <v>C3</v>
      </c>
      <c r="I21" s="72">
        <f t="shared" si="10"/>
        <v>2</v>
      </c>
      <c r="J21" s="3" t="s">
        <v>33</v>
      </c>
      <c r="K21" s="37">
        <v>10</v>
      </c>
      <c r="L21" s="17">
        <v>0.95</v>
      </c>
      <c r="M21" s="19">
        <v>3.89</v>
      </c>
      <c r="N21" s="18">
        <v>2.94</v>
      </c>
      <c r="O21" s="20" t="str">
        <f t="shared" si="0"/>
        <v>OK</v>
      </c>
    </row>
    <row r="22" spans="1:15" x14ac:dyDescent="0.25">
      <c r="A22" s="107"/>
      <c r="B22" s="82" t="s">
        <v>75</v>
      </c>
      <c r="C22" s="82"/>
      <c r="D22" s="83">
        <v>45770</v>
      </c>
      <c r="E22" s="82" t="s">
        <v>15</v>
      </c>
      <c r="F22" s="54" t="s">
        <v>40</v>
      </c>
      <c r="G22" s="61" t="str">
        <f t="shared" si="8"/>
        <v>019</v>
      </c>
      <c r="H22" s="72" t="str">
        <f t="shared" si="9"/>
        <v>C3</v>
      </c>
      <c r="I22" s="72">
        <f t="shared" si="10"/>
        <v>2</v>
      </c>
      <c r="J22" s="3" t="s">
        <v>34</v>
      </c>
      <c r="K22" s="37">
        <v>10</v>
      </c>
      <c r="L22" s="17">
        <v>1.01</v>
      </c>
      <c r="M22" s="19">
        <v>4.03</v>
      </c>
      <c r="N22" s="18">
        <v>3.02</v>
      </c>
      <c r="O22" s="20" t="str">
        <f t="shared" si="0"/>
        <v>OK</v>
      </c>
    </row>
    <row r="23" spans="1:15" x14ac:dyDescent="0.25">
      <c r="A23" s="107"/>
      <c r="B23" s="82" t="s">
        <v>75</v>
      </c>
      <c r="C23" s="82"/>
      <c r="D23" s="83">
        <v>45770</v>
      </c>
      <c r="E23" s="82" t="s">
        <v>15</v>
      </c>
      <c r="F23" s="54" t="s">
        <v>40</v>
      </c>
      <c r="G23" s="61" t="str">
        <f t="shared" si="8"/>
        <v>019</v>
      </c>
      <c r="H23" s="72" t="str">
        <f t="shared" si="9"/>
        <v>C3</v>
      </c>
      <c r="I23" s="72">
        <v>1</v>
      </c>
      <c r="J23" s="3" t="s">
        <v>35</v>
      </c>
      <c r="K23" s="37">
        <v>11</v>
      </c>
      <c r="L23" s="17">
        <v>1.1200000000000001</v>
      </c>
      <c r="M23" s="19">
        <v>2.36</v>
      </c>
      <c r="N23" s="18">
        <v>1.24</v>
      </c>
      <c r="O23" s="20" t="str">
        <f t="shared" si="0"/>
        <v>OK</v>
      </c>
    </row>
    <row r="24" spans="1:15" x14ac:dyDescent="0.25">
      <c r="A24" s="107"/>
      <c r="B24" s="82" t="s">
        <v>75</v>
      </c>
      <c r="C24" s="82"/>
      <c r="D24" s="83">
        <v>45770</v>
      </c>
      <c r="E24" s="82" t="s">
        <v>15</v>
      </c>
      <c r="F24" s="54" t="s">
        <v>40</v>
      </c>
      <c r="G24" s="61" t="str">
        <f t="shared" si="8"/>
        <v>019</v>
      </c>
      <c r="H24" s="72" t="str">
        <f t="shared" ref="H24:I26" si="11">H23</f>
        <v>C3</v>
      </c>
      <c r="I24" s="72">
        <f t="shared" si="11"/>
        <v>1</v>
      </c>
      <c r="J24" s="3" t="s">
        <v>36</v>
      </c>
      <c r="K24" s="37">
        <v>11</v>
      </c>
      <c r="L24" s="17">
        <v>0.5</v>
      </c>
      <c r="M24" s="19">
        <v>2.5299999999999998</v>
      </c>
      <c r="N24" s="18">
        <v>2.0299999999999998</v>
      </c>
      <c r="O24" s="20" t="str">
        <f t="shared" si="0"/>
        <v>OK</v>
      </c>
    </row>
    <row r="25" spans="1:15" x14ac:dyDescent="0.25">
      <c r="A25" s="107"/>
      <c r="B25" s="82" t="s">
        <v>75</v>
      </c>
      <c r="C25" s="82"/>
      <c r="D25" s="83">
        <v>45770</v>
      </c>
      <c r="E25" s="82" t="s">
        <v>15</v>
      </c>
      <c r="F25" s="54" t="s">
        <v>40</v>
      </c>
      <c r="G25" s="61" t="str">
        <f t="shared" si="8"/>
        <v>019</v>
      </c>
      <c r="H25" s="72" t="str">
        <f t="shared" si="11"/>
        <v>C3</v>
      </c>
      <c r="I25" s="72">
        <f t="shared" si="11"/>
        <v>1</v>
      </c>
      <c r="J25" s="3" t="s">
        <v>37</v>
      </c>
      <c r="K25" s="37">
        <v>12</v>
      </c>
      <c r="L25" s="17">
        <v>0.23</v>
      </c>
      <c r="M25" s="19">
        <v>3.28</v>
      </c>
      <c r="N25" s="18">
        <v>3.05</v>
      </c>
      <c r="O25" s="20" t="str">
        <f t="shared" si="0"/>
        <v>OK</v>
      </c>
    </row>
    <row r="26" spans="1:15" x14ac:dyDescent="0.25">
      <c r="A26" s="107"/>
      <c r="B26" s="82" t="s">
        <v>75</v>
      </c>
      <c r="C26" s="82"/>
      <c r="D26" s="83">
        <v>45770</v>
      </c>
      <c r="E26" s="82" t="s">
        <v>15</v>
      </c>
      <c r="F26" s="54" t="s">
        <v>40</v>
      </c>
      <c r="G26" s="61" t="str">
        <f t="shared" si="8"/>
        <v>019</v>
      </c>
      <c r="H26" s="72" t="str">
        <f t="shared" si="11"/>
        <v>C3</v>
      </c>
      <c r="I26" s="72">
        <f t="shared" si="11"/>
        <v>1</v>
      </c>
      <c r="J26" s="3" t="s">
        <v>38</v>
      </c>
      <c r="K26" s="37">
        <v>12</v>
      </c>
      <c r="L26" s="17">
        <v>0.32</v>
      </c>
      <c r="M26" s="19">
        <v>1.87</v>
      </c>
      <c r="N26" s="18">
        <v>1.55</v>
      </c>
      <c r="O26" s="20" t="str">
        <f t="shared" si="0"/>
        <v>OK</v>
      </c>
    </row>
    <row r="27" spans="1:15" x14ac:dyDescent="0.25">
      <c r="A27" s="107"/>
      <c r="B27" s="82" t="s">
        <v>75</v>
      </c>
      <c r="C27" s="82"/>
      <c r="D27" s="83">
        <v>45770</v>
      </c>
      <c r="E27" s="82" t="s">
        <v>15</v>
      </c>
      <c r="F27" s="54" t="s">
        <v>40</v>
      </c>
      <c r="G27" s="61" t="str">
        <f t="shared" si="8"/>
        <v>019</v>
      </c>
      <c r="H27" s="72" t="s">
        <v>43</v>
      </c>
      <c r="I27" s="72">
        <v>2</v>
      </c>
      <c r="J27" s="3" t="s">
        <v>31</v>
      </c>
      <c r="K27" s="37">
        <v>13</v>
      </c>
      <c r="L27" s="17">
        <v>0.2</v>
      </c>
      <c r="M27" s="19">
        <v>2.2200000000000002</v>
      </c>
      <c r="N27" s="18">
        <v>2.02</v>
      </c>
      <c r="O27" s="20" t="str">
        <f t="shared" si="0"/>
        <v>OK</v>
      </c>
    </row>
    <row r="28" spans="1:15" x14ac:dyDescent="0.25">
      <c r="A28" s="107"/>
      <c r="B28" s="82" t="s">
        <v>75</v>
      </c>
      <c r="C28" s="82"/>
      <c r="D28" s="83">
        <v>45770</v>
      </c>
      <c r="E28" s="82" t="s">
        <v>15</v>
      </c>
      <c r="F28" s="54" t="s">
        <v>40</v>
      </c>
      <c r="G28" s="61" t="str">
        <f t="shared" ref="G28:I30" si="12">G27</f>
        <v>019</v>
      </c>
      <c r="H28" s="72" t="str">
        <f t="shared" si="12"/>
        <v>C4</v>
      </c>
      <c r="I28" s="72">
        <f t="shared" si="12"/>
        <v>2</v>
      </c>
      <c r="J28" s="3" t="s">
        <v>32</v>
      </c>
      <c r="K28" s="37">
        <v>13</v>
      </c>
      <c r="L28" s="17">
        <v>0.51</v>
      </c>
      <c r="M28" s="19">
        <v>3.46</v>
      </c>
      <c r="N28" s="18">
        <v>2.95</v>
      </c>
      <c r="O28" s="20" t="str">
        <f t="shared" si="0"/>
        <v>OK</v>
      </c>
    </row>
    <row r="29" spans="1:15" x14ac:dyDescent="0.25">
      <c r="A29" s="107"/>
      <c r="B29" s="82" t="s">
        <v>75</v>
      </c>
      <c r="C29" s="82"/>
      <c r="D29" s="83">
        <v>45770</v>
      </c>
      <c r="E29" s="82" t="s">
        <v>15</v>
      </c>
      <c r="F29" s="54" t="s">
        <v>40</v>
      </c>
      <c r="G29" s="61" t="str">
        <f t="shared" si="12"/>
        <v>019</v>
      </c>
      <c r="H29" s="72" t="str">
        <f t="shared" si="12"/>
        <v>C4</v>
      </c>
      <c r="I29" s="72">
        <f t="shared" si="12"/>
        <v>2</v>
      </c>
      <c r="J29" s="3" t="s">
        <v>33</v>
      </c>
      <c r="K29" s="37">
        <v>14</v>
      </c>
      <c r="L29" s="17">
        <v>0.63</v>
      </c>
      <c r="M29" s="19">
        <v>4.3899999999999997</v>
      </c>
      <c r="N29" s="18">
        <v>3.76</v>
      </c>
      <c r="O29" s="20" t="str">
        <f t="shared" si="0"/>
        <v>OK</v>
      </c>
    </row>
    <row r="30" spans="1:15" x14ac:dyDescent="0.25">
      <c r="A30" s="107"/>
      <c r="B30" s="82" t="s">
        <v>75</v>
      </c>
      <c r="C30" s="82"/>
      <c r="D30" s="83">
        <v>45770</v>
      </c>
      <c r="E30" s="82" t="s">
        <v>15</v>
      </c>
      <c r="F30" s="54" t="s">
        <v>40</v>
      </c>
      <c r="G30" s="61" t="str">
        <f t="shared" si="12"/>
        <v>019</v>
      </c>
      <c r="H30" s="72" t="str">
        <f t="shared" si="12"/>
        <v>C4</v>
      </c>
      <c r="I30" s="72">
        <f t="shared" si="12"/>
        <v>2</v>
      </c>
      <c r="J30" s="3" t="s">
        <v>34</v>
      </c>
      <c r="K30" s="37">
        <v>14</v>
      </c>
      <c r="L30" s="17">
        <v>0.13</v>
      </c>
      <c r="M30" s="19">
        <v>2.81</v>
      </c>
      <c r="N30" s="18">
        <v>2.68</v>
      </c>
      <c r="O30" s="20" t="str">
        <f t="shared" si="0"/>
        <v>OK</v>
      </c>
    </row>
    <row r="31" spans="1:15" x14ac:dyDescent="0.25">
      <c r="A31" s="107"/>
      <c r="B31" s="82" t="s">
        <v>75</v>
      </c>
      <c r="C31" s="82"/>
      <c r="D31" s="83">
        <v>45770</v>
      </c>
      <c r="E31" s="82" t="s">
        <v>15</v>
      </c>
      <c r="F31" s="54" t="s">
        <v>40</v>
      </c>
      <c r="G31" s="61" t="str">
        <f t="shared" ref="G31:H31" si="13">G30</f>
        <v>019</v>
      </c>
      <c r="H31" s="72" t="str">
        <f t="shared" si="13"/>
        <v>C4</v>
      </c>
      <c r="I31" s="72">
        <v>1</v>
      </c>
      <c r="J31" s="3" t="s">
        <v>35</v>
      </c>
      <c r="K31" s="37">
        <v>15</v>
      </c>
      <c r="L31" s="17">
        <v>0.06</v>
      </c>
      <c r="M31" s="19">
        <v>5.05</v>
      </c>
      <c r="N31" s="18">
        <v>4.99</v>
      </c>
      <c r="O31" s="20" t="str">
        <f t="shared" si="0"/>
        <v>OK</v>
      </c>
    </row>
    <row r="32" spans="1:15" x14ac:dyDescent="0.25">
      <c r="A32" s="107"/>
      <c r="B32" s="82" t="s">
        <v>75</v>
      </c>
      <c r="C32" s="82"/>
      <c r="D32" s="83">
        <v>45770</v>
      </c>
      <c r="E32" s="82" t="s">
        <v>15</v>
      </c>
      <c r="F32" s="54" t="s">
        <v>40</v>
      </c>
      <c r="G32" s="61" t="str">
        <f t="shared" ref="G32:I34" si="14">G31</f>
        <v>019</v>
      </c>
      <c r="H32" s="72" t="str">
        <f t="shared" si="14"/>
        <v>C4</v>
      </c>
      <c r="I32" s="72">
        <f t="shared" si="14"/>
        <v>1</v>
      </c>
      <c r="J32" s="3" t="s">
        <v>36</v>
      </c>
      <c r="K32" s="37">
        <v>15</v>
      </c>
      <c r="L32" s="17">
        <v>0.1</v>
      </c>
      <c r="M32" s="19">
        <v>5.05</v>
      </c>
      <c r="N32" s="18">
        <v>4.95</v>
      </c>
      <c r="O32" s="20" t="str">
        <f t="shared" si="0"/>
        <v>OK</v>
      </c>
    </row>
    <row r="33" spans="1:15" x14ac:dyDescent="0.25">
      <c r="A33" s="107"/>
      <c r="B33" s="82" t="s">
        <v>75</v>
      </c>
      <c r="C33" s="82"/>
      <c r="D33" s="83">
        <v>45770</v>
      </c>
      <c r="E33" s="82" t="s">
        <v>15</v>
      </c>
      <c r="F33" s="54" t="s">
        <v>40</v>
      </c>
      <c r="G33" s="61" t="str">
        <f t="shared" si="14"/>
        <v>019</v>
      </c>
      <c r="H33" s="72" t="str">
        <f t="shared" si="14"/>
        <v>C4</v>
      </c>
      <c r="I33" s="72">
        <f t="shared" si="14"/>
        <v>1</v>
      </c>
      <c r="J33" s="3" t="s">
        <v>37</v>
      </c>
      <c r="K33" s="37">
        <v>16</v>
      </c>
      <c r="L33" s="17">
        <v>0.81</v>
      </c>
      <c r="M33" s="19">
        <v>3.48</v>
      </c>
      <c r="N33" s="18">
        <v>2.67</v>
      </c>
      <c r="O33" s="20" t="str">
        <f t="shared" si="0"/>
        <v>OK</v>
      </c>
    </row>
    <row r="34" spans="1:15" ht="15.75" thickBot="1" x14ac:dyDescent="0.3">
      <c r="A34" s="108"/>
      <c r="B34" s="84" t="s">
        <v>75</v>
      </c>
      <c r="C34" s="84"/>
      <c r="D34" s="85">
        <v>45770</v>
      </c>
      <c r="E34" s="84" t="s">
        <v>15</v>
      </c>
      <c r="F34" s="55" t="s">
        <v>40</v>
      </c>
      <c r="G34" s="73" t="str">
        <f t="shared" si="14"/>
        <v>019</v>
      </c>
      <c r="H34" s="74" t="str">
        <f t="shared" si="14"/>
        <v>C4</v>
      </c>
      <c r="I34" s="74">
        <f t="shared" si="14"/>
        <v>1</v>
      </c>
      <c r="J34" s="86" t="s">
        <v>38</v>
      </c>
      <c r="K34" s="37">
        <v>16</v>
      </c>
      <c r="L34" s="33">
        <v>0.53</v>
      </c>
      <c r="M34" s="34">
        <v>2.42</v>
      </c>
      <c r="N34" s="50">
        <v>1.89</v>
      </c>
      <c r="O34" s="57" t="str">
        <f t="shared" si="0"/>
        <v>OK</v>
      </c>
    </row>
  </sheetData>
  <conditionalFormatting sqref="L3:L34">
    <cfRule type="cellIs" dxfId="23" priority="11" operator="greaterThan">
      <formula>1.7</formula>
    </cfRule>
  </conditionalFormatting>
  <conditionalFormatting sqref="N3:N34">
    <cfRule type="cellIs" dxfId="22" priority="10" operator="lessThan">
      <formula>1</formula>
    </cfRule>
  </conditionalFormatting>
  <conditionalFormatting sqref="O3:O34">
    <cfRule type="cellIs" dxfId="21" priority="1" operator="equal">
      <formula>"OK"</formula>
    </cfRule>
    <cfRule type="cellIs" dxfId="20" priority="2" operator="equal">
      <formula>"Cambio"</formula>
    </cfRule>
    <cfRule type="cellIs" dxfId="19" priority="3" operator="equal">
      <formula>"Reperfilado"</formula>
    </cfRule>
    <cfRule type="cellIs" dxfId="18" priority="4" operator="equal">
      <formula>"Seguimiento"</formula>
    </cfRule>
    <cfRule type="cellIs" dxfId="17" priority="5" operator="equal">
      <formula>"Critico"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B5BB2-34A9-4FD9-A7BD-9DE4F676F323}">
  <sheetPr codeName="Hoja51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b02cc1a-30bd-4358-bbcc-80fdb05a7eea" xsi:nil="true"/>
    <lcf76f155ced4ddcb4097134ff3c332f xmlns="b42554b8-d14c-477d-8918-4cb0c52e3ad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C58E7F72C3C2E46AAFBEDA241B4BEDE" ma:contentTypeVersion="16" ma:contentTypeDescription="Crear nuevo documento." ma:contentTypeScope="" ma:versionID="6da561f68d3e49ed77113f530fc64114">
  <xsd:schema xmlns:xsd="http://www.w3.org/2001/XMLSchema" xmlns:xs="http://www.w3.org/2001/XMLSchema" xmlns:p="http://schemas.microsoft.com/office/2006/metadata/properties" xmlns:ns2="0b02cc1a-30bd-4358-bbcc-80fdb05a7eea" xmlns:ns3="b42554b8-d14c-477d-8918-4cb0c52e3ad9" targetNamespace="http://schemas.microsoft.com/office/2006/metadata/properties" ma:root="true" ma:fieldsID="06ef8a28f67dcb700fe2ee52d10ccb81" ns2:_="" ns3:_="">
    <xsd:import namespace="0b02cc1a-30bd-4358-bbcc-80fdb05a7eea"/>
    <xsd:import namespace="b42554b8-d14c-477d-8918-4cb0c52e3ad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Location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02cc1a-30bd-4358-bbcc-80fdb05a7e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b24a9bd5-aeb0-4b24-b0ca-11233cd85505}" ma:internalName="TaxCatchAll" ma:showField="CatchAllData" ma:web="0b02cc1a-30bd-4358-bbcc-80fdb05a7e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2554b8-d14c-477d-8918-4cb0c52e3a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bcb54835-63ac-4d5b-930e-02ca92e6ceb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F5CDD1-77DA-4633-A20C-1CFB38FBAD27}">
  <ds:schemaRefs>
    <ds:schemaRef ds:uri="http://purl.org/dc/terms/"/>
    <ds:schemaRef ds:uri="http://schemas.microsoft.com/office/2006/metadata/properties"/>
    <ds:schemaRef ds:uri="http://www.w3.org/XML/1998/namespace"/>
    <ds:schemaRef ds:uri="0b02cc1a-30bd-4358-bbcc-80fdb05a7eea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b42554b8-d14c-477d-8918-4cb0c52e3ad9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2F022E-11A5-47F5-B1CB-EC2B22E6AA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682CC6-983D-4549-B683-890D65B9DB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02cc1a-30bd-4358-bbcc-80fdb05a7eea"/>
    <ds:schemaRef ds:uri="b42554b8-d14c-477d-8918-4cb0c52e3a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5715783-c804-4778-b460-6082ded2f5de}" enabled="1" method="Privileged" siteId="{65bb3aad-376d-42f5-83f9-9beaea39fdc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MEDICIÓN</vt:lpstr>
      <vt:lpstr>T01</vt:lpstr>
      <vt:lpstr>T02</vt:lpstr>
      <vt:lpstr>T03</vt:lpstr>
      <vt:lpstr>T04</vt:lpstr>
      <vt:lpstr>T05</vt:lpstr>
      <vt:lpstr>UDT RESERVA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Barrientos Zarate</dc:creator>
  <cp:keywords/>
  <dc:description/>
  <cp:lastModifiedBy>Paulo Santos</cp:lastModifiedBy>
  <cp:revision/>
  <dcterms:created xsi:type="dcterms:W3CDTF">2025-03-25T20:31:11Z</dcterms:created>
  <dcterms:modified xsi:type="dcterms:W3CDTF">2026-08-20T07:15:59Z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0x0101009C58E7F72C3C2E46AAFBEDA241B4BEDE</vt:lpwstr>
  </property>
  <property fmtid="{D5CDD505-2E9C-101B-9397-08002B2CF9AE}" pid="3" name="MediaServiceImageTags">
    <vt:lpwstr/>
  </property>
</Properties>
</file>